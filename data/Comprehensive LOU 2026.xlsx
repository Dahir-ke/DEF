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ed\Desktop\"/>
    </mc:Choice>
  </mc:AlternateContent>
  <xr:revisionPtr revIDLastSave="0" documentId="8_{802225FB-D03B-493D-93E0-F3821B391BF6}" xr6:coauthVersionLast="47" xr6:coauthVersionMax="47" xr10:uidLastSave="{00000000-0000-0000-0000-000000000000}"/>
  <bookViews>
    <workbookView xWindow="-120" yWindow="-120" windowWidth="29040" windowHeight="15720" tabRatio="765" activeTab="7" xr2:uid="{0A15CE47-FF4B-4AB6-8747-C8276DE5E772}"/>
  </bookViews>
  <sheets>
    <sheet name="January" sheetId="1" r:id="rId1"/>
    <sheet name="February" sheetId="4" r:id="rId2"/>
    <sheet name="March" sheetId="3" r:id="rId3"/>
    <sheet name="Sheet5" sheetId="5" r:id="rId4"/>
    <sheet name="Sheet6" sheetId="6" r:id="rId5"/>
    <sheet name="Sheet9" sheetId="15" r:id="rId6"/>
    <sheet name="Comprehensive" sheetId="7" r:id="rId7"/>
    <sheet name="Comprehensive (2)" sheetId="16" r:id="rId8"/>
    <sheet name="Sheet8" sheetId="14" r:id="rId9"/>
    <sheet name="Sheet7" sheetId="13" r:id="rId10"/>
    <sheet name="Sheet4" sheetId="12" r:id="rId11"/>
    <sheet name="Sheet3" sheetId="11" r:id="rId12"/>
    <sheet name="Sheet1" sheetId="8" r:id="rId13"/>
    <sheet name="Sheet2" sheetId="9" r:id="rId14"/>
  </sheets>
  <definedNames>
    <definedName name="_xlnm._FilterDatabase" localSheetId="6" hidden="1">Comprehensive!$O$1:$O$1002</definedName>
    <definedName name="_xlnm._FilterDatabase" localSheetId="7" hidden="1">'Comprehensive (2)'!$O$1:$O$1001</definedName>
    <definedName name="_xlnm._FilterDatabase" localSheetId="1" hidden="1">February!$J$2:$J$341</definedName>
  </definedNames>
  <calcPr calcId="191029"/>
  <pivotCaches>
    <pivotCache cacheId="75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01" i="16" l="1"/>
  <c r="F1000" i="16"/>
  <c r="F999" i="16"/>
  <c r="F998" i="16"/>
  <c r="F997" i="16"/>
  <c r="F996" i="16"/>
  <c r="F995" i="16"/>
  <c r="F994" i="16"/>
  <c r="F993" i="16"/>
  <c r="F992" i="16"/>
  <c r="F991" i="16"/>
  <c r="F990" i="16"/>
  <c r="F989" i="16"/>
  <c r="F988" i="16"/>
  <c r="F987" i="16"/>
  <c r="F986" i="16"/>
  <c r="F985" i="16"/>
  <c r="F984" i="16"/>
  <c r="F983" i="16"/>
  <c r="F982" i="16"/>
  <c r="F981" i="16"/>
  <c r="F980" i="16"/>
  <c r="F979" i="16"/>
  <c r="F978" i="16"/>
  <c r="F977" i="16"/>
  <c r="F976" i="16"/>
  <c r="F975" i="16"/>
  <c r="F974" i="16"/>
  <c r="F973" i="16"/>
  <c r="F972" i="16"/>
  <c r="F971" i="16"/>
  <c r="F970" i="16"/>
  <c r="F969" i="16"/>
  <c r="F968" i="16"/>
  <c r="F967" i="16"/>
  <c r="F966" i="16"/>
  <c r="F965" i="16"/>
  <c r="F964" i="16"/>
  <c r="F963" i="16"/>
  <c r="F962" i="16"/>
  <c r="F961" i="16"/>
  <c r="F960" i="16"/>
  <c r="F959" i="16"/>
  <c r="F958" i="16"/>
  <c r="F957" i="16"/>
  <c r="F956" i="16"/>
  <c r="F955" i="16"/>
  <c r="F954" i="16"/>
  <c r="F953" i="16"/>
  <c r="F952" i="16"/>
  <c r="F951" i="16"/>
  <c r="F950" i="16"/>
  <c r="F949" i="16"/>
  <c r="F948" i="16"/>
  <c r="F947" i="16"/>
  <c r="F946" i="16"/>
  <c r="F945" i="16"/>
  <c r="F944" i="16"/>
  <c r="F943" i="16"/>
  <c r="F942" i="16"/>
  <c r="F941" i="16"/>
  <c r="F940" i="16"/>
  <c r="F939" i="16"/>
  <c r="F938" i="16"/>
  <c r="F937" i="16"/>
  <c r="F936" i="16"/>
  <c r="F935" i="16"/>
  <c r="F934" i="16"/>
  <c r="F933" i="16"/>
  <c r="F932" i="16"/>
  <c r="F931" i="16"/>
  <c r="F930" i="16"/>
  <c r="F929" i="16"/>
  <c r="F928" i="16"/>
  <c r="F927" i="16"/>
  <c r="F926" i="16"/>
  <c r="F925" i="16"/>
  <c r="F924" i="16"/>
  <c r="F923" i="16"/>
  <c r="F922" i="16"/>
  <c r="F921" i="16"/>
  <c r="F920" i="16"/>
  <c r="F919" i="16"/>
  <c r="F918" i="16"/>
  <c r="F917" i="16"/>
  <c r="F916" i="16"/>
  <c r="F915" i="16"/>
  <c r="F914" i="16"/>
  <c r="F913" i="16"/>
  <c r="F912" i="16"/>
  <c r="F911" i="16"/>
  <c r="F910" i="16"/>
  <c r="F909" i="16"/>
  <c r="F908" i="16"/>
  <c r="F907" i="16"/>
  <c r="F906" i="16"/>
  <c r="F905" i="16"/>
  <c r="F904" i="16"/>
  <c r="F903" i="16"/>
  <c r="F902" i="16"/>
  <c r="F901" i="16"/>
  <c r="F900" i="16"/>
  <c r="F899" i="16"/>
  <c r="F898" i="16"/>
  <c r="F897" i="16"/>
  <c r="F896" i="16"/>
  <c r="F895" i="16"/>
  <c r="F894" i="16"/>
  <c r="F893" i="16"/>
  <c r="F892" i="16"/>
  <c r="F891" i="16"/>
  <c r="F890" i="16"/>
  <c r="F889" i="16"/>
  <c r="F888" i="16"/>
  <c r="F887" i="16"/>
  <c r="F886" i="16"/>
  <c r="F885" i="16"/>
  <c r="F884" i="16"/>
  <c r="F883" i="16"/>
  <c r="F882" i="16"/>
  <c r="F881" i="16"/>
  <c r="F880" i="16"/>
  <c r="F879" i="16"/>
  <c r="F878" i="16"/>
  <c r="F877" i="16"/>
  <c r="F876" i="16"/>
  <c r="F875" i="16"/>
  <c r="F874" i="16"/>
  <c r="F873" i="16"/>
  <c r="F872" i="16"/>
  <c r="F871" i="16"/>
  <c r="F870" i="16"/>
  <c r="F869" i="16"/>
  <c r="F868" i="16"/>
  <c r="F867" i="16"/>
  <c r="F866" i="16"/>
  <c r="F865" i="16"/>
  <c r="F864" i="16"/>
  <c r="F863" i="16"/>
  <c r="F862" i="16"/>
  <c r="F861" i="16"/>
  <c r="F860" i="16"/>
  <c r="F859" i="16"/>
  <c r="F858" i="16"/>
  <c r="F857" i="16"/>
  <c r="F856" i="16"/>
  <c r="F855" i="16"/>
  <c r="F854" i="16"/>
  <c r="F853" i="16"/>
  <c r="F852" i="16"/>
  <c r="F851" i="16"/>
  <c r="F850" i="16"/>
  <c r="F849" i="16"/>
  <c r="F848" i="16"/>
  <c r="F847" i="16"/>
  <c r="F846" i="16"/>
  <c r="F845" i="16"/>
  <c r="F844" i="16"/>
  <c r="F843" i="16"/>
  <c r="F842" i="16"/>
  <c r="F841" i="16"/>
  <c r="F840" i="16"/>
  <c r="F839" i="16"/>
  <c r="F838" i="16"/>
  <c r="F837" i="16"/>
  <c r="F836" i="16"/>
  <c r="F835" i="16"/>
  <c r="F834" i="16"/>
  <c r="F833" i="16"/>
  <c r="F832" i="16"/>
  <c r="F831" i="16"/>
  <c r="F830" i="16"/>
  <c r="F829" i="16"/>
  <c r="F828" i="16"/>
  <c r="F827" i="16"/>
  <c r="F826" i="16"/>
  <c r="F825" i="16"/>
  <c r="F824" i="16"/>
  <c r="F823" i="16"/>
  <c r="F822" i="16"/>
  <c r="F821" i="16"/>
  <c r="F820" i="16"/>
  <c r="F819" i="16"/>
  <c r="F818" i="16"/>
  <c r="F817" i="16"/>
  <c r="F816" i="16"/>
  <c r="F815" i="16"/>
  <c r="F814" i="16"/>
  <c r="F813" i="16"/>
  <c r="F812" i="16"/>
  <c r="F811" i="16"/>
  <c r="F810" i="16"/>
  <c r="F809" i="16"/>
  <c r="F808" i="16"/>
  <c r="F807" i="16"/>
  <c r="F806" i="16"/>
  <c r="F805" i="16"/>
  <c r="F804" i="16"/>
  <c r="F803" i="16"/>
  <c r="F802" i="16"/>
  <c r="F801" i="16"/>
  <c r="F800" i="16"/>
  <c r="F799" i="16"/>
  <c r="F798" i="16"/>
  <c r="F797" i="16"/>
  <c r="F796" i="16"/>
  <c r="F795" i="16"/>
  <c r="F794" i="16"/>
  <c r="F793" i="16"/>
  <c r="F792" i="16"/>
  <c r="F791" i="16"/>
  <c r="F790" i="16"/>
  <c r="F789" i="16"/>
  <c r="F788" i="16"/>
  <c r="F787" i="16"/>
  <c r="F786" i="16"/>
  <c r="F785" i="16"/>
  <c r="F784" i="16"/>
  <c r="F783" i="16"/>
  <c r="F782" i="16"/>
  <c r="F781" i="16"/>
  <c r="F780" i="16"/>
  <c r="F779" i="16"/>
  <c r="F778" i="16"/>
  <c r="F777" i="16"/>
  <c r="F776" i="16"/>
  <c r="F775" i="16"/>
  <c r="F774" i="16"/>
  <c r="F773" i="16"/>
  <c r="F772" i="16"/>
  <c r="F771" i="16"/>
  <c r="F770" i="16"/>
  <c r="F769" i="16"/>
  <c r="F768" i="16"/>
  <c r="F767" i="16"/>
  <c r="F766" i="16"/>
  <c r="F765" i="16"/>
  <c r="F764" i="16"/>
  <c r="F763" i="16"/>
  <c r="F762" i="16"/>
  <c r="F761" i="16"/>
  <c r="F760" i="16"/>
  <c r="F759" i="16"/>
  <c r="F758" i="16"/>
  <c r="F757" i="16"/>
  <c r="F756" i="16"/>
  <c r="F755" i="16"/>
  <c r="F754" i="16"/>
  <c r="F753" i="16"/>
  <c r="F752" i="16"/>
  <c r="F751" i="16"/>
  <c r="F750" i="16"/>
  <c r="F749" i="16"/>
  <c r="F748" i="16"/>
  <c r="F747" i="16"/>
  <c r="F746" i="16"/>
  <c r="F745" i="16"/>
  <c r="F744" i="16"/>
  <c r="F743" i="16"/>
  <c r="F742" i="16"/>
  <c r="F741" i="16"/>
  <c r="F740" i="16"/>
  <c r="F739" i="16"/>
  <c r="F738" i="16"/>
  <c r="F737" i="16"/>
  <c r="F736" i="16"/>
  <c r="F735" i="16"/>
  <c r="F734" i="16"/>
  <c r="F733" i="16"/>
  <c r="F732" i="16"/>
  <c r="F731" i="16"/>
  <c r="F730" i="16"/>
  <c r="F729" i="16"/>
  <c r="F728" i="16"/>
  <c r="F727" i="16"/>
  <c r="F726" i="16"/>
  <c r="F725" i="16"/>
  <c r="F724" i="16"/>
  <c r="F723" i="16"/>
  <c r="F722" i="16"/>
  <c r="F721" i="16"/>
  <c r="F720" i="16"/>
  <c r="F719" i="16"/>
  <c r="F718" i="16"/>
  <c r="F717" i="16"/>
  <c r="F716" i="16"/>
  <c r="F715" i="16"/>
  <c r="F714" i="16"/>
  <c r="F713" i="16"/>
  <c r="F712" i="16"/>
  <c r="F711" i="16"/>
  <c r="F710" i="16"/>
  <c r="F709" i="16"/>
  <c r="F708" i="16"/>
  <c r="F707" i="16"/>
  <c r="F706" i="16"/>
  <c r="F705" i="16"/>
  <c r="F704" i="16"/>
  <c r="F703" i="16"/>
  <c r="F702" i="16"/>
  <c r="F701" i="16"/>
  <c r="F700" i="16"/>
  <c r="F699" i="16"/>
  <c r="F698" i="16"/>
  <c r="F697" i="16"/>
  <c r="F696" i="16"/>
  <c r="F695" i="16"/>
  <c r="F694" i="16"/>
  <c r="F693" i="16"/>
  <c r="F692" i="16"/>
  <c r="F691" i="16"/>
  <c r="F690" i="16"/>
  <c r="F689" i="16"/>
  <c r="F688" i="16"/>
  <c r="F687" i="16"/>
  <c r="F686" i="16"/>
  <c r="F685" i="16"/>
  <c r="F684" i="16"/>
  <c r="F683" i="16"/>
  <c r="F682" i="16"/>
  <c r="F681" i="16"/>
  <c r="F680" i="16"/>
  <c r="F679" i="16"/>
  <c r="F678" i="16"/>
  <c r="F677" i="16"/>
  <c r="F676" i="16"/>
  <c r="F675" i="16"/>
  <c r="F674" i="16"/>
  <c r="F673" i="16"/>
  <c r="F672" i="16"/>
  <c r="F671" i="16"/>
  <c r="F670" i="16"/>
  <c r="F669" i="16"/>
  <c r="F668" i="16"/>
  <c r="F667" i="16"/>
  <c r="F666" i="16"/>
  <c r="F665" i="16"/>
  <c r="F664" i="16"/>
  <c r="F663" i="16"/>
  <c r="F662" i="16"/>
  <c r="F661" i="16"/>
  <c r="F660" i="16"/>
  <c r="F659" i="16"/>
  <c r="F658" i="16"/>
  <c r="F657" i="16"/>
  <c r="F656" i="16"/>
  <c r="F655" i="16"/>
  <c r="F654" i="16"/>
  <c r="F653" i="16"/>
  <c r="F652" i="16"/>
  <c r="F651" i="16"/>
  <c r="F650" i="16"/>
  <c r="F649" i="16"/>
  <c r="F648" i="16"/>
  <c r="F647" i="16"/>
  <c r="F646" i="16"/>
  <c r="F645" i="16"/>
  <c r="F644" i="16"/>
  <c r="F643" i="16"/>
  <c r="F642" i="16"/>
  <c r="F641" i="16"/>
  <c r="F640" i="16"/>
  <c r="F639" i="16"/>
  <c r="F638" i="16"/>
  <c r="F637" i="16"/>
  <c r="F636" i="16"/>
  <c r="F635" i="16"/>
  <c r="F634" i="16"/>
  <c r="F633" i="16"/>
  <c r="F632" i="16"/>
  <c r="F631" i="16"/>
  <c r="F630" i="16"/>
  <c r="F629" i="16"/>
  <c r="F628" i="16"/>
  <c r="F627" i="16"/>
  <c r="F626" i="16"/>
  <c r="F625" i="16"/>
  <c r="F624" i="16"/>
  <c r="F623" i="16"/>
  <c r="F622" i="16"/>
  <c r="F621" i="16"/>
  <c r="F620" i="16"/>
  <c r="F619" i="16"/>
  <c r="F618" i="16"/>
  <c r="F617" i="16"/>
  <c r="F616" i="16"/>
  <c r="F615" i="16"/>
  <c r="F614" i="16"/>
  <c r="F613" i="16"/>
  <c r="F612" i="16"/>
  <c r="F611" i="16"/>
  <c r="F610" i="16"/>
  <c r="F609" i="16"/>
  <c r="F608" i="16"/>
  <c r="F607" i="16"/>
  <c r="F606" i="16"/>
  <c r="F605" i="16"/>
  <c r="F604" i="16"/>
  <c r="F603" i="16"/>
  <c r="F602" i="16"/>
  <c r="F601" i="16"/>
  <c r="F600" i="16"/>
  <c r="F599" i="16"/>
  <c r="F598" i="16"/>
  <c r="F597" i="16"/>
  <c r="F596" i="16"/>
  <c r="F595" i="16"/>
  <c r="F594" i="16"/>
  <c r="F593" i="16"/>
  <c r="F592" i="16"/>
  <c r="F591" i="16"/>
  <c r="F590" i="16"/>
  <c r="F589" i="16"/>
  <c r="F588" i="16"/>
  <c r="F587" i="16"/>
  <c r="F586" i="16"/>
  <c r="F585" i="16"/>
  <c r="F584" i="16"/>
  <c r="F583" i="16"/>
  <c r="F582" i="16"/>
  <c r="F581" i="16"/>
  <c r="F580" i="16"/>
  <c r="F579" i="16"/>
  <c r="F578" i="16"/>
  <c r="F577" i="16"/>
  <c r="F576" i="16"/>
  <c r="F575" i="16"/>
  <c r="F574" i="16"/>
  <c r="F573" i="16"/>
  <c r="F572" i="16"/>
  <c r="F571" i="16"/>
  <c r="F570" i="16"/>
  <c r="F569" i="16"/>
  <c r="F568" i="16"/>
  <c r="F567" i="16"/>
  <c r="F566" i="16"/>
  <c r="F565" i="16"/>
  <c r="F564" i="16"/>
  <c r="F563" i="16"/>
  <c r="F562" i="16"/>
  <c r="F561" i="16"/>
  <c r="F560" i="16"/>
  <c r="F559" i="16"/>
  <c r="F558" i="16"/>
  <c r="F557" i="16"/>
  <c r="F556" i="16"/>
  <c r="F555" i="16"/>
  <c r="F554" i="16"/>
  <c r="F553" i="16"/>
  <c r="F552" i="16"/>
  <c r="F551" i="16"/>
  <c r="F550" i="16"/>
  <c r="F549" i="16"/>
  <c r="F548" i="16"/>
  <c r="F547" i="16"/>
  <c r="F546" i="16"/>
  <c r="F545" i="16"/>
  <c r="F544" i="16"/>
  <c r="F543" i="16"/>
  <c r="F542" i="16"/>
  <c r="F541" i="16"/>
  <c r="F540" i="16"/>
  <c r="F539" i="16"/>
  <c r="F538" i="16"/>
  <c r="F537" i="16"/>
  <c r="F536" i="16"/>
  <c r="F535" i="16"/>
  <c r="F534" i="16"/>
  <c r="F533" i="16"/>
  <c r="F532" i="16"/>
  <c r="F531" i="16"/>
  <c r="F530" i="16"/>
  <c r="F529" i="16"/>
  <c r="F528" i="16"/>
  <c r="F527" i="16"/>
  <c r="F526" i="16"/>
  <c r="F525" i="16"/>
  <c r="F524" i="16"/>
  <c r="F523" i="16"/>
  <c r="F522" i="16"/>
  <c r="F521" i="16"/>
  <c r="F520" i="16"/>
  <c r="F519" i="16"/>
  <c r="F518" i="16"/>
  <c r="F517" i="16"/>
  <c r="F516" i="16"/>
  <c r="F515" i="16"/>
  <c r="F514" i="16"/>
  <c r="F513" i="16"/>
  <c r="F512" i="16"/>
  <c r="F511" i="16"/>
  <c r="F510" i="16"/>
  <c r="F509" i="16"/>
  <c r="F508" i="16"/>
  <c r="F507" i="16"/>
  <c r="F506" i="16"/>
  <c r="F505" i="16"/>
  <c r="F504" i="16"/>
  <c r="F503" i="16"/>
  <c r="F502" i="16"/>
  <c r="F501" i="16"/>
  <c r="F500" i="16"/>
  <c r="F499" i="16"/>
  <c r="F498" i="16"/>
  <c r="F497" i="16"/>
  <c r="F496" i="16"/>
  <c r="F495" i="16"/>
  <c r="F494" i="16"/>
  <c r="F493" i="16"/>
  <c r="F492" i="16"/>
  <c r="F491" i="16"/>
  <c r="F490" i="16"/>
  <c r="F489" i="16"/>
  <c r="F488" i="16"/>
  <c r="F487" i="16"/>
  <c r="F486" i="16"/>
  <c r="F485" i="16"/>
  <c r="F484" i="16"/>
  <c r="F483" i="16"/>
  <c r="F482" i="16"/>
  <c r="F481" i="16"/>
  <c r="F480" i="16"/>
  <c r="F479" i="16"/>
  <c r="F478" i="16"/>
  <c r="F477" i="16"/>
  <c r="F476" i="16"/>
  <c r="F475" i="16"/>
  <c r="F474" i="16"/>
  <c r="F473" i="16"/>
  <c r="F472" i="16"/>
  <c r="F471" i="16"/>
  <c r="F470" i="16"/>
  <c r="F469" i="16"/>
  <c r="F468" i="16"/>
  <c r="F467" i="16"/>
  <c r="F466" i="16"/>
  <c r="F465" i="16"/>
  <c r="F464" i="16"/>
  <c r="F463" i="16"/>
  <c r="F462" i="16"/>
  <c r="F461" i="16"/>
  <c r="F460" i="16"/>
  <c r="F459" i="16"/>
  <c r="F458" i="16"/>
  <c r="F457" i="16"/>
  <c r="F456" i="16"/>
  <c r="F455" i="16"/>
  <c r="F454" i="16"/>
  <c r="F453" i="16"/>
  <c r="F452" i="16"/>
  <c r="F451" i="16"/>
  <c r="F450" i="16"/>
  <c r="F449" i="16"/>
  <c r="F448" i="16"/>
  <c r="F447" i="16"/>
  <c r="F446" i="16"/>
  <c r="F445" i="16"/>
  <c r="F444" i="16"/>
  <c r="F443" i="16"/>
  <c r="F442" i="16"/>
  <c r="F441" i="16"/>
  <c r="F440" i="16"/>
  <c r="F439" i="16"/>
  <c r="F438" i="16"/>
  <c r="F437" i="16"/>
  <c r="F436" i="16"/>
  <c r="F435" i="16"/>
  <c r="F434" i="16"/>
  <c r="F433" i="16"/>
  <c r="F432" i="16"/>
  <c r="F431" i="16"/>
  <c r="F430" i="16"/>
  <c r="F429" i="16"/>
  <c r="F428" i="16"/>
  <c r="F427" i="16"/>
  <c r="F426" i="16"/>
  <c r="F425" i="16"/>
  <c r="F424" i="16"/>
  <c r="F423" i="16"/>
  <c r="F422" i="16"/>
  <c r="F421" i="16"/>
  <c r="F420" i="16"/>
  <c r="F419" i="16"/>
  <c r="F418" i="16"/>
  <c r="F417" i="16"/>
  <c r="F416" i="16"/>
  <c r="F415" i="16"/>
  <c r="F414" i="16"/>
  <c r="F413" i="16"/>
  <c r="F412" i="16"/>
  <c r="J411" i="16"/>
  <c r="F411" i="16"/>
  <c r="F410" i="16"/>
  <c r="F409" i="16"/>
  <c r="F408" i="16"/>
  <c r="F407" i="16"/>
  <c r="F406" i="16"/>
  <c r="F405" i="16"/>
  <c r="F404" i="16"/>
  <c r="F403" i="16"/>
  <c r="F402" i="16"/>
  <c r="F401" i="16"/>
  <c r="F400" i="16"/>
  <c r="F399" i="16"/>
  <c r="F398" i="16"/>
  <c r="F397" i="16"/>
  <c r="F396" i="16"/>
  <c r="F395" i="16"/>
  <c r="F394" i="16"/>
  <c r="F393" i="16"/>
  <c r="F392" i="16"/>
  <c r="F391" i="16"/>
  <c r="F390" i="16"/>
  <c r="F389" i="16"/>
  <c r="F388" i="16"/>
  <c r="F387" i="16"/>
  <c r="F386" i="16"/>
  <c r="F385" i="16"/>
  <c r="F384" i="16"/>
  <c r="F383" i="16"/>
  <c r="F382" i="16"/>
  <c r="F381" i="16"/>
  <c r="F380" i="16"/>
  <c r="F379" i="16"/>
  <c r="F378" i="16"/>
  <c r="F377" i="16"/>
  <c r="F376" i="16"/>
  <c r="F375" i="16"/>
  <c r="F374" i="16"/>
  <c r="F373" i="16"/>
  <c r="F372" i="16"/>
  <c r="F371" i="16"/>
  <c r="F370" i="16"/>
  <c r="F369" i="16"/>
  <c r="F368" i="16"/>
  <c r="F367" i="16"/>
  <c r="F366" i="16"/>
  <c r="F365" i="16"/>
  <c r="F364" i="16"/>
  <c r="F363" i="16"/>
  <c r="F362" i="16"/>
  <c r="F361" i="16"/>
  <c r="F360" i="16"/>
  <c r="F359" i="16"/>
  <c r="F358" i="16"/>
  <c r="F357" i="16"/>
  <c r="F356" i="16"/>
  <c r="F355" i="16"/>
  <c r="F354" i="16"/>
  <c r="F353" i="16"/>
  <c r="F352" i="16"/>
  <c r="F351" i="16"/>
  <c r="F350" i="16"/>
  <c r="F349" i="16"/>
  <c r="F348" i="16"/>
  <c r="F347" i="16"/>
  <c r="F346" i="16"/>
  <c r="F345" i="16"/>
  <c r="F344" i="16"/>
  <c r="F343" i="16"/>
  <c r="F342" i="16"/>
  <c r="F341" i="16"/>
  <c r="F340" i="16"/>
  <c r="F339" i="16"/>
  <c r="F338" i="16"/>
  <c r="F337" i="16"/>
  <c r="F336" i="16"/>
  <c r="F335" i="16"/>
  <c r="F334" i="16"/>
  <c r="F333" i="16"/>
  <c r="F332" i="16"/>
  <c r="F331" i="16"/>
  <c r="F330" i="16"/>
  <c r="F329" i="16"/>
  <c r="F328" i="16"/>
  <c r="F327" i="16"/>
  <c r="F326" i="16"/>
  <c r="F325" i="16"/>
  <c r="F324" i="16"/>
  <c r="F323" i="16"/>
  <c r="F322" i="16"/>
  <c r="F321" i="16"/>
  <c r="F320" i="16"/>
  <c r="F319" i="16"/>
  <c r="F318" i="16"/>
  <c r="F317" i="16"/>
  <c r="F316" i="16"/>
  <c r="F315" i="16"/>
  <c r="F314" i="16"/>
  <c r="F313" i="16"/>
  <c r="F312" i="16"/>
  <c r="F311" i="16"/>
  <c r="F310" i="16"/>
  <c r="F309" i="16"/>
  <c r="F308" i="16"/>
  <c r="F307" i="16"/>
  <c r="F306" i="16"/>
  <c r="F305" i="16"/>
  <c r="F304" i="16"/>
  <c r="F303" i="16"/>
  <c r="F302" i="16"/>
  <c r="F301" i="16"/>
  <c r="F300" i="16"/>
  <c r="F299" i="16"/>
  <c r="F298" i="16"/>
  <c r="F297" i="16"/>
  <c r="F296" i="16"/>
  <c r="F295" i="16"/>
  <c r="F294" i="16"/>
  <c r="F293" i="16"/>
  <c r="F292" i="16"/>
  <c r="F291" i="16"/>
  <c r="F290" i="16"/>
  <c r="F289" i="16"/>
  <c r="F288" i="16"/>
  <c r="F287" i="16"/>
  <c r="F286" i="16"/>
  <c r="F285" i="16"/>
  <c r="F284" i="16"/>
  <c r="F283" i="16"/>
  <c r="F282" i="16"/>
  <c r="F281" i="16"/>
  <c r="F280" i="16"/>
  <c r="F279" i="16"/>
  <c r="F278" i="16"/>
  <c r="F277" i="16"/>
  <c r="F276" i="16"/>
  <c r="F275" i="16"/>
  <c r="F274" i="16"/>
  <c r="F273" i="16"/>
  <c r="F272" i="16"/>
  <c r="F271" i="16"/>
  <c r="F270" i="16"/>
  <c r="F269" i="16"/>
  <c r="F268" i="16"/>
  <c r="F267" i="16"/>
  <c r="F266" i="16"/>
  <c r="F265" i="16"/>
  <c r="F264" i="16"/>
  <c r="F263" i="16"/>
  <c r="F262" i="16"/>
  <c r="F261" i="16"/>
  <c r="F260" i="16"/>
  <c r="F259" i="16"/>
  <c r="F258" i="16"/>
  <c r="F257" i="16"/>
  <c r="F256" i="16"/>
  <c r="F255" i="16"/>
  <c r="F254" i="16"/>
  <c r="F253" i="16"/>
  <c r="F252" i="16"/>
  <c r="F251" i="16"/>
  <c r="F250" i="16"/>
  <c r="F249" i="16"/>
  <c r="F248" i="16"/>
  <c r="F247" i="16"/>
  <c r="F246" i="16"/>
  <c r="F245" i="16"/>
  <c r="F244" i="16"/>
  <c r="F243" i="16"/>
  <c r="F242" i="16"/>
  <c r="F241" i="16"/>
  <c r="F240" i="16"/>
  <c r="F239" i="16"/>
  <c r="F238" i="16"/>
  <c r="F237" i="16"/>
  <c r="F236" i="16"/>
  <c r="F235" i="16"/>
  <c r="F234" i="16"/>
  <c r="F233" i="16"/>
  <c r="F232" i="16"/>
  <c r="F231" i="16"/>
  <c r="F230" i="16"/>
  <c r="F229" i="16"/>
  <c r="F228" i="16"/>
  <c r="F227" i="16"/>
  <c r="F226" i="16"/>
  <c r="F225" i="16"/>
  <c r="F224" i="16"/>
  <c r="F223" i="16"/>
  <c r="J222" i="16"/>
  <c r="F222" i="16"/>
  <c r="F221" i="16"/>
  <c r="F220" i="16"/>
  <c r="F219" i="16"/>
  <c r="F218" i="16"/>
  <c r="F217" i="16"/>
  <c r="F216" i="16"/>
  <c r="F215" i="16"/>
  <c r="F214" i="16"/>
  <c r="F213" i="16"/>
  <c r="F212" i="16"/>
  <c r="F211" i="16"/>
  <c r="F210" i="16"/>
  <c r="F209" i="16"/>
  <c r="F208" i="16"/>
  <c r="F207" i="16"/>
  <c r="F206" i="16"/>
  <c r="F205" i="16"/>
  <c r="F204" i="16"/>
  <c r="F203" i="16"/>
  <c r="F202" i="16"/>
  <c r="F201" i="16"/>
  <c r="F200" i="16"/>
  <c r="F199" i="16"/>
  <c r="F198" i="16"/>
  <c r="F197" i="16"/>
  <c r="F196" i="16"/>
  <c r="F195" i="16"/>
  <c r="F194" i="16"/>
  <c r="F193" i="16"/>
  <c r="F192" i="16"/>
  <c r="F191" i="16"/>
  <c r="F190" i="16"/>
  <c r="F189" i="16"/>
  <c r="F188" i="16"/>
  <c r="F187" i="16"/>
  <c r="F186" i="16"/>
  <c r="F185" i="16"/>
  <c r="F184" i="16"/>
  <c r="F183" i="16"/>
  <c r="F182" i="16"/>
  <c r="F181" i="16"/>
  <c r="F180" i="16"/>
  <c r="F179" i="16"/>
  <c r="F178" i="16"/>
  <c r="F177" i="16"/>
  <c r="F176" i="16"/>
  <c r="F175" i="16"/>
  <c r="F174" i="16"/>
  <c r="F173" i="16"/>
  <c r="F172" i="16"/>
  <c r="F171" i="16"/>
  <c r="F170" i="16"/>
  <c r="F169" i="16"/>
  <c r="F168" i="16"/>
  <c r="F167" i="16"/>
  <c r="F166" i="16"/>
  <c r="F165" i="16"/>
  <c r="F164" i="16"/>
  <c r="F163" i="16"/>
  <c r="F162" i="16"/>
  <c r="F161" i="16"/>
  <c r="F160" i="16"/>
  <c r="F159" i="16"/>
  <c r="F158" i="16"/>
  <c r="F157" i="16"/>
  <c r="F156" i="16"/>
  <c r="F155" i="16"/>
  <c r="F154" i="16"/>
  <c r="F153" i="16"/>
  <c r="F152" i="16"/>
  <c r="F151" i="16"/>
  <c r="F150" i="16"/>
  <c r="F149" i="16"/>
  <c r="F148" i="16"/>
  <c r="F147" i="16"/>
  <c r="F146" i="16"/>
  <c r="F145" i="16"/>
  <c r="F144" i="16"/>
  <c r="F143" i="16"/>
  <c r="F142" i="16"/>
  <c r="F141" i="16"/>
  <c r="F140" i="16"/>
  <c r="F139" i="16"/>
  <c r="F138" i="16"/>
  <c r="F137" i="16"/>
  <c r="F136" i="16"/>
  <c r="F135" i="16"/>
  <c r="F134" i="16"/>
  <c r="F133" i="16"/>
  <c r="F132" i="16"/>
  <c r="F131" i="16"/>
  <c r="F130" i="16"/>
  <c r="F129" i="16"/>
  <c r="F128" i="16"/>
  <c r="F127" i="16"/>
  <c r="F126" i="16"/>
  <c r="F125" i="16"/>
  <c r="F124" i="16"/>
  <c r="F123" i="16"/>
  <c r="F122" i="16"/>
  <c r="F121" i="16"/>
  <c r="F120" i="16"/>
  <c r="F119" i="16"/>
  <c r="F118" i="16"/>
  <c r="F117" i="16"/>
  <c r="F116" i="16"/>
  <c r="F115" i="16"/>
  <c r="F114" i="16"/>
  <c r="F113" i="16"/>
  <c r="F112" i="16"/>
  <c r="F111" i="16"/>
  <c r="F110" i="16"/>
  <c r="F109" i="16"/>
  <c r="F108" i="16"/>
  <c r="F107" i="16"/>
  <c r="F106" i="16"/>
  <c r="F105" i="16"/>
  <c r="F104" i="16"/>
  <c r="F103" i="16"/>
  <c r="F102" i="16"/>
  <c r="F101" i="16"/>
  <c r="F100" i="16"/>
  <c r="F99" i="16"/>
  <c r="F98" i="16"/>
  <c r="F97" i="16"/>
  <c r="F96" i="16"/>
  <c r="F95" i="16"/>
  <c r="F94" i="16"/>
  <c r="F93" i="16"/>
  <c r="F92" i="16"/>
  <c r="F91" i="16"/>
  <c r="F90" i="16"/>
  <c r="F89" i="16"/>
  <c r="F88" i="16"/>
  <c r="F87" i="16"/>
  <c r="F86" i="16"/>
  <c r="F85" i="16"/>
  <c r="F84" i="16"/>
  <c r="F83" i="16"/>
  <c r="F82" i="16"/>
  <c r="F81" i="16"/>
  <c r="F80" i="16"/>
  <c r="F79" i="16"/>
  <c r="F78" i="16"/>
  <c r="F77" i="16"/>
  <c r="F76" i="16"/>
  <c r="F75" i="16"/>
  <c r="F74" i="16"/>
  <c r="F73" i="16"/>
  <c r="F72" i="16"/>
  <c r="F71" i="16"/>
  <c r="F70" i="16"/>
  <c r="F69" i="16"/>
  <c r="F68" i="16"/>
  <c r="F67" i="16"/>
  <c r="F66" i="16"/>
  <c r="F65" i="16"/>
  <c r="F64" i="16"/>
  <c r="F63" i="16"/>
  <c r="F62" i="16"/>
  <c r="F61" i="16"/>
  <c r="F60" i="16"/>
  <c r="F59" i="16"/>
  <c r="F58" i="16"/>
  <c r="F57" i="16"/>
  <c r="F56" i="16"/>
  <c r="F55" i="16"/>
  <c r="F54" i="16"/>
  <c r="F53" i="16"/>
  <c r="F52" i="16"/>
  <c r="F51" i="16"/>
  <c r="F50" i="16"/>
  <c r="F49" i="16"/>
  <c r="F48" i="16"/>
  <c r="F47" i="16"/>
  <c r="F46" i="16"/>
  <c r="F45" i="16"/>
  <c r="F44" i="16"/>
  <c r="F43" i="16"/>
  <c r="F42" i="16"/>
  <c r="F41" i="16"/>
  <c r="F40" i="16"/>
  <c r="F39" i="16"/>
  <c r="F38" i="16"/>
  <c r="F37" i="16"/>
  <c r="F36" i="16"/>
  <c r="F35" i="16"/>
  <c r="F34" i="16"/>
  <c r="F33" i="16"/>
  <c r="F32" i="16"/>
  <c r="F31" i="16"/>
  <c r="F30" i="16"/>
  <c r="F29" i="16"/>
  <c r="F28" i="16"/>
  <c r="F27" i="16"/>
  <c r="F26" i="16"/>
  <c r="F25" i="16"/>
  <c r="F24" i="16"/>
  <c r="F23" i="16"/>
  <c r="F22" i="16"/>
  <c r="F21" i="16"/>
  <c r="F20" i="16"/>
  <c r="F19" i="16"/>
  <c r="F18" i="16"/>
  <c r="F17" i="16"/>
  <c r="F16" i="16"/>
  <c r="F15" i="16"/>
  <c r="F14" i="16"/>
  <c r="F13" i="16"/>
  <c r="F12" i="16"/>
  <c r="F11" i="16"/>
  <c r="F10" i="16"/>
  <c r="F9" i="16"/>
  <c r="F8" i="16"/>
  <c r="F7" i="16"/>
  <c r="F6" i="16"/>
  <c r="F5" i="16"/>
  <c r="F4" i="16"/>
  <c r="F3" i="16"/>
  <c r="F2" i="16"/>
  <c r="F457" i="7"/>
  <c r="F48" i="7"/>
  <c r="F49" i="7"/>
  <c r="F50" i="7"/>
  <c r="F51" i="7"/>
  <c r="F52" i="7"/>
  <c r="F384" i="7"/>
  <c r="F503" i="7"/>
  <c r="F53" i="7"/>
  <c r="F453" i="7"/>
  <c r="F443" i="7"/>
  <c r="F54" i="7"/>
  <c r="F228" i="7"/>
  <c r="F229" i="7"/>
  <c r="F306" i="7"/>
  <c r="F2" i="7"/>
  <c r="F490" i="7"/>
  <c r="F504" i="7"/>
  <c r="F501" i="7"/>
  <c r="F429" i="7"/>
  <c r="F141" i="7"/>
  <c r="F230" i="7"/>
  <c r="F435" i="7"/>
  <c r="F505" i="7"/>
  <c r="F385" i="7"/>
  <c r="F414" i="7"/>
  <c r="F142" i="7"/>
  <c r="F307" i="7"/>
  <c r="F386" i="7"/>
  <c r="F387" i="7"/>
  <c r="F308" i="7"/>
  <c r="F3" i="7"/>
  <c r="F143" i="7"/>
  <c r="F4" i="7"/>
  <c r="F144" i="7"/>
  <c r="F145" i="7"/>
  <c r="F231" i="7"/>
  <c r="F55" i="7"/>
  <c r="F232" i="7"/>
  <c r="F233" i="7"/>
  <c r="F56" i="7"/>
  <c r="F415" i="7"/>
  <c r="F506" i="7"/>
  <c r="F476" i="7"/>
  <c r="F309" i="7"/>
  <c r="F146" i="7"/>
  <c r="F355" i="7"/>
  <c r="F147" i="7"/>
  <c r="F57" i="7"/>
  <c r="F310" i="7"/>
  <c r="F148" i="7"/>
  <c r="F311" i="7"/>
  <c r="F356" i="7"/>
  <c r="F234" i="7"/>
  <c r="F235" i="7"/>
  <c r="F58" i="7"/>
  <c r="F466" i="7"/>
  <c r="F458" i="7"/>
  <c r="F312" i="7"/>
  <c r="F59" i="7"/>
  <c r="F60" i="7"/>
  <c r="F495" i="7"/>
  <c r="F5" i="7"/>
  <c r="F507" i="7"/>
  <c r="F236" i="7"/>
  <c r="F237" i="7"/>
  <c r="F61" i="7"/>
  <c r="F388" i="7"/>
  <c r="F389" i="7"/>
  <c r="F62" i="7"/>
  <c r="F508" i="7"/>
  <c r="F313" i="7"/>
  <c r="F63" i="7"/>
  <c r="F149" i="7"/>
  <c r="F64" i="7"/>
  <c r="F314" i="7"/>
  <c r="F238" i="7"/>
  <c r="F239" i="7"/>
  <c r="F150" i="7"/>
  <c r="F459" i="7"/>
  <c r="F390" i="7"/>
  <c r="F65" i="7"/>
  <c r="F357" i="7"/>
  <c r="F358" i="7"/>
  <c r="F416" i="7"/>
  <c r="F240" i="7"/>
  <c r="F497" i="7"/>
  <c r="F315" i="7"/>
  <c r="F417" i="7"/>
  <c r="F486" i="7"/>
  <c r="F583" i="7"/>
  <c r="F241" i="7"/>
  <c r="F151" i="7"/>
  <c r="F242" i="7"/>
  <c r="F792" i="7"/>
  <c r="F359" i="7"/>
  <c r="F152" i="7"/>
  <c r="F66" i="7"/>
  <c r="F391" i="7"/>
  <c r="F153" i="7"/>
  <c r="F6" i="7"/>
  <c r="F360" i="7"/>
  <c r="F243" i="7"/>
  <c r="F154" i="7"/>
  <c r="F392" i="7"/>
  <c r="F7" i="7"/>
  <c r="F155" i="7"/>
  <c r="F316" i="7"/>
  <c r="F317" i="7"/>
  <c r="F156" i="7"/>
  <c r="F157" i="7"/>
  <c r="F480" i="7"/>
  <c r="F67" i="7"/>
  <c r="F584" i="7"/>
  <c r="F158" i="7"/>
  <c r="F244" i="7"/>
  <c r="F159" i="7"/>
  <c r="F418" i="7"/>
  <c r="F318" i="7"/>
  <c r="F393" i="7"/>
  <c r="F245" i="7"/>
  <c r="F246" i="7"/>
  <c r="F394" i="7"/>
  <c r="F509" i="7"/>
  <c r="F68" i="7"/>
  <c r="F510" i="7"/>
  <c r="F319" i="7"/>
  <c r="F511" i="7"/>
  <c r="F512" i="7"/>
  <c r="F948" i="7"/>
  <c r="F513" i="7"/>
  <c r="F160" i="7"/>
  <c r="F361" i="7"/>
  <c r="F8" i="7"/>
  <c r="F419" i="7"/>
  <c r="F161" i="7"/>
  <c r="F798" i="7"/>
  <c r="F514" i="7"/>
  <c r="F515" i="7"/>
  <c r="F69" i="7"/>
  <c r="F320" i="7"/>
  <c r="F162" i="7"/>
  <c r="F500" i="7"/>
  <c r="F70" i="7"/>
  <c r="F163" i="7"/>
  <c r="F516" i="7"/>
  <c r="F71" i="7"/>
  <c r="F247" i="7"/>
  <c r="F248" i="7"/>
  <c r="F517" i="7"/>
  <c r="F249" i="7"/>
  <c r="F518" i="7"/>
  <c r="F395" i="7"/>
  <c r="F321" i="7"/>
  <c r="F9" i="7"/>
  <c r="F10" i="7"/>
  <c r="F164" i="7"/>
  <c r="F165" i="7"/>
  <c r="F72" i="7"/>
  <c r="F73" i="7"/>
  <c r="F74" i="7"/>
  <c r="F166" i="7"/>
  <c r="F430" i="7"/>
  <c r="F250" i="7"/>
  <c r="F460" i="7"/>
  <c r="F519" i="7"/>
  <c r="F75" i="7"/>
  <c r="F167" i="7"/>
  <c r="F251" i="7"/>
  <c r="F520" i="7"/>
  <c r="F579" i="7"/>
  <c r="F11" i="7"/>
  <c r="F76" i="7"/>
  <c r="F521" i="7"/>
  <c r="F522" i="7"/>
  <c r="F168" i="7"/>
  <c r="F523" i="7"/>
  <c r="F524" i="7"/>
  <c r="F525" i="7"/>
  <c r="F322" i="7"/>
  <c r="F473" i="7"/>
  <c r="F800" i="7"/>
  <c r="F12" i="7"/>
  <c r="F526" i="7"/>
  <c r="F527" i="7"/>
  <c r="F528" i="7"/>
  <c r="F529" i="7"/>
  <c r="F77" i="7"/>
  <c r="F78" i="7"/>
  <c r="F323" i="7"/>
  <c r="F530" i="7"/>
  <c r="F169" i="7"/>
  <c r="F79" i="7"/>
  <c r="F324" i="7"/>
  <c r="F531" i="7"/>
  <c r="F170" i="7"/>
  <c r="F532" i="7"/>
  <c r="F461" i="7"/>
  <c r="F80" i="7"/>
  <c r="F252" i="7"/>
  <c r="F533" i="7"/>
  <c r="F171" i="7"/>
  <c r="F585" i="7"/>
  <c r="F534" i="7"/>
  <c r="F253" i="7"/>
  <c r="F535" i="7"/>
  <c r="F474" i="7"/>
  <c r="F172" i="7"/>
  <c r="F254" i="7"/>
  <c r="F536" i="7"/>
  <c r="F487" i="7"/>
  <c r="F173" i="7"/>
  <c r="F537" i="7"/>
  <c r="F255" i="7"/>
  <c r="F174" i="7"/>
  <c r="F420" i="7"/>
  <c r="F499" i="7"/>
  <c r="F175" i="7"/>
  <c r="F256" i="7"/>
  <c r="F81" i="7"/>
  <c r="F444" i="7"/>
  <c r="F82" i="7"/>
  <c r="F257" i="7"/>
  <c r="F538" i="7"/>
  <c r="F83" i="7"/>
  <c r="F801" i="7"/>
  <c r="F539" i="7"/>
  <c r="F13" i="7"/>
  <c r="F540" i="7"/>
  <c r="F176" i="7"/>
  <c r="F84" i="7"/>
  <c r="F177" i="7"/>
  <c r="F436" i="7"/>
  <c r="F178" i="7"/>
  <c r="F14" i="7"/>
  <c r="F362" i="7"/>
  <c r="F179" i="7"/>
  <c r="F325" i="7"/>
  <c r="F15" i="7"/>
  <c r="F180" i="7"/>
  <c r="F421" i="7"/>
  <c r="F541" i="7"/>
  <c r="F258" i="7"/>
  <c r="F259" i="7"/>
  <c r="F542" i="7"/>
  <c r="F422" i="7"/>
  <c r="F437" i="7"/>
  <c r="F181" i="7"/>
  <c r="F260" i="7"/>
  <c r="F261" i="7"/>
  <c r="F262" i="7"/>
  <c r="F263" i="7"/>
  <c r="F264" i="7"/>
  <c r="F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16" i="7"/>
  <c r="F622" i="7"/>
  <c r="F17" i="7"/>
  <c r="F265" i="7"/>
  <c r="F623" i="7"/>
  <c r="F18" i="7"/>
  <c r="F19" i="7"/>
  <c r="F624" i="7"/>
  <c r="F543" i="7"/>
  <c r="F326" i="7"/>
  <c r="F182" i="7"/>
  <c r="F479" i="7"/>
  <c r="F266" i="7"/>
  <c r="F363" i="7"/>
  <c r="F183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93" i="7"/>
  <c r="F794" i="7"/>
  <c r="F582" i="7"/>
  <c r="F721" i="7"/>
  <c r="F722" i="7"/>
  <c r="F723" i="7"/>
  <c r="F4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95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396" i="7"/>
  <c r="F777" i="7"/>
  <c r="F778" i="7"/>
  <c r="F779" i="7"/>
  <c r="F780" i="7"/>
  <c r="F781" i="7"/>
  <c r="F782" i="7"/>
  <c r="F783" i="7"/>
  <c r="F784" i="7"/>
  <c r="F544" i="7"/>
  <c r="F86" i="7"/>
  <c r="F87" i="7"/>
  <c r="F20" i="7"/>
  <c r="F88" i="7"/>
  <c r="F184" i="7"/>
  <c r="F397" i="7"/>
  <c r="F185" i="7"/>
  <c r="F545" i="7"/>
  <c r="F546" i="7"/>
  <c r="F484" i="7"/>
  <c r="F547" i="7"/>
  <c r="F548" i="7"/>
  <c r="F267" i="7"/>
  <c r="F785" i="7"/>
  <c r="F21" i="7"/>
  <c r="F89" i="7"/>
  <c r="F268" i="7"/>
  <c r="F549" i="7"/>
  <c r="F186" i="7"/>
  <c r="F90" i="7"/>
  <c r="F22" i="7"/>
  <c r="F398" i="7"/>
  <c r="F91" i="7"/>
  <c r="F786" i="7"/>
  <c r="F787" i="7"/>
  <c r="F788" i="7"/>
  <c r="F789" i="7"/>
  <c r="F790" i="7"/>
  <c r="F791" i="7"/>
  <c r="F550" i="7"/>
  <c r="F269" i="7"/>
  <c r="F187" i="7"/>
  <c r="F462" i="7"/>
  <c r="F92" i="7"/>
  <c r="F364" i="7"/>
  <c r="F399" i="7"/>
  <c r="F327" i="7"/>
  <c r="F188" i="7"/>
  <c r="F270" i="7"/>
  <c r="F328" i="7"/>
  <c r="F189" i="7"/>
  <c r="F93" i="7"/>
  <c r="F190" i="7"/>
  <c r="F191" i="7"/>
  <c r="F94" i="7"/>
  <c r="F23" i="7"/>
  <c r="F329" i="7"/>
  <c r="F400" i="7"/>
  <c r="F192" i="7"/>
  <c r="F271" i="7"/>
  <c r="F424" i="7"/>
  <c r="F193" i="7"/>
  <c r="F431" i="7"/>
  <c r="F24" i="7"/>
  <c r="F95" i="7"/>
  <c r="F330" i="7"/>
  <c r="F331" i="7"/>
  <c r="F96" i="7"/>
  <c r="F365" i="7"/>
  <c r="F332" i="7"/>
  <c r="F97" i="7"/>
  <c r="F98" i="7"/>
  <c r="F194" i="7"/>
  <c r="F491" i="7"/>
  <c r="F99" i="7"/>
  <c r="F195" i="7"/>
  <c r="F196" i="7"/>
  <c r="F197" i="7"/>
  <c r="F477" i="7"/>
  <c r="F471" i="7"/>
  <c r="F333" i="7"/>
  <c r="F100" i="7"/>
  <c r="F272" i="7"/>
  <c r="F273" i="7"/>
  <c r="F101" i="7"/>
  <c r="F198" i="7"/>
  <c r="F454" i="7"/>
  <c r="F102" i="7"/>
  <c r="F103" i="7"/>
  <c r="F401" i="7"/>
  <c r="F199" i="7"/>
  <c r="F274" i="7"/>
  <c r="F275" i="7"/>
  <c r="F200" i="7"/>
  <c r="F201" i="7"/>
  <c r="F104" i="7"/>
  <c r="F105" i="7"/>
  <c r="F106" i="7"/>
  <c r="F107" i="7"/>
  <c r="F402" i="7"/>
  <c r="F108" i="7"/>
  <c r="F202" i="7"/>
  <c r="F403" i="7"/>
  <c r="F109" i="7"/>
  <c r="F203" i="7"/>
  <c r="F366" i="7"/>
  <c r="F445" i="7"/>
  <c r="F404" i="7"/>
  <c r="F110" i="7"/>
  <c r="F367" i="7"/>
  <c r="F502" i="7"/>
  <c r="F111" i="7"/>
  <c r="F276" i="7"/>
  <c r="F204" i="7"/>
  <c r="F112" i="7"/>
  <c r="F25" i="7"/>
  <c r="F551" i="7"/>
  <c r="F26" i="7"/>
  <c r="F113" i="7"/>
  <c r="F205" i="7"/>
  <c r="F277" i="7"/>
  <c r="F334" i="7"/>
  <c r="F425" i="7"/>
  <c r="F335" i="7"/>
  <c r="F552" i="7"/>
  <c r="F336" i="7"/>
  <c r="F553" i="7"/>
  <c r="F206" i="7"/>
  <c r="F114" i="7"/>
  <c r="F278" i="7"/>
  <c r="F368" i="7"/>
  <c r="F405" i="7"/>
  <c r="F488" i="7"/>
  <c r="F406" i="7"/>
  <c r="F467" i="7"/>
  <c r="F475" i="7"/>
  <c r="F337" i="7"/>
  <c r="F27" i="7"/>
  <c r="F492" i="7"/>
  <c r="F338" i="7"/>
  <c r="F407" i="7"/>
  <c r="F469" i="7"/>
  <c r="F554" i="7"/>
  <c r="F472" i="7"/>
  <c r="F115" i="7"/>
  <c r="F279" i="7"/>
  <c r="F207" i="7"/>
  <c r="F438" i="7"/>
  <c r="F369" i="7"/>
  <c r="F280" i="7"/>
  <c r="F28" i="7"/>
  <c r="F281" i="7"/>
  <c r="F282" i="7"/>
  <c r="F446" i="7"/>
  <c r="F447" i="7"/>
  <c r="F116" i="7"/>
  <c r="F283" i="7"/>
  <c r="F29" i="7"/>
  <c r="F555" i="7"/>
  <c r="F432" i="7"/>
  <c r="F208" i="7"/>
  <c r="F339" i="7"/>
  <c r="F209" i="7"/>
  <c r="F340" i="7"/>
  <c r="F117" i="7"/>
  <c r="F370" i="7"/>
  <c r="F433" i="7"/>
  <c r="F556" i="7"/>
  <c r="F439" i="7"/>
  <c r="F284" i="7"/>
  <c r="F118" i="7"/>
  <c r="F210" i="7"/>
  <c r="F580" i="7"/>
  <c r="F557" i="7"/>
  <c r="F493" i="7"/>
  <c r="F211" i="7"/>
  <c r="F285" i="7"/>
  <c r="F448" i="7"/>
  <c r="F286" i="7"/>
  <c r="F287" i="7"/>
  <c r="F558" i="7"/>
  <c r="F426" i="7"/>
  <c r="F408" i="7"/>
  <c r="F288" i="7"/>
  <c r="F289" i="7"/>
  <c r="F119" i="7"/>
  <c r="F120" i="7"/>
  <c r="F30" i="7"/>
  <c r="F290" i="7"/>
  <c r="F449" i="7"/>
  <c r="F450" i="7"/>
  <c r="F341" i="7"/>
  <c r="F212" i="7"/>
  <c r="F31" i="7"/>
  <c r="F440" i="7"/>
  <c r="F371" i="7"/>
  <c r="F121" i="7"/>
  <c r="F291" i="7"/>
  <c r="F372" i="7"/>
  <c r="F342" i="7"/>
  <c r="F122" i="7"/>
  <c r="F482" i="7"/>
  <c r="F451" i="7"/>
  <c r="F559" i="7"/>
  <c r="F802" i="7"/>
  <c r="F470" i="7"/>
  <c r="F947" i="7"/>
  <c r="F343" i="7"/>
  <c r="F581" i="7"/>
  <c r="F803" i="7"/>
  <c r="F804" i="7"/>
  <c r="F805" i="7"/>
  <c r="F806" i="7"/>
  <c r="F807" i="7"/>
  <c r="F292" i="7"/>
  <c r="F32" i="7"/>
  <c r="F33" i="7"/>
  <c r="F213" i="7"/>
  <c r="F808" i="7"/>
  <c r="F809" i="7"/>
  <c r="F810" i="7"/>
  <c r="F811" i="7"/>
  <c r="F812" i="7"/>
  <c r="F813" i="7"/>
  <c r="F344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560" i="7"/>
  <c r="F561" i="7"/>
  <c r="F562" i="7"/>
  <c r="F563" i="7"/>
  <c r="F564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293" i="7"/>
  <c r="F843" i="7"/>
  <c r="F844" i="7"/>
  <c r="F845" i="7"/>
  <c r="F846" i="7"/>
  <c r="F847" i="7"/>
  <c r="F848" i="7"/>
  <c r="F294" i="7"/>
  <c r="F481" i="7"/>
  <c r="F214" i="7"/>
  <c r="F849" i="7"/>
  <c r="F850" i="7"/>
  <c r="F851" i="7"/>
  <c r="F852" i="7"/>
  <c r="F853" i="7"/>
  <c r="F854" i="7"/>
  <c r="F855" i="7"/>
  <c r="F215" i="7"/>
  <c r="F856" i="7"/>
  <c r="F857" i="7"/>
  <c r="F858" i="7"/>
  <c r="F859" i="7"/>
  <c r="F496" i="7"/>
  <c r="F860" i="7"/>
  <c r="F861" i="7"/>
  <c r="F862" i="7"/>
  <c r="F863" i="7"/>
  <c r="F864" i="7"/>
  <c r="F865" i="7"/>
  <c r="F866" i="7"/>
  <c r="F867" i="7"/>
  <c r="F565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373" i="7"/>
  <c r="F904" i="7"/>
  <c r="F905" i="7"/>
  <c r="F906" i="7"/>
  <c r="F907" i="7"/>
  <c r="F345" i="7"/>
  <c r="F908" i="7"/>
  <c r="F346" i="7"/>
  <c r="F216" i="7"/>
  <c r="F909" i="7"/>
  <c r="F910" i="7"/>
  <c r="F911" i="7"/>
  <c r="F912" i="7"/>
  <c r="F295" i="7"/>
  <c r="F566" i="7"/>
  <c r="F913" i="7"/>
  <c r="F914" i="7"/>
  <c r="F915" i="7"/>
  <c r="F347" i="7"/>
  <c r="F916" i="7"/>
  <c r="F917" i="7"/>
  <c r="F494" i="7"/>
  <c r="F123" i="7"/>
  <c r="F34" i="7"/>
  <c r="F918" i="7"/>
  <c r="F567" i="7"/>
  <c r="F919" i="7"/>
  <c r="F920" i="7"/>
  <c r="F455" i="7"/>
  <c r="F348" i="7"/>
  <c r="F921" i="7"/>
  <c r="F922" i="7"/>
  <c r="F923" i="7"/>
  <c r="F924" i="7"/>
  <c r="F124" i="7"/>
  <c r="F35" i="7"/>
  <c r="F925" i="7"/>
  <c r="F217" i="7"/>
  <c r="F926" i="7"/>
  <c r="F927" i="7"/>
  <c r="F568" i="7"/>
  <c r="F928" i="7"/>
  <c r="F929" i="7"/>
  <c r="F930" i="7"/>
  <c r="F374" i="7"/>
  <c r="F296" i="7"/>
  <c r="F931" i="7"/>
  <c r="F932" i="7"/>
  <c r="F933" i="7"/>
  <c r="F468" i="7"/>
  <c r="F409" i="7"/>
  <c r="F427" i="7"/>
  <c r="F934" i="7"/>
  <c r="F569" i="7"/>
  <c r="F935" i="7"/>
  <c r="F218" i="7"/>
  <c r="F936" i="7"/>
  <c r="F297" i="7"/>
  <c r="F483" i="7"/>
  <c r="F937" i="7"/>
  <c r="F938" i="7"/>
  <c r="F939" i="7"/>
  <c r="F940" i="7"/>
  <c r="F441" i="7"/>
  <c r="F125" i="7"/>
  <c r="F941" i="7"/>
  <c r="F942" i="7"/>
  <c r="F36" i="7"/>
  <c r="F943" i="7"/>
  <c r="F944" i="7"/>
  <c r="F945" i="7"/>
  <c r="F946" i="7"/>
  <c r="F37" i="7"/>
  <c r="F489" i="7"/>
  <c r="F796" i="7"/>
  <c r="F949" i="7"/>
  <c r="F950" i="7"/>
  <c r="F951" i="7"/>
  <c r="F952" i="7"/>
  <c r="F953" i="7"/>
  <c r="F954" i="7"/>
  <c r="F1001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570" i="7"/>
  <c r="F968" i="7"/>
  <c r="F969" i="7"/>
  <c r="F970" i="7"/>
  <c r="F971" i="7"/>
  <c r="F972" i="7"/>
  <c r="F571" i="7"/>
  <c r="F973" i="7"/>
  <c r="F799" i="7"/>
  <c r="F974" i="7"/>
  <c r="F975" i="7"/>
  <c r="F976" i="7"/>
  <c r="F977" i="7"/>
  <c r="F978" i="7"/>
  <c r="F979" i="7"/>
  <c r="F1000" i="7"/>
  <c r="F980" i="7"/>
  <c r="F981" i="7"/>
  <c r="F982" i="7"/>
  <c r="F983" i="7"/>
  <c r="F984" i="7"/>
  <c r="F985" i="7"/>
  <c r="F986" i="7"/>
  <c r="F987" i="7"/>
  <c r="F126" i="7"/>
  <c r="F127" i="7"/>
  <c r="F988" i="7"/>
  <c r="F797" i="7"/>
  <c r="F128" i="7"/>
  <c r="F989" i="7"/>
  <c r="F990" i="7"/>
  <c r="F991" i="7"/>
  <c r="F992" i="7"/>
  <c r="F993" i="7"/>
  <c r="F994" i="7"/>
  <c r="F995" i="7"/>
  <c r="F996" i="7"/>
  <c r="F997" i="7"/>
  <c r="F998" i="7"/>
  <c r="F456" i="7"/>
  <c r="F298" i="7"/>
  <c r="F129" i="7"/>
  <c r="F410" i="7"/>
  <c r="F572" i="7"/>
  <c r="F38" i="7"/>
  <c r="F219" i="7"/>
  <c r="F463" i="7"/>
  <c r="F375" i="7"/>
  <c r="F411" i="7"/>
  <c r="F130" i="7"/>
  <c r="F131" i="7"/>
  <c r="F573" i="7"/>
  <c r="F132" i="7"/>
  <c r="F299" i="7"/>
  <c r="F999" i="7"/>
  <c r="F300" i="7"/>
  <c r="F574" i="7"/>
  <c r="F220" i="7"/>
  <c r="F434" i="7"/>
  <c r="F39" i="7"/>
  <c r="F575" i="7"/>
  <c r="F133" i="7"/>
  <c r="F485" i="7"/>
  <c r="F452" i="7"/>
  <c r="F412" i="7"/>
  <c r="F464" i="7"/>
  <c r="F498" i="7"/>
  <c r="F576" i="7"/>
  <c r="F349" i="7"/>
  <c r="F376" i="7"/>
  <c r="F465" i="7"/>
  <c r="F134" i="7"/>
  <c r="F221" i="7"/>
  <c r="F135" i="7"/>
  <c r="F350" i="7"/>
  <c r="F301" i="7"/>
  <c r="F222" i="7"/>
  <c r="F377" i="7"/>
  <c r="F223" i="7"/>
  <c r="F224" i="7"/>
  <c r="F302" i="7"/>
  <c r="F378" i="7"/>
  <c r="F379" i="7"/>
  <c r="F40" i="7"/>
  <c r="F351" i="7"/>
  <c r="F225" i="7"/>
  <c r="F380" i="7"/>
  <c r="F352" i="7"/>
  <c r="F41" i="7"/>
  <c r="F303" i="7"/>
  <c r="F428" i="7"/>
  <c r="F381" i="7"/>
  <c r="F478" i="7"/>
  <c r="F577" i="7"/>
  <c r="F304" i="7"/>
  <c r="F353" i="7"/>
  <c r="F136" i="7"/>
  <c r="F137" i="7"/>
  <c r="F42" i="7"/>
  <c r="F354" i="7"/>
  <c r="F413" i="7"/>
  <c r="F138" i="7"/>
  <c r="F382" i="7"/>
  <c r="F442" i="7"/>
  <c r="F226" i="7"/>
  <c r="F227" i="7"/>
  <c r="F43" i="7"/>
  <c r="F578" i="7"/>
  <c r="F139" i="7"/>
  <c r="F44" i="7"/>
  <c r="F45" i="7"/>
  <c r="F305" i="7"/>
  <c r="F140" i="7"/>
  <c r="F46" i="7"/>
  <c r="F47" i="7"/>
  <c r="F383" i="7"/>
  <c r="F1002" i="7"/>
  <c r="J222" i="7"/>
  <c r="J411" i="7"/>
</calcChain>
</file>

<file path=xl/sharedStrings.xml><?xml version="1.0" encoding="utf-8"?>
<sst xmlns="http://schemas.openxmlformats.org/spreadsheetml/2006/main" count="28691" uniqueCount="2558">
  <si>
    <t>Hosp</t>
  </si>
  <si>
    <t>Mno.</t>
  </si>
  <si>
    <t>SVC No.</t>
  </si>
  <si>
    <t>Name</t>
  </si>
  <si>
    <t>Age</t>
  </si>
  <si>
    <t>R/Ship</t>
  </si>
  <si>
    <t>Diagnosis</t>
  </si>
  <si>
    <t>DOA</t>
  </si>
  <si>
    <t>DOD</t>
  </si>
  <si>
    <t>Hosp stay Days</t>
  </si>
  <si>
    <t>Approved LOU on Account (Kshs)</t>
  </si>
  <si>
    <t>Month Paid</t>
  </si>
  <si>
    <t>BISHOP KIOKO</t>
  </si>
  <si>
    <t xml:space="preserve">Priscilla Gacheri </t>
  </si>
  <si>
    <t xml:space="preserve">Female </t>
  </si>
  <si>
    <t>Spouse</t>
  </si>
  <si>
    <t xml:space="preserve">Cancer of cervix </t>
  </si>
  <si>
    <t>02.01.2026</t>
  </si>
  <si>
    <t>January</t>
  </si>
  <si>
    <t>BLOOM HOSP</t>
  </si>
  <si>
    <t>John Chemitei</t>
  </si>
  <si>
    <t>Male 0721446037</t>
  </si>
  <si>
    <t>Contributor</t>
  </si>
  <si>
    <t xml:space="preserve">Ca Prostate </t>
  </si>
  <si>
    <t>06.01.2026</t>
  </si>
  <si>
    <t>07.01.2026</t>
  </si>
  <si>
    <t>EMBU CHILDREN</t>
  </si>
  <si>
    <t>Elizabeth Wanjira</t>
  </si>
  <si>
    <t>Female 0708753773</t>
  </si>
  <si>
    <t>Acute abdomen</t>
  </si>
  <si>
    <t>25.01.2026</t>
  </si>
  <si>
    <t>26.01.2026</t>
  </si>
  <si>
    <t>EXCEL HEALTH SERVICE</t>
  </si>
  <si>
    <t>Adan Gedi</t>
  </si>
  <si>
    <t>Male 0759808775</t>
  </si>
  <si>
    <t>Hyperglycaemia in dm/gastritis</t>
  </si>
  <si>
    <t>12.01.2026</t>
  </si>
  <si>
    <t>13.01.2026</t>
  </si>
  <si>
    <t>KISUMU SPECIALIST</t>
  </si>
  <si>
    <t>Jeremiah Jumba</t>
  </si>
  <si>
    <t>Male 0721295798</t>
  </si>
  <si>
    <t>Drug induced psychosis</t>
  </si>
  <si>
    <t>14.01.2026</t>
  </si>
  <si>
    <t>MATER HOSP</t>
  </si>
  <si>
    <t xml:space="preserve">Elizabeth Wambui </t>
  </si>
  <si>
    <t>Rupture brain Aneursym</t>
  </si>
  <si>
    <t>04.01.2026</t>
  </si>
  <si>
    <t>NAIROBI SOUTH</t>
  </si>
  <si>
    <t>Ambia Omar</t>
  </si>
  <si>
    <t>Female</t>
  </si>
  <si>
    <t>Aspiration /bronchiolitis</t>
  </si>
  <si>
    <t>09.01.2026</t>
  </si>
  <si>
    <t>10.01.2026</t>
  </si>
  <si>
    <t>NAIROBI WEST HOSP</t>
  </si>
  <si>
    <t>Sophia Ombaka</t>
  </si>
  <si>
    <t>Female 0720889049</t>
  </si>
  <si>
    <t>Angina/Coronary artherosclerosis /Htn/Dm</t>
  </si>
  <si>
    <t>08.01.2026</t>
  </si>
  <si>
    <t>NANYUKI HOSP</t>
  </si>
  <si>
    <t>Godfrey Gitonga</t>
  </si>
  <si>
    <t>Male</t>
  </si>
  <si>
    <t>Bladder outlet obstruction</t>
  </si>
  <si>
    <t>24.01.2026</t>
  </si>
  <si>
    <t>PANDYA HOSP</t>
  </si>
  <si>
    <t>Najaa Nassir</t>
  </si>
  <si>
    <t>Fibromylgia</t>
  </si>
  <si>
    <t>22.01.2026</t>
  </si>
  <si>
    <t>23.01.2026</t>
  </si>
  <si>
    <t>REALE HOSP</t>
  </si>
  <si>
    <t>Peter Wanjala</t>
  </si>
  <si>
    <t>CKD/HTN/dm</t>
  </si>
  <si>
    <t>11.01.2026</t>
  </si>
  <si>
    <t>ST LUKES O&amp;T</t>
  </si>
  <si>
    <t>Esther Songok</t>
  </si>
  <si>
    <t xml:space="preserve">Cervical Dysplasia </t>
  </si>
  <si>
    <t>UHSF -DFMH</t>
  </si>
  <si>
    <t>Margaret Adhiambo</t>
  </si>
  <si>
    <t xml:space="preserve"> Carotid body tumor</t>
  </si>
  <si>
    <t>15.01.2026</t>
  </si>
  <si>
    <t>16.01.2026</t>
  </si>
  <si>
    <t>Audi Mito</t>
  </si>
  <si>
    <t>Right renal calculi/urolithiasis</t>
  </si>
  <si>
    <t>22.01.2026-Hosp to bill through smart</t>
  </si>
  <si>
    <t>Haji Abubakar Haji</t>
  </si>
  <si>
    <t>DCM/Lead displacement</t>
  </si>
  <si>
    <t>28.01.2026</t>
  </si>
  <si>
    <t>AGA KHAN KISUMU</t>
  </si>
  <si>
    <t xml:space="preserve">Millicent Adhiambo </t>
  </si>
  <si>
    <t xml:space="preserve">Child </t>
  </si>
  <si>
    <t xml:space="preserve">Severe Pneumonia </t>
  </si>
  <si>
    <t>AIC KIJABE</t>
  </si>
  <si>
    <t>Josephine Wachira</t>
  </si>
  <si>
    <t>Female 0722604220</t>
  </si>
  <si>
    <t>Degenerative disc disease</t>
  </si>
  <si>
    <t>19.01.2026</t>
  </si>
  <si>
    <t>21.01.2026</t>
  </si>
  <si>
    <t>Jane Chepchirchir</t>
  </si>
  <si>
    <t>Female 0787537260</t>
  </si>
  <si>
    <t>Htn/Electrolyte imbalance/Gastritis</t>
  </si>
  <si>
    <t>20.01.2026</t>
  </si>
  <si>
    <t>Sylvester Kiplangat</t>
  </si>
  <si>
    <t>Male 0720336789</t>
  </si>
  <si>
    <t xml:space="preserve">Ca Lung </t>
  </si>
  <si>
    <t>01.01.2026</t>
  </si>
  <si>
    <t>03.01.2026</t>
  </si>
  <si>
    <t>Francis Wahome</t>
  </si>
  <si>
    <t>Male 0723269114</t>
  </si>
  <si>
    <t>Gastritis/jaundice ?cause</t>
  </si>
  <si>
    <t>27.01.2026</t>
  </si>
  <si>
    <t>DIANI BEACH</t>
  </si>
  <si>
    <t>Lawrence Kasuku</t>
  </si>
  <si>
    <t>Male 0711708488</t>
  </si>
  <si>
    <t xml:space="preserve">Htn Urgency /Gastritis </t>
  </si>
  <si>
    <t>DOCTORS CENTRE</t>
  </si>
  <si>
    <t>Zipporah Munyiva Katia</t>
  </si>
  <si>
    <t>Female 0722399120</t>
  </si>
  <si>
    <t>Vulva warts</t>
  </si>
  <si>
    <t>KIMININI COTTAGE</t>
  </si>
  <si>
    <t xml:space="preserve">Adrian Nandasaba </t>
  </si>
  <si>
    <t>Male 0727047710</t>
  </si>
  <si>
    <t xml:space="preserve">Ganglion Cyst </t>
  </si>
  <si>
    <t>05.01.2026</t>
  </si>
  <si>
    <t>Joseph Akunga</t>
  </si>
  <si>
    <t>Male 0721861437</t>
  </si>
  <si>
    <t>Lumbar spondylosis/Ca Prostate</t>
  </si>
  <si>
    <t xml:space="preserve">Joseph Mutemi </t>
  </si>
  <si>
    <t xml:space="preserve">Male </t>
  </si>
  <si>
    <t>Dysonea /Chest Injury due to MI</t>
  </si>
  <si>
    <r>
      <t>02.01.2026</t>
    </r>
    <r>
      <rPr>
        <b/>
        <sz val="9"/>
        <color theme="1"/>
        <rFont val="Tahoma"/>
        <family val="2"/>
      </rPr>
      <t xml:space="preserve"> Deceased</t>
    </r>
  </si>
  <si>
    <t>MEPHI HEALTH</t>
  </si>
  <si>
    <t>Samuel Bahati</t>
  </si>
  <si>
    <t>Male 0726252700</t>
  </si>
  <si>
    <t>Child</t>
  </si>
  <si>
    <t>Aphthous ulcers</t>
  </si>
  <si>
    <t>Jonathan Kiseri</t>
  </si>
  <si>
    <t>Male 0724170718</t>
  </si>
  <si>
    <t xml:space="preserve">Myocardial infarction </t>
  </si>
  <si>
    <t>NYANGENA MISSION</t>
  </si>
  <si>
    <t>Kefa Mireri</t>
  </si>
  <si>
    <t>Male 0719419290</t>
  </si>
  <si>
    <t>Electrical burn injury</t>
  </si>
  <si>
    <t>17.01.2026</t>
  </si>
  <si>
    <t>PREMIER HOSP</t>
  </si>
  <si>
    <t xml:space="preserve">Hawo  Kason </t>
  </si>
  <si>
    <t>Female 0723791134</t>
  </si>
  <si>
    <t>Bartholin Abscess /GE</t>
  </si>
  <si>
    <t>SILOAM HOSP</t>
  </si>
  <si>
    <t>Rebecca Chepngeno</t>
  </si>
  <si>
    <t>Female 072289853</t>
  </si>
  <si>
    <t xml:space="preserve">Cellulities </t>
  </si>
  <si>
    <t>ST ELIZABETH MUKUMU</t>
  </si>
  <si>
    <t>Charles Mayabi</t>
  </si>
  <si>
    <t>Male 0724559663</t>
  </si>
  <si>
    <t>Acute gastritis/suspected malaria/dm/ckd</t>
  </si>
  <si>
    <t>18.01.2026</t>
  </si>
  <si>
    <t>ST FRANCIS COMMUNITY</t>
  </si>
  <si>
    <t>Irene Njogu</t>
  </si>
  <si>
    <t>Female 0723555554</t>
  </si>
  <si>
    <t>Symptomatic fibroids</t>
  </si>
  <si>
    <t>ST JOSEPH SHELTER</t>
  </si>
  <si>
    <t>Streda Mkaluma</t>
  </si>
  <si>
    <t>Dengue fever/gastritis</t>
  </si>
  <si>
    <t>Meleniah Ambonya</t>
  </si>
  <si>
    <t>Female 0790936000</t>
  </si>
  <si>
    <t>Goitre</t>
  </si>
  <si>
    <t xml:space="preserve">Pauline Lagat </t>
  </si>
  <si>
    <t>Female 0722989397</t>
  </si>
  <si>
    <t>Acute PID /AKI</t>
  </si>
  <si>
    <t>Betty Chepkoech</t>
  </si>
  <si>
    <t>Female 0724248587</t>
  </si>
  <si>
    <t>Symptomatic choldithiasis</t>
  </si>
  <si>
    <t>TENWEK HOSP</t>
  </si>
  <si>
    <t xml:space="preserve">Wesly Kibet </t>
  </si>
  <si>
    <t>Male 0722482237</t>
  </si>
  <si>
    <t xml:space="preserve">Heart Failure with reduced ejection fraction </t>
  </si>
  <si>
    <t>05.01.2026 (SHA Ksh.537,600.00)</t>
  </si>
  <si>
    <t>Stephen Otieno</t>
  </si>
  <si>
    <t>Dm/infected gastro infection</t>
  </si>
  <si>
    <t>UHSF-LRH</t>
  </si>
  <si>
    <t>Elijah Kipkirui</t>
  </si>
  <si>
    <t>Male 0796157332</t>
  </si>
  <si>
    <t xml:space="preserve">Alcohol use disorder </t>
  </si>
  <si>
    <t>TOWNSHIP COTTAGE</t>
  </si>
  <si>
    <t>Habiba Wako</t>
  </si>
  <si>
    <t>Typhoid /gastritis</t>
  </si>
  <si>
    <t>Nairobi Hosp</t>
  </si>
  <si>
    <t>Jane Teresa Kavita</t>
  </si>
  <si>
    <t>Female 0703972911</t>
  </si>
  <si>
    <t>Lt breast invasive ductal carcinoma</t>
  </si>
  <si>
    <r>
      <t>28.01.2026</t>
    </r>
    <r>
      <rPr>
        <sz val="11"/>
        <color theme="1"/>
        <rFont val="Times New Roman"/>
        <family val="1"/>
      </rPr>
      <t xml:space="preserve"> </t>
    </r>
    <r>
      <rPr>
        <sz val="9"/>
        <color theme="1"/>
        <rFont val="Times New Roman"/>
        <family val="1"/>
      </rPr>
      <t>(</t>
    </r>
    <r>
      <rPr>
        <b/>
        <sz val="9"/>
        <color theme="1"/>
        <rFont val="Times New Roman"/>
        <family val="1"/>
      </rPr>
      <t>SHA Ksh 168,400.00</t>
    </r>
    <r>
      <rPr>
        <sz val="9"/>
        <color theme="1"/>
        <rFont val="Times New Roman"/>
        <family val="1"/>
      </rPr>
      <t>)</t>
    </r>
  </si>
  <si>
    <t>31.01.2026</t>
  </si>
  <si>
    <t>Charles Kimani</t>
  </si>
  <si>
    <t>LSS1 lithiasis/ Lower Back pain</t>
  </si>
  <si>
    <t>29.01.2026</t>
  </si>
  <si>
    <t>Josephine Mwalimu</t>
  </si>
  <si>
    <t>Female 0728458750</t>
  </si>
  <si>
    <t>Severe pna/htn/? HHD</t>
  </si>
  <si>
    <t>Acute gastritis/ge/dyspepsia</t>
  </si>
  <si>
    <t>CAMEL HOSP</t>
  </si>
  <si>
    <t>Ahmed Sheikh</t>
  </si>
  <si>
    <t>Male 0728961901</t>
  </si>
  <si>
    <t>Malarial/dengue fever/aki</t>
  </si>
  <si>
    <t>Ibrahim Ali</t>
  </si>
  <si>
    <t>Male 0722956461</t>
  </si>
  <si>
    <t xml:space="preserve">Cellulites of the left leg/sepsis </t>
  </si>
  <si>
    <t>Mohamud Abikar</t>
  </si>
  <si>
    <t>Urine retention secondary to bph/sepsis/uti/aki</t>
  </si>
  <si>
    <t>26.01.2026-Hosp to bill through smart</t>
  </si>
  <si>
    <t>CHERANGANY HOSP</t>
  </si>
  <si>
    <t xml:space="preserve">Geoffrey Wangila </t>
  </si>
  <si>
    <t>Male   0711407532</t>
  </si>
  <si>
    <t xml:space="preserve">Acute ABDOMEN intestinal obstruction </t>
  </si>
  <si>
    <t>CONSOLATA MATHARI</t>
  </si>
  <si>
    <t>Male 0721963084</t>
  </si>
  <si>
    <t>Left hydronephrosis / bph /asthma</t>
  </si>
  <si>
    <t>19.01.2026-Hosp to bill through smart</t>
  </si>
  <si>
    <t>Johnstone Mosaisi</t>
  </si>
  <si>
    <t>Male 0795891770</t>
  </si>
  <si>
    <t>Abdifatah Ibrahim</t>
  </si>
  <si>
    <t>Male 0798114340</t>
  </si>
  <si>
    <t>Pneumonia/sepsis/cerebral palsy</t>
  </si>
  <si>
    <t>JOCHAM HOSP</t>
  </si>
  <si>
    <t xml:space="preserve">Aketch Meroline </t>
  </si>
  <si>
    <t>Female 0718936992</t>
  </si>
  <si>
    <t xml:space="preserve">Dengue Fever </t>
  </si>
  <si>
    <t>Kalume Katana</t>
  </si>
  <si>
    <t>Male 0722124363</t>
  </si>
  <si>
    <t>BPH</t>
  </si>
  <si>
    <t>MTRH</t>
  </si>
  <si>
    <t xml:space="preserve">Ekwam Lotieng </t>
  </si>
  <si>
    <t>Male 0722372412</t>
  </si>
  <si>
    <t xml:space="preserve">Pneumothorax /Rt Lung contusion </t>
  </si>
  <si>
    <t>MWINGI SPECIALIST</t>
  </si>
  <si>
    <t>Joseph Nzuva</t>
  </si>
  <si>
    <t>Male 0714317317</t>
  </si>
  <si>
    <t>Parkinsons disease in dm</t>
  </si>
  <si>
    <t xml:space="preserve">Peter Mbogori </t>
  </si>
  <si>
    <t>Male 0722795462</t>
  </si>
  <si>
    <t xml:space="preserve">Septicemia /Mild Dehydration in DM/HTN/Dementia </t>
  </si>
  <si>
    <t>03.01.2026-Hosp to bill through smart</t>
  </si>
  <si>
    <t>Damian Okwaro</t>
  </si>
  <si>
    <t>Infected elbow implant</t>
  </si>
  <si>
    <t xml:space="preserve">Zachary Omari </t>
  </si>
  <si>
    <t>Male 0721277064</t>
  </si>
  <si>
    <t>Severe Malaria /DM/Htn</t>
  </si>
  <si>
    <t>04.01.2026(SHA Ksh 11,760.00)</t>
  </si>
  <si>
    <t>Julia Malombo</t>
  </si>
  <si>
    <t>Female 0718902932</t>
  </si>
  <si>
    <t>Severe lumbago with radiculopath</t>
  </si>
  <si>
    <t>POPE BENEDICT</t>
  </si>
  <si>
    <t>Duncan Kinyanjui</t>
  </si>
  <si>
    <t>Male 0721352863</t>
  </si>
  <si>
    <t xml:space="preserve">Reducible Inguinal Hernia </t>
  </si>
  <si>
    <t>Nancy  Ngonyo</t>
  </si>
  <si>
    <t>Female 0715230573</t>
  </si>
  <si>
    <t xml:space="preserve">Hepatic Encephalopathy </t>
  </si>
  <si>
    <r>
      <t>01.01.2026 -</t>
    </r>
    <r>
      <rPr>
        <b/>
        <sz val="9"/>
        <color theme="1"/>
        <rFont val="Tahoma"/>
        <family val="2"/>
      </rPr>
      <t>OffSmart</t>
    </r>
    <r>
      <rPr>
        <sz val="9"/>
        <color theme="1"/>
        <rFont val="Tahoma"/>
        <family val="2"/>
      </rPr>
      <t xml:space="preserve"> </t>
    </r>
    <r>
      <rPr>
        <b/>
        <sz val="9"/>
        <color theme="1"/>
        <rFont val="Tahoma"/>
        <family val="2"/>
      </rPr>
      <t>Deceased</t>
    </r>
  </si>
  <si>
    <t>ST JOSEPH MIGORI</t>
  </si>
  <si>
    <t>Trevin Irazia</t>
  </si>
  <si>
    <t>Male 0700385643</t>
  </si>
  <si>
    <t>Severe Malaria</t>
  </si>
  <si>
    <t>Eunice Wanjiru</t>
  </si>
  <si>
    <t>Female 0722305089</t>
  </si>
  <si>
    <t>Squamous Carcinoma Of The Cervix</t>
  </si>
  <si>
    <t>Mark Ndambuki</t>
  </si>
  <si>
    <t>Male 0722252523</t>
  </si>
  <si>
    <t>Pulmonary htn</t>
  </si>
  <si>
    <t>UHSF-ERH</t>
  </si>
  <si>
    <t>Carringtone Okoko</t>
  </si>
  <si>
    <t>Acute appendicitis</t>
  </si>
  <si>
    <t>11.01.2026- Hosp to bill through smart</t>
  </si>
  <si>
    <t>Eunice Chelagat</t>
  </si>
  <si>
    <t>Female 0725908895</t>
  </si>
  <si>
    <t>CVA in htn</t>
  </si>
  <si>
    <t>UHSF-NRH</t>
  </si>
  <si>
    <t>John Kilonzo</t>
  </si>
  <si>
    <t>Male 0722489705</t>
  </si>
  <si>
    <t xml:space="preserve">Septic shock </t>
  </si>
  <si>
    <t>23.01.2026-Hosp to bill through smart DECEASED</t>
  </si>
  <si>
    <t>Esther Chepkosgei</t>
  </si>
  <si>
    <t>Female 0726588831</t>
  </si>
  <si>
    <t>Endometrial hyperplasis</t>
  </si>
  <si>
    <t>Juliet Mjomba</t>
  </si>
  <si>
    <t>Female 0721860058</t>
  </si>
  <si>
    <t>Lt knee osteoarthritis</t>
  </si>
  <si>
    <t>Diani Beach</t>
  </si>
  <si>
    <t>Fatuma Nzala</t>
  </si>
  <si>
    <t>Female 0724951015</t>
  </si>
  <si>
    <t>Htn</t>
  </si>
  <si>
    <t>30.01.2026</t>
  </si>
  <si>
    <t>Nairobi Women Kitengele</t>
  </si>
  <si>
    <t>Heiz Tenik Shekeine</t>
  </si>
  <si>
    <t>Male 0724088426</t>
  </si>
  <si>
    <t>Acute asthma</t>
  </si>
  <si>
    <t>Outspan Hosp</t>
  </si>
  <si>
    <t>Hellen Wawira Gitari</t>
  </si>
  <si>
    <t>Female 0722506934</t>
  </si>
  <si>
    <t>Breast abscess/dm</t>
  </si>
  <si>
    <t>Nairobi Women-Meru</t>
  </si>
  <si>
    <t>Francis Murithi</t>
  </si>
  <si>
    <t>Male 0725622009</t>
  </si>
  <si>
    <t>Cellulitis/htn</t>
  </si>
  <si>
    <t>AGA KHAN -KISII</t>
  </si>
  <si>
    <t>Josmwah Machini</t>
  </si>
  <si>
    <t>Bakers cyst/htn/bph</t>
  </si>
  <si>
    <t>Martin Otieno</t>
  </si>
  <si>
    <t>Male 0712640736</t>
  </si>
  <si>
    <t>Left iliac crest fracture</t>
  </si>
  <si>
    <t>17.0.2026</t>
  </si>
  <si>
    <t>AGA KHAN MOMBASA</t>
  </si>
  <si>
    <t>Mary Munyao</t>
  </si>
  <si>
    <t>Female 0722781164</t>
  </si>
  <si>
    <t>CCF/HTN/Ca breast</t>
  </si>
  <si>
    <t>Zeitan Jerono</t>
  </si>
  <si>
    <t>Female 0723227442</t>
  </si>
  <si>
    <t>Dm/htn</t>
  </si>
  <si>
    <t xml:space="preserve">Hellen Abuya </t>
  </si>
  <si>
    <t>Female 0722258596</t>
  </si>
  <si>
    <t xml:space="preserve">Right Ovarian Cyst,Uterine fibroid </t>
  </si>
  <si>
    <t>BRISTOL PARK</t>
  </si>
  <si>
    <t>Priscilla Gacheri</t>
  </si>
  <si>
    <t>Female 0728200585</t>
  </si>
  <si>
    <t>Ca Cervix /URTI</t>
  </si>
  <si>
    <t>Sarah Chepkosgei</t>
  </si>
  <si>
    <t>Female 0721510541</t>
  </si>
  <si>
    <t>Symptomatic uterine fibroids</t>
  </si>
  <si>
    <t>Miriam Mwinga</t>
  </si>
  <si>
    <t>Female 0792669989</t>
  </si>
  <si>
    <t xml:space="preserve">Severe acute gastritis/ prostration </t>
  </si>
  <si>
    <t>KENDU ADVENTIST</t>
  </si>
  <si>
    <t>Jacob Oguna</t>
  </si>
  <si>
    <t>Male 0720741236</t>
  </si>
  <si>
    <t>Post-prostatectomy stricture</t>
  </si>
  <si>
    <t>11.01.2026 Hospital to bill through Smart</t>
  </si>
  <si>
    <t>Yofas Amugongo</t>
  </si>
  <si>
    <t>Male 0733824822</t>
  </si>
  <si>
    <t>Bph/dm/urosepsis/asthma</t>
  </si>
  <si>
    <t>NANYUKI COTTAGE</t>
  </si>
  <si>
    <t>Bishar Ali Hassan</t>
  </si>
  <si>
    <t>Chronic constipation /htn/dm/hypertensive heart disease</t>
  </si>
  <si>
    <t>OLLMH</t>
  </si>
  <si>
    <t>Maxwel Njagi</t>
  </si>
  <si>
    <t>Male 0706936595</t>
  </si>
  <si>
    <t>Hepatomegaly ?cause</t>
  </si>
  <si>
    <t>Deheso Isinino Ali Adow</t>
  </si>
  <si>
    <t>Female 0722602252</t>
  </si>
  <si>
    <t>Paroxysmal hemicron aneurism</t>
  </si>
  <si>
    <t>Lily Cherono</t>
  </si>
  <si>
    <t>Female 0722384086</t>
  </si>
  <si>
    <t>Right hip osteoarthritis</t>
  </si>
  <si>
    <t>ST DAMIANO</t>
  </si>
  <si>
    <t>Aggrey Barasa</t>
  </si>
  <si>
    <t>Male 0712319288</t>
  </si>
  <si>
    <t>Left Inguinal hernia</t>
  </si>
  <si>
    <t>UHSF-DFMH</t>
  </si>
  <si>
    <t>Akata Oluoch</t>
  </si>
  <si>
    <t>Female 0722675960</t>
  </si>
  <si>
    <t>Low back pain</t>
  </si>
  <si>
    <t>Aliza Nelima</t>
  </si>
  <si>
    <t>Female 0703864947</t>
  </si>
  <si>
    <t>Hyperglycemia in dm</t>
  </si>
  <si>
    <t>George Gichimu</t>
  </si>
  <si>
    <t>Male 0721714802</t>
  </si>
  <si>
    <t>spondylosis/aki/nephrosis/a-v block</t>
  </si>
  <si>
    <t>Emily Ayuma</t>
  </si>
  <si>
    <t>Female 0722983472</t>
  </si>
  <si>
    <t>Disc prolapse</t>
  </si>
  <si>
    <t>Japhet kirui</t>
  </si>
  <si>
    <t>Male  0716525060</t>
  </si>
  <si>
    <t>Thoracic spine tumour</t>
  </si>
  <si>
    <t>Rose Minayo</t>
  </si>
  <si>
    <t>Female 0705539395</t>
  </si>
  <si>
    <t>Left total knee replacement</t>
  </si>
  <si>
    <t>THE NAIROBI HOSP</t>
  </si>
  <si>
    <t>Jane Mackenzie</t>
  </si>
  <si>
    <t>Female 0710295621</t>
  </si>
  <si>
    <t>Severe gastritis/ge/left sided numbness</t>
  </si>
  <si>
    <t>Jordan Hosp</t>
  </si>
  <si>
    <t>Alexander Ngugi</t>
  </si>
  <si>
    <t>Bph</t>
  </si>
  <si>
    <t>Nanyuki Cottage</t>
  </si>
  <si>
    <t>Yusuf Abdi</t>
  </si>
  <si>
    <t>Male 0721538876</t>
  </si>
  <si>
    <t>Hypertensive urgency</t>
  </si>
  <si>
    <t>Musa Katam</t>
  </si>
  <si>
    <t>Male 0721560511</t>
  </si>
  <si>
    <t>Relapsed MTB</t>
  </si>
  <si>
    <t>Samuel Thairu</t>
  </si>
  <si>
    <t>Male 0726800511</t>
  </si>
  <si>
    <t>Dm/htn/angioedema</t>
  </si>
  <si>
    <t>Evelyn Nthenya</t>
  </si>
  <si>
    <t>Female 0728160451</t>
  </si>
  <si>
    <t>Periprosthetic joint infectious lt knee</t>
  </si>
  <si>
    <t>02.01.2026 Hosp to bill through smart</t>
  </si>
  <si>
    <t>Ramata Nursing</t>
  </si>
  <si>
    <t>Fayo Hussein</t>
  </si>
  <si>
    <t>Male 0728039241</t>
  </si>
  <si>
    <t>Severe pneumonia/hyperglycemia</t>
  </si>
  <si>
    <r>
      <t>27.01.2026</t>
    </r>
    <r>
      <rPr>
        <b/>
        <sz val="9"/>
        <color theme="1"/>
        <rFont val="Tahoma"/>
        <family val="2"/>
      </rPr>
      <t>-Hosp to bill through smart</t>
    </r>
  </si>
  <si>
    <t xml:space="preserve">Jamim Simiyu </t>
  </si>
  <si>
    <t>Male   0720266753</t>
  </si>
  <si>
    <t xml:space="preserve">Acute Septic Arthirits </t>
  </si>
  <si>
    <t xml:space="preserve">Antony Kieti </t>
  </si>
  <si>
    <t>Male 0725678806</t>
  </si>
  <si>
    <t>ca prostate stage iv met/pressure sores/oral candidiasis</t>
  </si>
  <si>
    <t>04.01.2026 DECEASED</t>
  </si>
  <si>
    <t>James Maiywa</t>
  </si>
  <si>
    <t>Male 0729784415</t>
  </si>
  <si>
    <t>Parkinsonism disease</t>
  </si>
  <si>
    <t xml:space="preserve">Willis Gershom </t>
  </si>
  <si>
    <t>Male 0722772278</t>
  </si>
  <si>
    <t xml:space="preserve">HTN /Metastatic prostate Ca </t>
  </si>
  <si>
    <t>02.01.2026 HDU</t>
  </si>
  <si>
    <t>Caroline Wanjiku</t>
  </si>
  <si>
    <t>Female 0722466355</t>
  </si>
  <si>
    <t>htn/dm/acute decompensated</t>
  </si>
  <si>
    <t>Hussain Abdi Bulle</t>
  </si>
  <si>
    <t>Male 0722847193</t>
  </si>
  <si>
    <t>MI/dm/htn</t>
  </si>
  <si>
    <t>William Ng’etich</t>
  </si>
  <si>
    <t>Male 0721753237</t>
  </si>
  <si>
    <t xml:space="preserve">Lt Knee Septic Arthritis </t>
  </si>
  <si>
    <t>SYNERGY CLINICS</t>
  </si>
  <si>
    <t>Rose Likembe</t>
  </si>
  <si>
    <t>Female 0724513290</t>
  </si>
  <si>
    <t>Generalized status eczema</t>
  </si>
  <si>
    <t>Bloom Hosp</t>
  </si>
  <si>
    <t>Anna Wambui</t>
  </si>
  <si>
    <t>Female 0726979175</t>
  </si>
  <si>
    <t>Gastritis in htn/sciatica disease/disc compression</t>
  </si>
  <si>
    <t>UHSF-DFWC</t>
  </si>
  <si>
    <t>Charles Ndegwa</t>
  </si>
  <si>
    <t>LL Below knee amputee</t>
  </si>
  <si>
    <t>ACK MT KENYA</t>
  </si>
  <si>
    <t>Benedict Wanjohi</t>
  </si>
  <si>
    <t>Male 0727819227</t>
  </si>
  <si>
    <t>Copd/Acute Gastrities /htn</t>
  </si>
  <si>
    <t>Mwanamkuu Idd</t>
  </si>
  <si>
    <t>Female 0114750084</t>
  </si>
  <si>
    <t>SLE/Heart failure</t>
  </si>
  <si>
    <t>Jamin Manana</t>
  </si>
  <si>
    <t>Male 0720813497</t>
  </si>
  <si>
    <t>AKI/AAA/severe acute asthma</t>
  </si>
  <si>
    <t>Genard Mitaru</t>
  </si>
  <si>
    <t>Male 0721421817</t>
  </si>
  <si>
    <t>Ca Prostate</t>
  </si>
  <si>
    <t>Maureen Wanjeri</t>
  </si>
  <si>
    <t>Female 0722458498</t>
  </si>
  <si>
    <t>Pancreatic Ca</t>
  </si>
  <si>
    <t>NAIROBI WOMEN-MERU</t>
  </si>
  <si>
    <t>Monicah Kanana</t>
  </si>
  <si>
    <t>Female 0715252471</t>
  </si>
  <si>
    <t xml:space="preserve">Severe Osteoarthritis </t>
  </si>
  <si>
    <t>Samwel Kinyua</t>
  </si>
  <si>
    <t>Male 0721470925</t>
  </si>
  <si>
    <t>Severe anaemia ? cause</t>
  </si>
  <si>
    <t>UHSF-IRH</t>
  </si>
  <si>
    <t>Amina Ibrahim</t>
  </si>
  <si>
    <t>Female 0791050789</t>
  </si>
  <si>
    <t>Endometrial hyperplasia</t>
  </si>
  <si>
    <t>Stephen Nyairo</t>
  </si>
  <si>
    <t>Male 0723002776</t>
  </si>
  <si>
    <t>Asthma/COPD</t>
  </si>
  <si>
    <t>Samaha Ali</t>
  </si>
  <si>
    <t>Female 0717312731</t>
  </si>
  <si>
    <t>Lumbar disc syndrome/htn</t>
  </si>
  <si>
    <t>Pius Tiomy</t>
  </si>
  <si>
    <t>Male 0705584899</t>
  </si>
  <si>
    <t>Spinal injury secondary to trauma/gastritis/AUD</t>
  </si>
  <si>
    <t xml:space="preserve">Knin Mukami emuria </t>
  </si>
  <si>
    <t>Female 0703256873</t>
  </si>
  <si>
    <t xml:space="preserve">Schizophrenia </t>
  </si>
  <si>
    <t>Betty Maitha</t>
  </si>
  <si>
    <t>Female 0724442391</t>
  </si>
  <si>
    <t>Dm/htn/neuropathy</t>
  </si>
  <si>
    <t>Thomas Nyandoro</t>
  </si>
  <si>
    <t>Male 0721911719</t>
  </si>
  <si>
    <t>Subdural haematoma/htn</t>
  </si>
  <si>
    <r>
      <t>25.01.2026-</t>
    </r>
    <r>
      <rPr>
        <b/>
        <sz val="9"/>
        <color theme="1"/>
        <rFont val="Tahoma"/>
        <family val="2"/>
      </rPr>
      <t>Hosp to bill through smart</t>
    </r>
  </si>
  <si>
    <t>Alloys Barasa</t>
  </si>
  <si>
    <t>Male 0706262253</t>
  </si>
  <si>
    <t>Urosepsis/convulsive disorder</t>
  </si>
  <si>
    <t xml:space="preserve">09.01.2026 </t>
  </si>
  <si>
    <t>CHIROMO LANE-BUSTANI</t>
  </si>
  <si>
    <t>Thomas Mutinda</t>
  </si>
  <si>
    <t>Male 0722715316</t>
  </si>
  <si>
    <t>Major depressive disorder</t>
  </si>
  <si>
    <t xml:space="preserve">Benjamin Musembi </t>
  </si>
  <si>
    <t>Male 0722708622</t>
  </si>
  <si>
    <t xml:space="preserve">Small Bowel obstruction </t>
  </si>
  <si>
    <t>Phineas Kirimi</t>
  </si>
  <si>
    <t>Male 0722725433</t>
  </si>
  <si>
    <t>Right knee osteoarthritis</t>
  </si>
  <si>
    <t>Siera Simwa</t>
  </si>
  <si>
    <t>Male 0722834551</t>
  </si>
  <si>
    <t>CVA/TIA</t>
  </si>
  <si>
    <t>Cornelius Wegulo</t>
  </si>
  <si>
    <t>Male 0721729511</t>
  </si>
  <si>
    <t>ESRD/DM/HTN/Urethral Injury</t>
  </si>
  <si>
    <t>TIONY CARE</t>
  </si>
  <si>
    <t>Dinah Jepkorir</t>
  </si>
  <si>
    <t>Female 0725234242</t>
  </si>
  <si>
    <t>CVA/toxoplasmosis in htn/RVD</t>
  </si>
  <si>
    <t>Quirinus Abonyo</t>
  </si>
  <si>
    <t>Male 0723944742</t>
  </si>
  <si>
    <t>Chronic thromboembolic disease/bronchitis/BPH</t>
  </si>
  <si>
    <t>Peter Njihia</t>
  </si>
  <si>
    <t>Male 0724268799</t>
  </si>
  <si>
    <t>Alcohol use disorder</t>
  </si>
  <si>
    <t xml:space="preserve">Margeret Adhiambo </t>
  </si>
  <si>
    <t>Female 0724726162</t>
  </si>
  <si>
    <t>Heart Failure lt carotid body tumour /HTN/AKI</t>
  </si>
  <si>
    <t>Micheal Kiilu</t>
  </si>
  <si>
    <t>Male 0721554732</t>
  </si>
  <si>
    <t>ESRD</t>
  </si>
  <si>
    <t>KNH</t>
  </si>
  <si>
    <t>Leonard Onyango</t>
  </si>
  <si>
    <t>Male 0721334599</t>
  </si>
  <si>
    <t>Rectal adenocarcinoma</t>
  </si>
  <si>
    <t xml:space="preserve">Nicasius Limbe </t>
  </si>
  <si>
    <t>Male 0768258270</t>
  </si>
  <si>
    <t>CCF/Rectal tumor/ckd/severe anaemia</t>
  </si>
  <si>
    <t>OUTSPAN HOSP</t>
  </si>
  <si>
    <t>Female 0721688703</t>
  </si>
  <si>
    <t>Rupture brain Aneurysm</t>
  </si>
  <si>
    <t xml:space="preserve">04.01.2026- Hosp to bill through smart </t>
  </si>
  <si>
    <t>John Kariuki</t>
  </si>
  <si>
    <t>Male 0720677687</t>
  </si>
  <si>
    <t>Kimani Njuguna</t>
  </si>
  <si>
    <t>Male 0727511340</t>
  </si>
  <si>
    <t>Acute Kidney Injury/RVD/Pancreatitis</t>
  </si>
  <si>
    <t xml:space="preserve">Eunice  Njeri </t>
  </si>
  <si>
    <t>Female 0711861581</t>
  </si>
  <si>
    <t>Lumbar Spasm / Intervertebral Disc Degeneration of Lumbar</t>
  </si>
  <si>
    <t>Nairobi West</t>
  </si>
  <si>
    <t>James Ikua</t>
  </si>
  <si>
    <t>Male 0725359422</t>
  </si>
  <si>
    <t>Pneumonia/heart failure/venous ulcers/ckd /dm/htn</t>
  </si>
  <si>
    <t xml:space="preserve">Boniface Muiga </t>
  </si>
  <si>
    <t>Male 0707355905</t>
  </si>
  <si>
    <t xml:space="preserve">PTSD/Schizophrenia </t>
  </si>
  <si>
    <t>Joyce Chepkirui</t>
  </si>
  <si>
    <t>Female 0721764765</t>
  </si>
  <si>
    <t xml:space="preserve">Severe nerve root compressor </t>
  </si>
  <si>
    <t>THE KAREN HOSP</t>
  </si>
  <si>
    <t>Daniel Musyoka Mbinda</t>
  </si>
  <si>
    <t>Male 0721251933</t>
  </si>
  <si>
    <t xml:space="preserve">Interstitial lung disease with Severe URTI/Pneumonia/Sinusitis/AKI </t>
  </si>
  <si>
    <t xml:space="preserve">Gideon Kiprop </t>
  </si>
  <si>
    <t>Male 0717851085</t>
  </si>
  <si>
    <t>Alcohol Use Disorder/ pancreatitis</t>
  </si>
  <si>
    <t>Maurice Angonga</t>
  </si>
  <si>
    <t>Male 0714485174</t>
  </si>
  <si>
    <t>Prostate Ca/htn/CVA/MI</t>
  </si>
  <si>
    <t>Daniel Korogu</t>
  </si>
  <si>
    <t xml:space="preserve">Sigmoid polyp </t>
  </si>
  <si>
    <t>Day case</t>
  </si>
  <si>
    <t>Cecilia Wanjiru</t>
  </si>
  <si>
    <t>Post-menopausal bleeding</t>
  </si>
  <si>
    <t xml:space="preserve">Johnson Mbugua </t>
  </si>
  <si>
    <t xml:space="preserve">Dysphonia </t>
  </si>
  <si>
    <t>15.01.2026 Hospital to bill through Smart</t>
  </si>
  <si>
    <t>NAIROBI WOMEN-NAKURU</t>
  </si>
  <si>
    <t xml:space="preserve">Joyce Chepkoech </t>
  </si>
  <si>
    <t xml:space="preserve">Rectocele </t>
  </si>
  <si>
    <t>NAIROBI WOMENS KITENGELA</t>
  </si>
  <si>
    <t>Agnetta Mbithe</t>
  </si>
  <si>
    <t>Gastritis</t>
  </si>
  <si>
    <t>Leonard Mbugua</t>
  </si>
  <si>
    <t>09.01.2026-Hosp to bill through smart</t>
  </si>
  <si>
    <t>PCEA CHOGORIA</t>
  </si>
  <si>
    <t>Joram Artithi</t>
  </si>
  <si>
    <t>Fibrotic Prostate</t>
  </si>
  <si>
    <t>Zeinab Addi</t>
  </si>
  <si>
    <t>fracture proximal phalages</t>
  </si>
  <si>
    <t xml:space="preserve">Nicholas Mativo </t>
  </si>
  <si>
    <t>Male 0722917083</t>
  </si>
  <si>
    <t xml:space="preserve">Carcinoid Syndrome ? Papillary thyroid ca </t>
  </si>
  <si>
    <t>02.01.2026-Deceased/belated LOU</t>
  </si>
  <si>
    <t>UHSF-THE KENYA NAVY</t>
  </si>
  <si>
    <t>Leonard Macharia</t>
  </si>
  <si>
    <t>Male 0721872895</t>
  </si>
  <si>
    <t>MPOX</t>
  </si>
  <si>
    <t>08.01.2026-Off smart</t>
  </si>
  <si>
    <t xml:space="preserve">Kipkorir Kandagor </t>
  </si>
  <si>
    <t>Male 0711902236</t>
  </si>
  <si>
    <t xml:space="preserve">B-Cell Lymphoma /AKI/Pleural Effusion </t>
  </si>
  <si>
    <t>Kipkori Kendagor</t>
  </si>
  <si>
    <t>Lymphoma/aki/Intractable vomiting</t>
  </si>
  <si>
    <t>Mitchelle Wambui</t>
  </si>
  <si>
    <t>Chronic gastritis</t>
  </si>
  <si>
    <t>Willy Mwaura</t>
  </si>
  <si>
    <t>Ganglion cyst</t>
  </si>
  <si>
    <t>Susan Wasike</t>
  </si>
  <si>
    <t>Breast Mass</t>
  </si>
  <si>
    <t>Breast epithelial lesion</t>
  </si>
  <si>
    <t>Lenah Jepkoech</t>
  </si>
  <si>
    <t>Neck mass</t>
  </si>
  <si>
    <t>ST MARY ELEMENTAITA</t>
  </si>
  <si>
    <t>Abdulahi Said</t>
  </si>
  <si>
    <t>Male 0721541149</t>
  </si>
  <si>
    <t>Cutaneous lesions of the penis</t>
  </si>
  <si>
    <t>29.01.2026-Hosp to bill through smart</t>
  </si>
  <si>
    <t>ST THERESA KIIRUA</t>
  </si>
  <si>
    <t>Catherine Karwirwa</t>
  </si>
  <si>
    <t>Gastritis r/o gastritis ulcer</t>
  </si>
  <si>
    <t>15.01.2026 Billed as Outpatient</t>
  </si>
  <si>
    <t>Nicasius Limbe</t>
  </si>
  <si>
    <t>Margaret Njoroge</t>
  </si>
  <si>
    <t>Emily Nenkambi</t>
  </si>
  <si>
    <t>Retroperitineal Mass</t>
  </si>
  <si>
    <t>Jonathan Muia</t>
  </si>
  <si>
    <t>Central Venous Obstruction</t>
  </si>
  <si>
    <t>Hadija Asif</t>
  </si>
  <si>
    <t>Diverticular /PR Bleeding</t>
  </si>
  <si>
    <t>St Matia Mulimba</t>
  </si>
  <si>
    <t>Saverio Henry</t>
  </si>
  <si>
    <t>Anal fissure</t>
  </si>
  <si>
    <t>Nairobi South</t>
  </si>
  <si>
    <t>Scholastica Nzisa</t>
  </si>
  <si>
    <t>DJ-Stent removal</t>
  </si>
  <si>
    <t xml:space="preserve">Joram MUTHINI </t>
  </si>
  <si>
    <t xml:space="preserve">ESRD </t>
  </si>
  <si>
    <t>Dialysis</t>
  </si>
  <si>
    <t>Joram Muthini Musomba</t>
  </si>
  <si>
    <t>Joram Muthini</t>
  </si>
  <si>
    <t>Joram Musomba</t>
  </si>
  <si>
    <t>26.01.2026-Belated LOU billed on 24.01.26</t>
  </si>
  <si>
    <t>Simon Nzyoka</t>
  </si>
  <si>
    <t xml:space="preserve">Alex Ndambuki </t>
  </si>
  <si>
    <t>Alex Ndambuki</t>
  </si>
  <si>
    <t xml:space="preserve">Simon Nzyoka </t>
  </si>
  <si>
    <t>John Henrsty</t>
  </si>
  <si>
    <t>CKD</t>
  </si>
  <si>
    <t>John Marwa</t>
  </si>
  <si>
    <t>CKD/DM</t>
  </si>
  <si>
    <t>Bute Halake</t>
  </si>
  <si>
    <t>27.01.2026-Hosp to bill through smart</t>
  </si>
  <si>
    <t>Tyler Mukhwana</t>
  </si>
  <si>
    <t>12.01.2026-Hosp to bill through smart</t>
  </si>
  <si>
    <t xml:space="preserve">Tyler Tumwa </t>
  </si>
  <si>
    <t>13.01.2026-Cleared with less amount on smart</t>
  </si>
  <si>
    <t>14.01.2026-Hosp to bill through smart</t>
  </si>
  <si>
    <t>Tyler Tumwa</t>
  </si>
  <si>
    <t>ESRD/htn</t>
  </si>
  <si>
    <r>
      <t xml:space="preserve">20.01.2026  </t>
    </r>
    <r>
      <rPr>
        <b/>
        <sz val="8"/>
        <color rgb="FF000000"/>
        <rFont val="Tahoma"/>
        <family val="2"/>
      </rPr>
      <t>Hospital to request for LOU</t>
    </r>
  </si>
  <si>
    <t>22.01.2026-billed through smart on 21.01.26</t>
  </si>
  <si>
    <t>Teresia Wekesa</t>
  </si>
  <si>
    <t>17.01.2026-Hosp to bill through smart</t>
  </si>
  <si>
    <t>Teresia Mbaika</t>
  </si>
  <si>
    <t xml:space="preserve">Paul Waweru </t>
  </si>
  <si>
    <t>Paul Waweru</t>
  </si>
  <si>
    <t>Muhammad Shukry</t>
  </si>
  <si>
    <t>Premier Hosp</t>
  </si>
  <si>
    <t>Fredrick Wanga</t>
  </si>
  <si>
    <t>ESRD/htn/dm</t>
  </si>
  <si>
    <t>08.01.2026-Hosp to bill through smart</t>
  </si>
  <si>
    <t>Fredrick Mwanza</t>
  </si>
  <si>
    <t>24.01.2026-Belated LOU</t>
  </si>
  <si>
    <t xml:space="preserve">Cornelius Makokha </t>
  </si>
  <si>
    <t>CKF/DM/HTN</t>
  </si>
  <si>
    <t>Humphrey Kipkeror</t>
  </si>
  <si>
    <t>Humphrey Chelelgo</t>
  </si>
  <si>
    <t>John Kosgei</t>
  </si>
  <si>
    <t xml:space="preserve">Contributor </t>
  </si>
  <si>
    <t>John Koskei</t>
  </si>
  <si>
    <t>19.01.2026-</t>
  </si>
  <si>
    <t>Gregory Kaloki Mulunga</t>
  </si>
  <si>
    <t>Multiple scalp swellings/lipoma</t>
  </si>
  <si>
    <t xml:space="preserve">Hellen Nanjala </t>
  </si>
  <si>
    <t xml:space="preserve">Daycare </t>
  </si>
  <si>
    <t>Bute Halkhe</t>
  </si>
  <si>
    <t>22.01.2026-Hosp billed as out patient</t>
  </si>
  <si>
    <t xml:space="preserve">Bute Halakhe </t>
  </si>
  <si>
    <t>12.01.2026-Hosp billed as outpatient</t>
  </si>
  <si>
    <t>James Macharia</t>
  </si>
  <si>
    <t>09.01.2026-Hosp billed as Outpatient</t>
  </si>
  <si>
    <t>14.01.2026- Hosp  billed as outpatient</t>
  </si>
  <si>
    <t xml:space="preserve">Robert Mbaya </t>
  </si>
  <si>
    <t>Robert Mbaya</t>
  </si>
  <si>
    <t>David Gikera</t>
  </si>
  <si>
    <t>Sammy Nyagah</t>
  </si>
  <si>
    <t>TANAKA NURSING</t>
  </si>
  <si>
    <t xml:space="preserve">Beatrice Nafula </t>
  </si>
  <si>
    <t xml:space="preserve">Feamle </t>
  </si>
  <si>
    <t>Beatrice Nafula</t>
  </si>
  <si>
    <t>Beatrice Juma</t>
  </si>
  <si>
    <t>TAWFIQ HOSP</t>
  </si>
  <si>
    <t>Seif Sheyumbe</t>
  </si>
  <si>
    <t>ESRD /DM</t>
  </si>
  <si>
    <t>Etychus Waithaka</t>
  </si>
  <si>
    <t>CKD/dm</t>
  </si>
  <si>
    <t>26.01.2026-Hosp billed as out patient</t>
  </si>
  <si>
    <t>Richard Musembei</t>
  </si>
  <si>
    <t>Michael Mungata</t>
  </si>
  <si>
    <t>15.01.2026 Billed as outpatient</t>
  </si>
  <si>
    <t xml:space="preserve">Bristol Park </t>
  </si>
  <si>
    <t>Bristol Park</t>
  </si>
  <si>
    <t>Symon Nzyoka</t>
  </si>
  <si>
    <t>Esrd</t>
  </si>
  <si>
    <t>Bishop Kioko</t>
  </si>
  <si>
    <t>Tawfiq Hosp</t>
  </si>
  <si>
    <t xml:space="preserve">Dialysis </t>
  </si>
  <si>
    <t xml:space="preserve">Mohamed Shukry </t>
  </si>
  <si>
    <t>STARKEY HEARING</t>
  </si>
  <si>
    <t xml:space="preserve">Anab Idris </t>
  </si>
  <si>
    <t xml:space="preserve">Spouse </t>
  </si>
  <si>
    <t xml:space="preserve">Bilateral severe to profound mixed hearing loss </t>
  </si>
  <si>
    <t>21.01.2026-Hosp to bill through smart</t>
  </si>
  <si>
    <t xml:space="preserve">Hearing Aid </t>
  </si>
  <si>
    <t>AGA KHAN  -university</t>
  </si>
  <si>
    <t>Jane Nduta</t>
  </si>
  <si>
    <t>Ca Cervix</t>
  </si>
  <si>
    <t>23.01.2026-off smart</t>
  </si>
  <si>
    <t>Oncology</t>
  </si>
  <si>
    <t>Dickson Khamalishi Mudeshi</t>
  </si>
  <si>
    <t>Joseph Kiptoo</t>
  </si>
  <si>
    <t xml:space="preserve">Jane Ayuma </t>
  </si>
  <si>
    <t xml:space="preserve">Ca BREAST </t>
  </si>
  <si>
    <t>Jane Ayuma</t>
  </si>
  <si>
    <t>Ca breast</t>
  </si>
  <si>
    <t>Michael Kashibe</t>
  </si>
  <si>
    <t>Breast Ca</t>
  </si>
  <si>
    <t>Pythias Kilonzo</t>
  </si>
  <si>
    <t>Ca prostate/dm/htn</t>
  </si>
  <si>
    <t>John Yator</t>
  </si>
  <si>
    <t>CANCER CARE KENYA</t>
  </si>
  <si>
    <t>Benard Maingi</t>
  </si>
  <si>
    <t>AML</t>
  </si>
  <si>
    <t>Chharanpal Kaur Gill</t>
  </si>
  <si>
    <t>Ca Breast</t>
  </si>
  <si>
    <t>Joseph Kosen</t>
  </si>
  <si>
    <t>ELGON VIEW</t>
  </si>
  <si>
    <t>Benard Were</t>
  </si>
  <si>
    <t>28.01.2026-Hosp to bill through smart</t>
  </si>
  <si>
    <t>Michael Abuya</t>
  </si>
  <si>
    <t>Hudson Lukase</t>
  </si>
  <si>
    <t>Ca prostate</t>
  </si>
  <si>
    <t>Noor Soyan Dukow</t>
  </si>
  <si>
    <t>26.01.206</t>
  </si>
  <si>
    <t>Noor Soyan</t>
  </si>
  <si>
    <t>Male 0721256673</t>
  </si>
  <si>
    <t>Acute Myeloid leukemia</t>
  </si>
  <si>
    <t>Beatrice Lugongo</t>
  </si>
  <si>
    <t>Malignant Melanoma</t>
  </si>
  <si>
    <t>Esther Njeri</t>
  </si>
  <si>
    <t>Female 0720223134</t>
  </si>
  <si>
    <t>Fredrick Mburu</t>
  </si>
  <si>
    <t>29.01.20</t>
  </si>
  <si>
    <t>Mary Mwathimba</t>
  </si>
  <si>
    <t>Rt foot acral melanoma</t>
  </si>
  <si>
    <t xml:space="preserve">Joseph Njehia </t>
  </si>
  <si>
    <t xml:space="preserve">Ca Gastric </t>
  </si>
  <si>
    <t>Joseph Njehia</t>
  </si>
  <si>
    <t>Ca Gastric</t>
  </si>
  <si>
    <t>Kipkorir Kendagor</t>
  </si>
  <si>
    <t xml:space="preserve">B-Cell Lyphoma </t>
  </si>
  <si>
    <t>Anna Nyamohanga</t>
  </si>
  <si>
    <t>Ca GTST</t>
  </si>
  <si>
    <t>Mercy Wanjiru</t>
  </si>
  <si>
    <t>Mercy Kuria</t>
  </si>
  <si>
    <t>Charles Lenjo</t>
  </si>
  <si>
    <t>08.01.2026-Hosp billed as out patient</t>
  </si>
  <si>
    <t xml:space="preserve">Fredrick Gachanga </t>
  </si>
  <si>
    <t>Prostate Adenocarcinoma</t>
  </si>
  <si>
    <t>Fredrick  Githinji</t>
  </si>
  <si>
    <t xml:space="preserve">Prostate Adenocarcinoma </t>
  </si>
  <si>
    <t>Fredrick Gachanga</t>
  </si>
  <si>
    <t>Ca Rectum</t>
  </si>
  <si>
    <t>Charles Mukuru</t>
  </si>
  <si>
    <t>Ca prostate/Abdominal pain</t>
  </si>
  <si>
    <t xml:space="preserve">Charles Machora </t>
  </si>
  <si>
    <t>Flora Maghanga</t>
  </si>
  <si>
    <t>Multiple Myeloma</t>
  </si>
  <si>
    <t>Samson Ongere</t>
  </si>
  <si>
    <t>19.01.2026-Hosp BILLING PER SESSION THRO SMART</t>
  </si>
  <si>
    <t>Ovarian cancer</t>
  </si>
  <si>
    <t>Kisumu Specialist</t>
  </si>
  <si>
    <t>David Abiero</t>
  </si>
  <si>
    <t>Lojorei Ekiru</t>
  </si>
  <si>
    <t>Ca esophagus</t>
  </si>
  <si>
    <t>30.01.2026-LOU issued as a package of 10 radiotherapy sessions</t>
  </si>
  <si>
    <t>Hellen Wanjala</t>
  </si>
  <si>
    <t>Jame Munyua</t>
  </si>
  <si>
    <r>
      <t>30.01.2026</t>
    </r>
    <r>
      <rPr>
        <b/>
        <sz val="9"/>
        <color rgb="FF000000"/>
        <rFont val="Tahoma"/>
        <family val="2"/>
      </rPr>
      <t>-Hosp billed as outpatient</t>
    </r>
  </si>
  <si>
    <t>DR AGARWALS</t>
  </si>
  <si>
    <t>Eutychus Waithaka</t>
  </si>
  <si>
    <t>Rt Eye retina</t>
  </si>
  <si>
    <t>Ophthalmology</t>
  </si>
  <si>
    <t>Mohammed Ahmed</t>
  </si>
  <si>
    <t>Pseudo RE</t>
  </si>
  <si>
    <t>Cataract</t>
  </si>
  <si>
    <t>Wilfred Murithi</t>
  </si>
  <si>
    <t>Cataract right eye</t>
  </si>
  <si>
    <t>Elizabeth Kimanzi</t>
  </si>
  <si>
    <t>Under oil uveitis</t>
  </si>
  <si>
    <t>Claire Watetu</t>
  </si>
  <si>
    <t>Female 0725442361</t>
  </si>
  <si>
    <t>Cataract left eye</t>
  </si>
  <si>
    <t>EAGLE EYE</t>
  </si>
  <si>
    <t>Muoki Stephen</t>
  </si>
  <si>
    <t>Diabetic Maula Edema</t>
  </si>
  <si>
    <t>Geoffrey Karimi</t>
  </si>
  <si>
    <t xml:space="preserve">Cytoid Macula Edema lt Eye </t>
  </si>
  <si>
    <t>Veronica Ndunge</t>
  </si>
  <si>
    <t>Glaucoma BE</t>
  </si>
  <si>
    <t>Heartfield Mwakio</t>
  </si>
  <si>
    <t>13.01.2026-Hosp billed as outpatient</t>
  </si>
  <si>
    <t>LIONS SIGHT FIRST EYE</t>
  </si>
  <si>
    <t>Nanice Kambaru</t>
  </si>
  <si>
    <t>Cataract rt eye</t>
  </si>
  <si>
    <t>Grace Chimo</t>
  </si>
  <si>
    <t>Rectal Ca</t>
  </si>
  <si>
    <t>Micheal Kiluu</t>
  </si>
  <si>
    <t>Charles Maina</t>
  </si>
  <si>
    <t>Diabetic retinopatahy</t>
  </si>
  <si>
    <t>Florence Kiama</t>
  </si>
  <si>
    <t>Macular edema</t>
  </si>
  <si>
    <t>Macular oedema</t>
  </si>
  <si>
    <t>SABATIA EYE</t>
  </si>
  <si>
    <t>Jane Mwangi</t>
  </si>
  <si>
    <t>L.E Pterygium</t>
  </si>
  <si>
    <t>Rosali Jemeli</t>
  </si>
  <si>
    <t>Branch teririal vein occlusion</t>
  </si>
  <si>
    <t>Alice Kinyanjui</t>
  </si>
  <si>
    <t>Macular Edema</t>
  </si>
  <si>
    <t xml:space="preserve">Ophthalmology </t>
  </si>
  <si>
    <t>Catherine Wanjiku</t>
  </si>
  <si>
    <t>Opthalmology</t>
  </si>
  <si>
    <t>D. Heart failure /aki/anaemia</t>
  </si>
  <si>
    <t>06.02.2026 Deceased</t>
  </si>
  <si>
    <t>06.02.2026</t>
  </si>
  <si>
    <t xml:space="preserve">February </t>
  </si>
  <si>
    <t>CKD/Essential htn</t>
  </si>
  <si>
    <t>03.02.2026</t>
  </si>
  <si>
    <t>02.02.2026</t>
  </si>
  <si>
    <t>ST LUKE O&amp;T</t>
  </si>
  <si>
    <t>Ruweidha Ibrahim</t>
  </si>
  <si>
    <t>Female 0710168681</t>
  </si>
  <si>
    <t>Convulsive Disorder</t>
  </si>
  <si>
    <t>UHSF- NRH</t>
  </si>
  <si>
    <t xml:space="preserve">Ann Wanjiru </t>
  </si>
  <si>
    <t xml:space="preserve">Lumbar Radiculopathy </t>
  </si>
  <si>
    <t>05.02.2026</t>
  </si>
  <si>
    <t>David Otieno  Onyango</t>
  </si>
  <si>
    <t>Gastrities/GI Bleeding in PUD</t>
  </si>
  <si>
    <t>07.02.2026</t>
  </si>
  <si>
    <t>AGA KHAN -KISUMU</t>
  </si>
  <si>
    <t>Irene Akinyi Oballa</t>
  </si>
  <si>
    <t>Chronic liver disease/AKI</t>
  </si>
  <si>
    <t>09.02.2026 Deceased</t>
  </si>
  <si>
    <t>10.02.2026</t>
  </si>
  <si>
    <t>Nancy Njeri</t>
  </si>
  <si>
    <t>Female 0722228738</t>
  </si>
  <si>
    <t>Bi-foraminal c5-c6 stenosis /migraine Headache /PUD</t>
  </si>
  <si>
    <t>11.02.2026</t>
  </si>
  <si>
    <t>NAIROBI SOUTH HOSP</t>
  </si>
  <si>
    <t>Fatuma Ismail</t>
  </si>
  <si>
    <t>Severe pnemonia</t>
  </si>
  <si>
    <t>13.02.2026</t>
  </si>
  <si>
    <t>14.02.2026</t>
  </si>
  <si>
    <t>Maurice Audi</t>
  </si>
  <si>
    <t>Male 0726833675</t>
  </si>
  <si>
    <t>Urolithiasis</t>
  </si>
  <si>
    <t>Eunice Njeri</t>
  </si>
  <si>
    <t>Hypergylycemia in dm/htn</t>
  </si>
  <si>
    <t>Sepsis in ckd/dm</t>
  </si>
  <si>
    <t>11.02.2026-Sha(13,440.00)</t>
  </si>
  <si>
    <t>Maurice Atsango</t>
  </si>
  <si>
    <t>Male 0724458957</t>
  </si>
  <si>
    <t>Axona neuropathy/dm</t>
  </si>
  <si>
    <t>Amina Omar</t>
  </si>
  <si>
    <t>Dengue fever/bacterial infection</t>
  </si>
  <si>
    <t>01.02.2026</t>
  </si>
  <si>
    <t>DAINI BEACH HOSP</t>
  </si>
  <si>
    <t>Swabra Bakari</t>
  </si>
  <si>
    <t>Female 0723671682</t>
  </si>
  <si>
    <t xml:space="preserve">Septic tonsilitis/ acute nasopharyngeal </t>
  </si>
  <si>
    <t>Eva Rose Anyango</t>
  </si>
  <si>
    <t>Acute gastritis/gerd</t>
  </si>
  <si>
    <t>04.02.2026</t>
  </si>
  <si>
    <t>SYNERGY CLINIC</t>
  </si>
  <si>
    <t xml:space="preserve">Rose Akinyi </t>
  </si>
  <si>
    <t>Erthrodermic Eczema</t>
  </si>
  <si>
    <t>Selina Chepkemoi</t>
  </si>
  <si>
    <t>Female 0722717611</t>
  </si>
  <si>
    <t>Metastatic ca breast</t>
  </si>
  <si>
    <t xml:space="preserve">Bonface Mutunga </t>
  </si>
  <si>
    <t>Lumbago/UTI</t>
  </si>
  <si>
    <t>NYANGENA HOSP</t>
  </si>
  <si>
    <t>Sarah Nyambega</t>
  </si>
  <si>
    <t>Female 0714544523</t>
  </si>
  <si>
    <t>PID/Bartholin abcess</t>
  </si>
  <si>
    <t>Mwingi Kombo</t>
  </si>
  <si>
    <t>Male 0720369765</t>
  </si>
  <si>
    <t>BPH/Urine retention</t>
  </si>
  <si>
    <t>08.02.2026</t>
  </si>
  <si>
    <t>ROYAL MEDICAL HOSP-RONGO</t>
  </si>
  <si>
    <t>Vanessa Nyangi</t>
  </si>
  <si>
    <t>Female 0740664004</t>
  </si>
  <si>
    <t>Malaria/adenotonsilitis/epistatis</t>
  </si>
  <si>
    <t>09.02.2026</t>
  </si>
  <si>
    <t>Dorothy Amollo</t>
  </si>
  <si>
    <t>Female 0714717644</t>
  </si>
  <si>
    <t>UTI/htn urgency</t>
  </si>
  <si>
    <t>Mwalimu Mpendakula</t>
  </si>
  <si>
    <t>Spinal Cord Compression</t>
  </si>
  <si>
    <t>CARMEL MEDICAL</t>
  </si>
  <si>
    <t>Septic Wound</t>
  </si>
  <si>
    <t>12.02.2026</t>
  </si>
  <si>
    <t>Susan Muthoni</t>
  </si>
  <si>
    <t>Female 0721140114</t>
  </si>
  <si>
    <t>Severe Pulmonary htn</t>
  </si>
  <si>
    <t>KILOME MATERNITY</t>
  </si>
  <si>
    <t>David Munyao</t>
  </si>
  <si>
    <t xml:space="preserve">HTN Emergency </t>
  </si>
  <si>
    <t>NAIROBI WOMEN-NAIVASHA</t>
  </si>
  <si>
    <t xml:space="preserve">John Kogo </t>
  </si>
  <si>
    <t>B’ Severe Pneumonia /PTB</t>
  </si>
  <si>
    <t>15.02.2026</t>
  </si>
  <si>
    <t>Everlyne Akochi</t>
  </si>
  <si>
    <t>Female 0721898644</t>
  </si>
  <si>
    <t>DM/HTN/Severe degenerative Disc  Disease</t>
  </si>
  <si>
    <t>AGA KHAN UNIVERSITY</t>
  </si>
  <si>
    <t>Abdikadir Mohammed</t>
  </si>
  <si>
    <t>Male 0721255998</t>
  </si>
  <si>
    <t>Bilateral varicoceles</t>
  </si>
  <si>
    <t>01.02.2026 Hospital to Bill Through Smart</t>
  </si>
  <si>
    <t>Jonathan Simon keseri</t>
  </si>
  <si>
    <t>Hyponatremia/Hypovolemia in htn/dm</t>
  </si>
  <si>
    <t>Dominic Omboto</t>
  </si>
  <si>
    <t>Male 0728364127</t>
  </si>
  <si>
    <t>Sepsis/Hyponatremia/ htn</t>
  </si>
  <si>
    <t>ELGON VIEW HOSP</t>
  </si>
  <si>
    <t>Hosea Bitok</t>
  </si>
  <si>
    <t>Male 0720360993</t>
  </si>
  <si>
    <t>HHS/aki</t>
  </si>
  <si>
    <t>Joseph Muli</t>
  </si>
  <si>
    <t>Male 0721413141</t>
  </si>
  <si>
    <t xml:space="preserve">Multiple tendon &amp; nerve repair </t>
  </si>
  <si>
    <t>02.02.2026 SHA (8,960.00)</t>
  </si>
  <si>
    <t>Male 0722489731</t>
  </si>
  <si>
    <t>DCM/EF-207/dilated Lv cavity</t>
  </si>
  <si>
    <t>03.02.2026 SHA 56,000.00</t>
  </si>
  <si>
    <t xml:space="preserve">Joel Ejore </t>
  </si>
  <si>
    <t xml:space="preserve">Male 0722937628 </t>
  </si>
  <si>
    <t>Asthma in HTN</t>
  </si>
  <si>
    <t>Hussein Ali</t>
  </si>
  <si>
    <t>Male 0722808463</t>
  </si>
  <si>
    <t>Meningitis/ epididymo-orchitis</t>
  </si>
  <si>
    <t>Pascal Wanyinyi</t>
  </si>
  <si>
    <t>Male 0711407532</t>
  </si>
  <si>
    <t>Anaemia due to upper &amp; lower git bleeding</t>
  </si>
  <si>
    <t xml:space="preserve">David otieno Onyango </t>
  </si>
  <si>
    <t>Male 0743669137</t>
  </si>
  <si>
    <t>Son</t>
  </si>
  <si>
    <t xml:space="preserve">Gastritis/Lower abdominal Bleeding </t>
  </si>
  <si>
    <t xml:space="preserve">Susy Onyango </t>
  </si>
  <si>
    <t xml:space="preserve">Neck lesion </t>
  </si>
  <si>
    <t>Rebecca Kalunde</t>
  </si>
  <si>
    <t>Female 0722828789</t>
  </si>
  <si>
    <t>Ca cervix/uterus</t>
  </si>
  <si>
    <t xml:space="preserve">Isaac Muchendu </t>
  </si>
  <si>
    <t>Metastatic NET</t>
  </si>
  <si>
    <t xml:space="preserve">Teresia Mbaika </t>
  </si>
  <si>
    <t>Female 0722666233</t>
  </si>
  <si>
    <t xml:space="preserve">Distal CBD Stricture </t>
  </si>
  <si>
    <t>12.02.2026 (SHA-13,440.00)</t>
  </si>
  <si>
    <t>Joseph Asuna</t>
  </si>
  <si>
    <t>Male 0727944027</t>
  </si>
  <si>
    <t>Enlarged prostate/hematuria</t>
  </si>
  <si>
    <t>Mwinyi Kombo</t>
  </si>
  <si>
    <t>Acute Urinary retention/bph</t>
  </si>
  <si>
    <t>Margaret Bonareri</t>
  </si>
  <si>
    <t>Incarcetated umbilical hernia</t>
  </si>
  <si>
    <r>
      <t>30.01.2026</t>
    </r>
    <r>
      <rPr>
        <b/>
        <sz val="8"/>
        <color theme="1"/>
        <rFont val="Tahoma"/>
        <family val="2"/>
      </rPr>
      <t>-</t>
    </r>
    <r>
      <rPr>
        <sz val="8"/>
        <color theme="1"/>
        <rFont val="Tahoma"/>
        <family val="2"/>
      </rPr>
      <t>Hosp to bill through smart</t>
    </r>
  </si>
  <si>
    <t>Jane Muthoni Muhia</t>
  </si>
  <si>
    <t>Female 0712088180</t>
  </si>
  <si>
    <t>Hyperglycemia in dm/ UTI</t>
  </si>
  <si>
    <t>Charles Theuri</t>
  </si>
  <si>
    <t>Male 0723067294</t>
  </si>
  <si>
    <t>Right distal fibula fracture</t>
  </si>
  <si>
    <t>08.02.2026-Hosp to bill through smart</t>
  </si>
  <si>
    <t>Aboud Abdalla  Rafrouf</t>
  </si>
  <si>
    <t>Male 0721215761</t>
  </si>
  <si>
    <t>Hypotension/dehydration</t>
  </si>
  <si>
    <t>10.02.2026-DECEASED</t>
  </si>
  <si>
    <t>Sheikh Daud Ahmed</t>
  </si>
  <si>
    <t>Symptomatic Sciatica</t>
  </si>
  <si>
    <t>09.02.2026 SHA (17,920.00)</t>
  </si>
  <si>
    <t>BRISTOL PARK HOSP</t>
  </si>
  <si>
    <t>Nichodemus John</t>
  </si>
  <si>
    <t>Male 0711903800</t>
  </si>
  <si>
    <t>Sepsis ?Mild Stroke</t>
  </si>
  <si>
    <t>Mwanza Mutiso</t>
  </si>
  <si>
    <t xml:space="preserve">Obstructive jaundice </t>
  </si>
  <si>
    <t>DVT</t>
  </si>
  <si>
    <t>06.02.2026 (Sha-Ksh 15,680.00)</t>
  </si>
  <si>
    <t>Alois Gachau</t>
  </si>
  <si>
    <t>Female 0723490875</t>
  </si>
  <si>
    <t>Solomon Wakoli</t>
  </si>
  <si>
    <t>Male 0722744042</t>
  </si>
  <si>
    <t>Severe dehydration /GE</t>
  </si>
  <si>
    <t>Hannah Wambui Njuguna</t>
  </si>
  <si>
    <t>Female 0726055534</t>
  </si>
  <si>
    <t>Umbilical hernia</t>
  </si>
  <si>
    <t xml:space="preserve">Liver Cirrhosis </t>
  </si>
  <si>
    <t>Chesembe Lasto</t>
  </si>
  <si>
    <t>Lumbar Spondylosis</t>
  </si>
  <si>
    <t>Derick Maganga</t>
  </si>
  <si>
    <t>Male 0721479471</t>
  </si>
  <si>
    <t>Male 0722329280</t>
  </si>
  <si>
    <t>Htn Urgency/gout/lliver steatosis</t>
  </si>
  <si>
    <t>Philipo Simiyu</t>
  </si>
  <si>
    <t>Male 0727693372</t>
  </si>
  <si>
    <t>Severe chest pain secondary to trauma</t>
  </si>
  <si>
    <t>NAIROBI WOMEN KITENGELA</t>
  </si>
  <si>
    <t xml:space="preserve"> </t>
  </si>
  <si>
    <t>Male 0718617565</t>
  </si>
  <si>
    <t>Bronchopneumonia</t>
  </si>
  <si>
    <t>UNISON MEDICAL CENTRE</t>
  </si>
  <si>
    <t>Nkaani Lelegwe</t>
  </si>
  <si>
    <t>Male 0717992592</t>
  </si>
  <si>
    <t>GE/Gastritis</t>
  </si>
  <si>
    <t>Margaret Mwari</t>
  </si>
  <si>
    <t>Female 0726168442</t>
  </si>
  <si>
    <t>Pneumonia/ TB/Severe GE</t>
  </si>
  <si>
    <t>Samuel Kamau</t>
  </si>
  <si>
    <t>Hyperkalemia/dm/htn</t>
  </si>
  <si>
    <t>26.01.2026-belated lou,Billed through smart on 31.01.26</t>
  </si>
  <si>
    <t>Tom Miheso</t>
  </si>
  <si>
    <t>Male 0714402097</t>
  </si>
  <si>
    <t>Ischeamic heart disease</t>
  </si>
  <si>
    <t>KUTRRH</t>
  </si>
  <si>
    <t>Maxwel Ngagi</t>
  </si>
  <si>
    <t>Gall bladder mass/obstructive jaundice</t>
  </si>
  <si>
    <t>03.02.2026 Deceased-Hosp to bill through smart</t>
  </si>
  <si>
    <t>GALAXY HOSP</t>
  </si>
  <si>
    <t>Fatuma Ali Esso</t>
  </si>
  <si>
    <t>Female 0724465817</t>
  </si>
  <si>
    <t>AFI/Gastritis/pneumonia</t>
  </si>
  <si>
    <t xml:space="preserve">Milka Mosioma </t>
  </si>
  <si>
    <t xml:space="preserve">Convulsion </t>
  </si>
  <si>
    <t xml:space="preserve">02.02.2026 Belated </t>
  </si>
  <si>
    <t>Irene Mwaganda</t>
  </si>
  <si>
    <t>Female 0723996740</t>
  </si>
  <si>
    <t>Lower back pain/ htn urgency</t>
  </si>
  <si>
    <t>Margret Nekesa</t>
  </si>
  <si>
    <t>Female 0704493653</t>
  </si>
  <si>
    <t>Acute decompensated heart failure with respiratory distress</t>
  </si>
  <si>
    <t>Paul Gachihi</t>
  </si>
  <si>
    <t>Malunted ankle fracture</t>
  </si>
  <si>
    <t>Ian Odhiambo</t>
  </si>
  <si>
    <t>Male 0724360651</t>
  </si>
  <si>
    <t>David Mcokech</t>
  </si>
  <si>
    <t>Malignant neoplasm of prostate</t>
  </si>
  <si>
    <t>Veronicah  Muthoni</t>
  </si>
  <si>
    <t>Female 0722458201</t>
  </si>
  <si>
    <t>Bacteria Pneumonia in dm</t>
  </si>
  <si>
    <t xml:space="preserve">Sudies Abdi </t>
  </si>
  <si>
    <t xml:space="preserve">Septic Tonsilitis/Bacterial Infection/Pneumonia  </t>
  </si>
  <si>
    <t>Alice Akeyo</t>
  </si>
  <si>
    <t>Stroke</t>
  </si>
  <si>
    <t>Eunice Mukwanyaga</t>
  </si>
  <si>
    <t>Female 0721490714</t>
  </si>
  <si>
    <t>Severe headache/UTI</t>
  </si>
  <si>
    <t>Hussein Mohamed</t>
  </si>
  <si>
    <t>Male 0728323604</t>
  </si>
  <si>
    <t>DM/Urosepsis//Peripheral neuropathy</t>
  </si>
  <si>
    <t>James Kibet</t>
  </si>
  <si>
    <t>Cellulities in DM</t>
  </si>
  <si>
    <t>Grace Nyaguthi</t>
  </si>
  <si>
    <t>Ischaemic Heart disease</t>
  </si>
  <si>
    <t>30.01.2026-Belated- billed through smart on 06.02.26</t>
  </si>
  <si>
    <t xml:space="preserve">Agnes Njeri </t>
  </si>
  <si>
    <t>Female 0728433456</t>
  </si>
  <si>
    <t>Acute Depression/Htn</t>
  </si>
  <si>
    <t xml:space="preserve">Catherine Munee Kakundi </t>
  </si>
  <si>
    <t>Osteoarthritis lt Hip/Htn</t>
  </si>
  <si>
    <t xml:space="preserve">James Murithi </t>
  </si>
  <si>
    <t xml:space="preserve">HTN/Intracranial bleeding </t>
  </si>
  <si>
    <t>Felix Muthoka</t>
  </si>
  <si>
    <t>Rvd/liver injury/pneumonia</t>
  </si>
  <si>
    <t>27.01.2026-Hospital to Bill Through Smart</t>
  </si>
  <si>
    <t>Elijah Tenai</t>
  </si>
  <si>
    <t>Male 0729974024</t>
  </si>
  <si>
    <t>Severe anaemia pud/Htn</t>
  </si>
  <si>
    <t>Bladder outlet obstruction/upper urinary tract rupture</t>
  </si>
  <si>
    <t xml:space="preserve">Abdi Hassan </t>
  </si>
  <si>
    <t xml:space="preserve">Acute Kidney Disease/Bilateral fibrosis </t>
  </si>
  <si>
    <t>Sever Gastritis/Chronic Headaches/Cervical Spondylosis</t>
  </si>
  <si>
    <t xml:space="preserve">Monica Kanana </t>
  </si>
  <si>
    <t>Acute GE/Electrolyte imbalance/Hemorrhagic stroke</t>
  </si>
  <si>
    <t>Henry Moindi</t>
  </si>
  <si>
    <t>Male 0798437050</t>
  </si>
  <si>
    <t>Advanced generalized hip pain/Delirium</t>
  </si>
  <si>
    <t>Davis Kariuki</t>
  </si>
  <si>
    <t>Male 0721977173</t>
  </si>
  <si>
    <t>HIV encephalopathy /AKI/dm</t>
  </si>
  <si>
    <t>Noah Onyango Obonyo</t>
  </si>
  <si>
    <t>Male 0726270909</t>
  </si>
  <si>
    <t>Chronic low back pain</t>
  </si>
  <si>
    <t>Strangulated umbilical hernia/ perforated duodenal ulcer</t>
  </si>
  <si>
    <t>Galma Jattani</t>
  </si>
  <si>
    <t>CORD compression/wedge compression</t>
  </si>
  <si>
    <t>Schizophrenia/ fracture left hand phalanges</t>
  </si>
  <si>
    <t xml:space="preserve">Hamza Mohamed </t>
  </si>
  <si>
    <t>Male 0722224393</t>
  </si>
  <si>
    <t>Acute promyelocytic leukemia (SHA- Ksh.132,250.00)</t>
  </si>
  <si>
    <t>06.01.2026-Belated -billed through smart on 02.02.26</t>
  </si>
  <si>
    <t>Leah Chebet</t>
  </si>
  <si>
    <t>Female 0725560278</t>
  </si>
  <si>
    <t xml:space="preserve">Bipolar Mood Disorder </t>
  </si>
  <si>
    <t xml:space="preserve">04.01.2026 </t>
  </si>
  <si>
    <t>Meshack Leshan</t>
  </si>
  <si>
    <t>Male 0723997201</t>
  </si>
  <si>
    <t>Post Kidney transplant/hepatitis/Dm</t>
  </si>
  <si>
    <t xml:space="preserve">02.01.2026-Deceased </t>
  </si>
  <si>
    <t>James Murithi</t>
  </si>
  <si>
    <t>Male 0720481492</t>
  </si>
  <si>
    <t>anterior aneurysm rapture</t>
  </si>
  <si>
    <t>05.01.2026-Belated-Hosp to bill through smart</t>
  </si>
  <si>
    <t xml:space="preserve">Ruth Brinna </t>
  </si>
  <si>
    <t xml:space="preserve">Acute Gastritis </t>
  </si>
  <si>
    <t> 04.02.2026</t>
  </si>
  <si>
    <t>2 </t>
  </si>
  <si>
    <t>Petronila Atieno</t>
  </si>
  <si>
    <t>Samuel Chebos</t>
  </si>
  <si>
    <t>Per rectal bleeding</t>
  </si>
  <si>
    <t>Tom Cheruiyot</t>
  </si>
  <si>
    <t>Gastroesophageal/reflux GERD</t>
  </si>
  <si>
    <t>Beatrice Njoki</t>
  </si>
  <si>
    <t>GERD/</t>
  </si>
  <si>
    <t>IschaemicHeart disease</t>
  </si>
  <si>
    <t>Lumbar radioculopathy</t>
  </si>
  <si>
    <t>04.02.2026-Belated -Billed through smart on 4.2.26</t>
  </si>
  <si>
    <t>PCEA CHONGORIA</t>
  </si>
  <si>
    <t>Mercy Gatweri</t>
  </si>
  <si>
    <t>Ovarian cyst/AUB</t>
  </si>
  <si>
    <t>Christian Juma</t>
  </si>
  <si>
    <t>Poor urinary stream</t>
  </si>
  <si>
    <t>Mary Wanjiru</t>
  </si>
  <si>
    <t>Selective lumbar nerve block</t>
  </si>
  <si>
    <t>James Oloo</t>
  </si>
  <si>
    <t xml:space="preserve">Dyphagia </t>
  </si>
  <si>
    <t>Daniel Ouma</t>
  </si>
  <si>
    <t>Triger Finger</t>
  </si>
  <si>
    <t>Crispo Kiruja</t>
  </si>
  <si>
    <t>Gluteal nudules</t>
  </si>
  <si>
    <t xml:space="preserve">Elizabeth Nekesa </t>
  </si>
  <si>
    <t>Breast MASS</t>
  </si>
  <si>
    <t>Kenneth Okoki</t>
  </si>
  <si>
    <t>Forein body granuloma</t>
  </si>
  <si>
    <t>10.02.2026-Hosp to bill through smart</t>
  </si>
  <si>
    <t>Fransis Mwanza</t>
  </si>
  <si>
    <t>Thyroid nodule</t>
  </si>
  <si>
    <t>Mercy Nakumicha</t>
  </si>
  <si>
    <t>Severe pneumonia/asthma</t>
  </si>
  <si>
    <t>Charles Kimau</t>
  </si>
  <si>
    <t xml:space="preserve">Neck Abscess </t>
  </si>
  <si>
    <t>05.02.2026 Billed as Outpatient</t>
  </si>
  <si>
    <t xml:space="preserve">Seif Sheyumbe </t>
  </si>
  <si>
    <t>13.02.2026-SHA (26,000.00)</t>
  </si>
  <si>
    <t>Thomas Kimuyu</t>
  </si>
  <si>
    <t>Dm/Esrd</t>
  </si>
  <si>
    <t>11.02.2026-Hosp to bill through smart</t>
  </si>
  <si>
    <t>BISHOP KIOKO HOSP</t>
  </si>
  <si>
    <t>Renal failure</t>
  </si>
  <si>
    <t>ESRD/dm/htn</t>
  </si>
  <si>
    <t>Paul Waweru Muthui</t>
  </si>
  <si>
    <t>ESRD DUE TO Htn</t>
  </si>
  <si>
    <t>James Munyau</t>
  </si>
  <si>
    <t>11.02.2026-Hosp billed as Out patient</t>
  </si>
  <si>
    <t xml:space="preserve">Simon nzyoka </t>
  </si>
  <si>
    <t>esrd</t>
  </si>
  <si>
    <t>05.02.2026 Hospital to bill through SMART</t>
  </si>
  <si>
    <t>Simon Nzioka</t>
  </si>
  <si>
    <t>Kimutai Kimei</t>
  </si>
  <si>
    <t>03.02.2026-Hosp billed as out patient</t>
  </si>
  <si>
    <t>2012620(102835)</t>
  </si>
  <si>
    <t>STARKEY HEARING TECH</t>
  </si>
  <si>
    <t>Lucy Wangechi</t>
  </si>
  <si>
    <t>Hearing loss</t>
  </si>
  <si>
    <t>Hearing aids</t>
  </si>
  <si>
    <t>Necletus Komu</t>
  </si>
  <si>
    <t>Metastatic Ca Prostate</t>
  </si>
  <si>
    <t>Dalmas Ariyo</t>
  </si>
  <si>
    <t>Prostate Ca in htn/dm</t>
  </si>
  <si>
    <t>03.02.2026-Hosp to bill through smart</t>
  </si>
  <si>
    <t>Noor soyan</t>
  </si>
  <si>
    <t>Melanoma</t>
  </si>
  <si>
    <t>Emily Melil</t>
  </si>
  <si>
    <t>Squamous cell Ca</t>
  </si>
  <si>
    <t xml:space="preserve">Ovarian Ca </t>
  </si>
  <si>
    <t>Edward Langat</t>
  </si>
  <si>
    <t xml:space="preserve">Ca Porstate </t>
  </si>
  <si>
    <t>Daniel Kimani</t>
  </si>
  <si>
    <t xml:space="preserve">Joseph Kosen </t>
  </si>
  <si>
    <t>Monica barkitoch</t>
  </si>
  <si>
    <t>Ca Colon</t>
  </si>
  <si>
    <t>Monicah Barkitoch</t>
  </si>
  <si>
    <t>05.02.2026 Billed on 04.02.2026</t>
  </si>
  <si>
    <t xml:space="preserve">Monicah Barkitoch </t>
  </si>
  <si>
    <t>Ca colon</t>
  </si>
  <si>
    <t>13.02.2026-Hosp to bill through smart</t>
  </si>
  <si>
    <t>Dickson Mudeshi</t>
  </si>
  <si>
    <t xml:space="preserve">Metastatic Ca prostate </t>
  </si>
  <si>
    <t>Japhet Kirui</t>
  </si>
  <si>
    <t xml:space="preserve">Ca PROSTATE </t>
  </si>
  <si>
    <t>Amos Kibunga</t>
  </si>
  <si>
    <t xml:space="preserve">Gastric Ca </t>
  </si>
  <si>
    <t>06.02.2026- Belated lou billed through smart on 05.02.26</t>
  </si>
  <si>
    <t>John Gituuru</t>
  </si>
  <si>
    <t>13.02.2026 Oncology package -SHA(42,900.00)</t>
  </si>
  <si>
    <t>John Ndungu</t>
  </si>
  <si>
    <t>Mucula Edema</t>
  </si>
  <si>
    <t>Edward Njenga</t>
  </si>
  <si>
    <t>Central retinal vein occlusion</t>
  </si>
  <si>
    <t>AGARWAL EYE</t>
  </si>
  <si>
    <t xml:space="preserve">Wilfred Murithi </t>
  </si>
  <si>
    <t xml:space="preserve">Cataract Lt Eye </t>
  </si>
  <si>
    <t>AAR HEALTHY CARE</t>
  </si>
  <si>
    <t>Benedict Kisesi Mateta</t>
  </si>
  <si>
    <t>Chest Injury ? pneumothorax secondary to a fall</t>
  </si>
  <si>
    <t>26.02.2026-Hosp to bill through smart</t>
  </si>
  <si>
    <t>26.02.2026</t>
  </si>
  <si>
    <t>Ambulance</t>
  </si>
  <si>
    <t>AGA KHAN - KISII</t>
  </si>
  <si>
    <t>Francis Kanoi</t>
  </si>
  <si>
    <t>Male 0723634864</t>
  </si>
  <si>
    <t>Acromioclavicular joint dislocation/fracture</t>
  </si>
  <si>
    <t>23.02.2026</t>
  </si>
  <si>
    <t>25.02.2026</t>
  </si>
  <si>
    <t>Everlyne Akoth</t>
  </si>
  <si>
    <t>Female 0720840786</t>
  </si>
  <si>
    <t>Acute lumbar spondylosis/htn</t>
  </si>
  <si>
    <t>16.02.2026</t>
  </si>
  <si>
    <t>AGA KHAN -MOMBASA</t>
  </si>
  <si>
    <t>18.02.2026</t>
  </si>
  <si>
    <t>Mwanamkuu Idi</t>
  </si>
  <si>
    <t>Sepsis/lupus</t>
  </si>
  <si>
    <t>19.02.2026</t>
  </si>
  <si>
    <t>24.02.2026</t>
  </si>
  <si>
    <t xml:space="preserve">Rukia HASSAN </t>
  </si>
  <si>
    <t xml:space="preserve">Htn/Palpitation </t>
  </si>
  <si>
    <t>25.02.2026 Hospital to bill through SMART</t>
  </si>
  <si>
    <t>Jane Teresa</t>
  </si>
  <si>
    <t>Ca breast (pet scan)</t>
  </si>
  <si>
    <t>20.02.2026-off smart</t>
  </si>
  <si>
    <t>20.02.2026</t>
  </si>
  <si>
    <t>BAMA HOSP</t>
  </si>
  <si>
    <t>Josephine Ongor</t>
  </si>
  <si>
    <t>Female 0720574402</t>
  </si>
  <si>
    <t>Gastritis/Malaria/GE</t>
  </si>
  <si>
    <t>28.02.2026</t>
  </si>
  <si>
    <t>Betty Abilla</t>
  </si>
  <si>
    <t>Severe Prolapsed intervertebral Disc</t>
  </si>
  <si>
    <t>Fredrick Gachau</t>
  </si>
  <si>
    <t>Male  0742144804</t>
  </si>
  <si>
    <t>DM/HTN /chest pain</t>
  </si>
  <si>
    <t>17.02.2026</t>
  </si>
  <si>
    <t>Ca Cervix stage iv/severe gastritis/dehydration</t>
  </si>
  <si>
    <t>26.01.2026 -Diseased</t>
  </si>
  <si>
    <r>
      <t>27.02.2026-</t>
    </r>
    <r>
      <rPr>
        <b/>
        <sz val="8"/>
        <color rgb="FF000000"/>
        <rFont val="Tahoma"/>
        <family val="2"/>
      </rPr>
      <t>Hosp to bill through smart</t>
    </r>
  </si>
  <si>
    <t>27.02.2026</t>
  </si>
  <si>
    <t>Robert Kariuki</t>
  </si>
  <si>
    <t>Lymphoma</t>
  </si>
  <si>
    <t>Joseph Musili</t>
  </si>
  <si>
    <t>24.02.2026 (sha-64,200.00)</t>
  </si>
  <si>
    <t>Fredrick Onyango</t>
  </si>
  <si>
    <t>Ca cervix</t>
  </si>
  <si>
    <r>
      <t>28.02.2026-</t>
    </r>
    <r>
      <rPr>
        <b/>
        <sz val="8"/>
        <color rgb="FF000000"/>
        <rFont val="Tahoma"/>
        <family val="2"/>
      </rPr>
      <t>Hosp to bill through smart</t>
    </r>
  </si>
  <si>
    <t>Michael Mandela</t>
  </si>
  <si>
    <t>Male 0723566585</t>
  </si>
  <si>
    <t>Severe Epistaxis</t>
  </si>
  <si>
    <t>John Kwemboi Maiben</t>
  </si>
  <si>
    <t>Male 0720735238</t>
  </si>
  <si>
    <t>Htn urgency/Haematuria ?bph</t>
  </si>
  <si>
    <t>Jane Musani</t>
  </si>
  <si>
    <t>Female 0703941853</t>
  </si>
  <si>
    <t xml:space="preserve">Cardiomyopathy hypertensive </t>
  </si>
  <si>
    <t>Amos Wachira</t>
  </si>
  <si>
    <t>Pauline Waithera</t>
  </si>
  <si>
    <t>Female 0724833295</t>
  </si>
  <si>
    <t>? Heart failure in DM/HTN</t>
  </si>
  <si>
    <t>John Hernesty</t>
  </si>
  <si>
    <t>Fatima Mganyi</t>
  </si>
  <si>
    <t>Lumbar/htn/tonsilitis</t>
  </si>
  <si>
    <t>21.02.2026</t>
  </si>
  <si>
    <t>Jane Mbugua</t>
  </si>
  <si>
    <t>Dry eye syndrome</t>
  </si>
  <si>
    <t>Ikram Abdi</t>
  </si>
  <si>
    <t>Pneumonia/ asthma</t>
  </si>
  <si>
    <t>Male 0721553798</t>
  </si>
  <si>
    <t xml:space="preserve">Varicocele </t>
  </si>
  <si>
    <t>KIJABE HOSP</t>
  </si>
  <si>
    <t>Fatuma Salla</t>
  </si>
  <si>
    <t>Dyspepsia</t>
  </si>
  <si>
    <t>Ca prosate</t>
  </si>
  <si>
    <t xml:space="preserve">Marieta Nduge </t>
  </si>
  <si>
    <t xml:space="preserve">Ca cervix </t>
  </si>
  <si>
    <t>18.02.2026-Hosp to bill through smart</t>
  </si>
  <si>
    <t>Grace Wamuyu</t>
  </si>
  <si>
    <t>Diabetic retinopathy</t>
  </si>
  <si>
    <t>Lawrence Kinguri</t>
  </si>
  <si>
    <t>Chronic macular hole</t>
  </si>
  <si>
    <t>Macular edeme</t>
  </si>
  <si>
    <t>Zacharia Mukavi</t>
  </si>
  <si>
    <t>Proliferative diabetic retinopathy</t>
  </si>
  <si>
    <t>Erastus Muteti</t>
  </si>
  <si>
    <t>Silicone oil silled globe</t>
  </si>
  <si>
    <t xml:space="preserve">Christopher Mnajau </t>
  </si>
  <si>
    <t xml:space="preserve">Cataract </t>
  </si>
  <si>
    <t>Christine Karanja</t>
  </si>
  <si>
    <t>26.02.2026-Billed through smart on 25.02.26</t>
  </si>
  <si>
    <t>Proliferative diabetic</t>
  </si>
  <si>
    <t>26.02.2026-Billed through smart on 24.02.26</t>
  </si>
  <si>
    <t>Male 0729795838</t>
  </si>
  <si>
    <t>Hypothyroidism/Htn/dm/Esophageal varices/Ca Colon/heart failure</t>
  </si>
  <si>
    <t>27.01.2026 Cover Exh</t>
  </si>
  <si>
    <t>Joseph Muli Maingi</t>
  </si>
  <si>
    <t>Complex fracture radio ulnar with delayed union</t>
  </si>
  <si>
    <t>18.02.2026 (Sha 145,600.00)</t>
  </si>
  <si>
    <t>Victoria Nduku</t>
  </si>
  <si>
    <t>Female 0714211052</t>
  </si>
  <si>
    <t>Chondriuocarcinoma</t>
  </si>
  <si>
    <t>18.02.2026 (Sha 89,600.00)</t>
  </si>
  <si>
    <t>Francis Manza</t>
  </si>
  <si>
    <t>Male 0720858295</t>
  </si>
  <si>
    <t>Papillary thyroid caarcinoma</t>
  </si>
  <si>
    <t>24.02.2026 (sha 134,400.00(</t>
  </si>
  <si>
    <t>MEDINA HOSP</t>
  </si>
  <si>
    <t>Bishar Abdi Yusuf</t>
  </si>
  <si>
    <t>Male 0725212540</t>
  </si>
  <si>
    <t>Healed fracture with plate and screws insitu(for removal)</t>
  </si>
  <si>
    <t>Convulsive disorder/pneumonia</t>
  </si>
  <si>
    <t>MUTHALE MISSION</t>
  </si>
  <si>
    <t>Elizabeth Musyoka</t>
  </si>
  <si>
    <t>Female 0727556288</t>
  </si>
  <si>
    <t>Kidney injury /hyperglyceamia</t>
  </si>
  <si>
    <t xml:space="preserve">Peter Njoka </t>
  </si>
  <si>
    <t>Osteoarthritis Rt knee</t>
  </si>
  <si>
    <t>Gall bladder tumor with obstruction</t>
  </si>
  <si>
    <t>Lorejei Ekiru</t>
  </si>
  <si>
    <t>Ca Oesophagud</t>
  </si>
  <si>
    <t>Abdikadir Shubelo</t>
  </si>
  <si>
    <t>Hematuria collection a</t>
  </si>
  <si>
    <t>Yakub Jelle</t>
  </si>
  <si>
    <t>Male 0703707733</t>
  </si>
  <si>
    <t>Arthrofibrosis Post TKR</t>
  </si>
  <si>
    <t xml:space="preserve">Omar Ali </t>
  </si>
  <si>
    <t>Male 0712949343</t>
  </si>
  <si>
    <t>Septic tonsilitis with dehydration</t>
  </si>
  <si>
    <t>Female 0725844177</t>
  </si>
  <si>
    <t>GE /? Cellulitis /LL Oedema</t>
  </si>
  <si>
    <t>Rebecca Waithira</t>
  </si>
  <si>
    <t>Female 0729592864</t>
  </si>
  <si>
    <t>CAD/HTN/DM</t>
  </si>
  <si>
    <t>Radiation Prostatis/ Anaemia/ca prostate</t>
  </si>
  <si>
    <t xml:space="preserve">12.02.2026 </t>
  </si>
  <si>
    <t xml:space="preserve">Sepsis/DM/HTN/CKD </t>
  </si>
  <si>
    <t>Felista Itumbi</t>
  </si>
  <si>
    <t>Female 0722775410</t>
  </si>
  <si>
    <t>Cholelithiasis</t>
  </si>
  <si>
    <t>Male 0726386129</t>
  </si>
  <si>
    <t>MI/CKD/Sepsis/Dengue fever</t>
  </si>
  <si>
    <t>22.02.2026</t>
  </si>
  <si>
    <t>Ca GIST</t>
  </si>
  <si>
    <t>Vidic Chege</t>
  </si>
  <si>
    <t>Male 0722790272</t>
  </si>
  <si>
    <t>Acute GE/Heamorrhoids</t>
  </si>
  <si>
    <t>NAKURU SPECIALIST</t>
  </si>
  <si>
    <t>Magdaline Wanjiru</t>
  </si>
  <si>
    <t>Cytocele &amp;rectocele</t>
  </si>
  <si>
    <t>Simon Maina Gichuna</t>
  </si>
  <si>
    <t>Corneal foreign object</t>
  </si>
  <si>
    <t>Agnes Wanjiku</t>
  </si>
  <si>
    <t>James Mbugua</t>
  </si>
  <si>
    <t>Male 0701368360</t>
  </si>
  <si>
    <t>Bladder outlet obstruction/prostate enlargement</t>
  </si>
  <si>
    <t>Sebastia Karugu</t>
  </si>
  <si>
    <t>Male 0720838602</t>
  </si>
  <si>
    <t>Severe gastritis /htn/dm</t>
  </si>
  <si>
    <t>NGONG REATREAT</t>
  </si>
  <si>
    <t xml:space="preserve">Evans Bundi </t>
  </si>
  <si>
    <t>Major Depressive /Htn//lower back pain</t>
  </si>
  <si>
    <t>OASIS MENTAL</t>
  </si>
  <si>
    <t xml:space="preserve">Knin Mukami Emuria </t>
  </si>
  <si>
    <t>Felicio John</t>
  </si>
  <si>
    <t>Breast mass</t>
  </si>
  <si>
    <t>Branson Mbaya</t>
  </si>
  <si>
    <t xml:space="preserve">Gynecomastia </t>
  </si>
  <si>
    <t>Abdinoor Hassan</t>
  </si>
  <si>
    <t>Male 0722218618</t>
  </si>
  <si>
    <t>Obstructive Uropathy secondary to BPE</t>
  </si>
  <si>
    <t>Amina Faiz</t>
  </si>
  <si>
    <t>Female 0710483908</t>
  </si>
  <si>
    <t>Acute Febrile illness</t>
  </si>
  <si>
    <t>19.02.2026 (sha 10,080.00)</t>
  </si>
  <si>
    <t xml:space="preserve">POPE BENENDIT </t>
  </si>
  <si>
    <t>Veronica Lekolol</t>
  </si>
  <si>
    <t>Female 0722814018</t>
  </si>
  <si>
    <t xml:space="preserve">H.pylori /gastroenteritis wit dehydration </t>
  </si>
  <si>
    <t>Mohammed Shukry</t>
  </si>
  <si>
    <t>Yemima Hakamba</t>
  </si>
  <si>
    <t>Jackson Kisire</t>
  </si>
  <si>
    <t>Joseph Rotich</t>
  </si>
  <si>
    <t>Hydrocele</t>
  </si>
  <si>
    <t>Purity Kangwony</t>
  </si>
  <si>
    <t>Open necrotic septic wound</t>
  </si>
  <si>
    <t>RELIANCE HOSP</t>
  </si>
  <si>
    <t>Saadia Shire</t>
  </si>
  <si>
    <t>Female 0717335220</t>
  </si>
  <si>
    <t>Severe dehydration secondary to gastroenteritis</t>
  </si>
  <si>
    <t>Chillion Onyinkwa</t>
  </si>
  <si>
    <t>Male 0712209116</t>
  </si>
  <si>
    <t xml:space="preserve">Acute urine retention/obstructive uropathy </t>
  </si>
  <si>
    <t>ST CLARE KAPLONG</t>
  </si>
  <si>
    <t>Hellen Chelangat</t>
  </si>
  <si>
    <t>Female 0746209106</t>
  </si>
  <si>
    <t xml:space="preserve">Fracture Proximal Femur </t>
  </si>
  <si>
    <t>Female 0797597630</t>
  </si>
  <si>
    <t>Agnes Muthama</t>
  </si>
  <si>
    <t>Female 0719469132</t>
  </si>
  <si>
    <t>Cystocele urethrocele</t>
  </si>
  <si>
    <t>Michael Kiluu</t>
  </si>
  <si>
    <r>
      <t>27.02.2026-</t>
    </r>
    <r>
      <rPr>
        <b/>
        <sz val="8"/>
        <color rgb="FF000000"/>
        <rFont val="Tahoma"/>
        <family val="2"/>
      </rPr>
      <t>Hosp billed as out patient</t>
    </r>
  </si>
  <si>
    <t>Joashy Mbogholi</t>
  </si>
  <si>
    <t>Male 0721625808</t>
  </si>
  <si>
    <t>DKA in newly diagnosed dm</t>
  </si>
  <si>
    <t>ST KIJABE HOSP</t>
  </si>
  <si>
    <t>Charles Kihara</t>
  </si>
  <si>
    <t>Male 0724147435</t>
  </si>
  <si>
    <t>Htn/dm prostate Ca with met to spine/ Bilateral neck abscess/ post decompression/ fusion(26.01.26)</t>
  </si>
  <si>
    <t>10.02.2026 (SHA 311,360.00)</t>
  </si>
  <si>
    <t>17.02.2026-Billed through smart on 16.02.26</t>
  </si>
  <si>
    <t xml:space="preserve">Margaret Nekesa </t>
  </si>
  <si>
    <t>Female -704493653</t>
  </si>
  <si>
    <t>Decxompensated HF/DM/HTN/Gastritis</t>
  </si>
  <si>
    <t>17.02.2026-DECEASED</t>
  </si>
  <si>
    <t>Haemorrhoids/GE</t>
  </si>
  <si>
    <t>Simon Kirwa</t>
  </si>
  <si>
    <t>Male 0722348407</t>
  </si>
  <si>
    <t>Infected rt foot ulcer</t>
  </si>
  <si>
    <t>Peter Koskey</t>
  </si>
  <si>
    <t>Male 0704976159</t>
  </si>
  <si>
    <t>Osteoarthritis</t>
  </si>
  <si>
    <t>19.02.2026 (Sha -336,000.00)</t>
  </si>
  <si>
    <t>Fredrick Gathigi</t>
  </si>
  <si>
    <t>ST MARYS MISSION-ELEMENTAITA</t>
  </si>
  <si>
    <t>Stephen Mbatia</t>
  </si>
  <si>
    <t>Htn/Venous thrombosis</t>
  </si>
  <si>
    <t>ST MATIA MULUMBA</t>
  </si>
  <si>
    <t>Daniel Mwaura</t>
  </si>
  <si>
    <t>Male 0720242011</t>
  </si>
  <si>
    <t>Left renal cyst/seminal RT cyst/ Metastatic Ca Lung</t>
  </si>
  <si>
    <t>Stephen Ochieng</t>
  </si>
  <si>
    <t>Male 0721540607</t>
  </si>
  <si>
    <t>Bilateral Knee meniscus tear</t>
  </si>
  <si>
    <t>TALA HOSP</t>
  </si>
  <si>
    <t>Elizabeth Thuki</t>
  </si>
  <si>
    <t>19.02.2026-Hosp to bill through smart</t>
  </si>
  <si>
    <t>Male 0729953155</t>
  </si>
  <si>
    <t>CKD/Sepsis</t>
  </si>
  <si>
    <t>16.02.2026 (sha 26,880.00)</t>
  </si>
  <si>
    <t>Metastatic ca cervix</t>
  </si>
  <si>
    <t>Henry Mulwa</t>
  </si>
  <si>
    <t>Male 0722608503</t>
  </si>
  <si>
    <t>Ischemic heart disease</t>
  </si>
  <si>
    <t xml:space="preserve">Beatrice Wafula </t>
  </si>
  <si>
    <t>16.02.2026-Hosp billed as out patient</t>
  </si>
  <si>
    <t>Naomi Gesare</t>
  </si>
  <si>
    <t>Chest Pain R/O MI R/O PE/hypotension</t>
  </si>
  <si>
    <t>Consolata Mwangi</t>
  </si>
  <si>
    <t>Female 0723773910</t>
  </si>
  <si>
    <t>Severe Anaemia</t>
  </si>
  <si>
    <t>Samson Omariba</t>
  </si>
  <si>
    <t>26.02.2026-Oncology Package</t>
  </si>
  <si>
    <t>Malignant neoplasm oxary</t>
  </si>
  <si>
    <t>26.02.2026-Belated -Hosp to bill through smart</t>
  </si>
  <si>
    <t>Ovarian ca</t>
  </si>
  <si>
    <r>
      <t xml:space="preserve">27.02.2026-Oncology package, hosp </t>
    </r>
    <r>
      <rPr>
        <b/>
        <sz val="8"/>
        <color rgb="FF000000"/>
        <rFont val="Tahoma"/>
        <family val="2"/>
      </rPr>
      <t>to bill through smart</t>
    </r>
  </si>
  <si>
    <t>UHSF- DFMH</t>
  </si>
  <si>
    <t xml:space="preserve">George Mutinda </t>
  </si>
  <si>
    <t>Colonic polyp/Dyspepsia/GERG</t>
  </si>
  <si>
    <t xml:space="preserve">Maurice Omoro </t>
  </si>
  <si>
    <t>Timothy Karugui</t>
  </si>
  <si>
    <t>18.02.2026-Hosp billed as out patient</t>
  </si>
  <si>
    <t>Dorcas Kavara</t>
  </si>
  <si>
    <t>Female 0719896909</t>
  </si>
  <si>
    <t>Bipolar 1 disorder</t>
  </si>
  <si>
    <t>Mercy Wakio</t>
  </si>
  <si>
    <t>Ingrown toenail</t>
  </si>
  <si>
    <t>Jacinta Masila</t>
  </si>
  <si>
    <t>Female 0723041397</t>
  </si>
  <si>
    <t>Lt Leg Cellulitis/HTN/DM</t>
  </si>
  <si>
    <t>Irsha Roba</t>
  </si>
  <si>
    <t>Female 0720019232</t>
  </si>
  <si>
    <t>Pneumonia/ with neck abscess</t>
  </si>
  <si>
    <t>Female 0711994280</t>
  </si>
  <si>
    <t>Gastroenteritis/gastritis</t>
  </si>
  <si>
    <t>James Munyua</t>
  </si>
  <si>
    <t>UHSF - LRH</t>
  </si>
  <si>
    <t>UHSF - NRH</t>
  </si>
  <si>
    <t>UHSF - DFWC</t>
  </si>
  <si>
    <t>Nickson Kusiyenya</t>
  </si>
  <si>
    <t>Male 0722227870</t>
  </si>
  <si>
    <t>Severe Low back pain/spondylosis</t>
  </si>
  <si>
    <r>
      <t xml:space="preserve">12.01.2026-Hosp </t>
    </r>
    <r>
      <rPr>
        <b/>
        <sz val="8"/>
        <color rgb="FF000000"/>
        <rFont val="Tahoma"/>
        <family val="2"/>
      </rPr>
      <t>to bill through smart</t>
    </r>
  </si>
  <si>
    <t>UHSF - ERH</t>
  </si>
  <si>
    <t>David Kipchonge</t>
  </si>
  <si>
    <t>Haematuria/htn/complicated uti</t>
  </si>
  <si>
    <r>
      <t xml:space="preserve">26.02.2026-Hosp to bill </t>
    </r>
    <r>
      <rPr>
        <b/>
        <sz val="8"/>
        <color theme="1"/>
        <rFont val="Tahoma"/>
        <family val="2"/>
      </rPr>
      <t>through smart</t>
    </r>
  </si>
  <si>
    <t>Wilbroda Pamba</t>
  </si>
  <si>
    <t>Snake bite</t>
  </si>
  <si>
    <t>27.02.2026-Hosp to bill through smart</t>
  </si>
  <si>
    <t>Robert Arimi</t>
  </si>
  <si>
    <t>Enlarged prostate/cholecystitis/ obstructive jaundice</t>
  </si>
  <si>
    <t>06.02.2026            -Belated,Hosp ti bill through smart</t>
  </si>
  <si>
    <t xml:space="preserve">Beatrice Lugongo </t>
  </si>
  <si>
    <t>Female 0722946435</t>
  </si>
  <si>
    <t>Malignant Melanoma of lower limb including Hip</t>
  </si>
  <si>
    <t>Musa Mbiti</t>
  </si>
  <si>
    <t>Ca Prostate/htn</t>
  </si>
  <si>
    <t>Mercylydia Nakumicha</t>
  </si>
  <si>
    <t>Female 0725439019</t>
  </si>
  <si>
    <t>Pneumonia/ ?TB</t>
  </si>
  <si>
    <t>Joshua Kagechu</t>
  </si>
  <si>
    <t>Ca prostate /bph/htn/MI</t>
  </si>
  <si>
    <t>Joseph Mbavu</t>
  </si>
  <si>
    <t>Male 0721411025</t>
  </si>
  <si>
    <t>Htn/dm/anaemia/AKI</t>
  </si>
  <si>
    <t>Grace Kalekye</t>
  </si>
  <si>
    <t>Female 0701164415</t>
  </si>
  <si>
    <t>16.02.2026-Billed through smart on 23.02.2026</t>
  </si>
  <si>
    <t>UHSF-THE KENYA NAVY -HOSP</t>
  </si>
  <si>
    <t>Jane Njeri</t>
  </si>
  <si>
    <t>Female 0705482078</t>
  </si>
  <si>
    <t>UTI/HHS in DM</t>
  </si>
  <si>
    <t>13.02.2026-off smart</t>
  </si>
  <si>
    <t>Contact</t>
  </si>
  <si>
    <t>Muhammed shukry</t>
  </si>
  <si>
    <t>04.03.2026</t>
  </si>
  <si>
    <t>11.03.2026</t>
  </si>
  <si>
    <t xml:space="preserve">Esrd </t>
  </si>
  <si>
    <t>05.03.2026Hosp to bill through smart</t>
  </si>
  <si>
    <t>05.03.2026</t>
  </si>
  <si>
    <t>Timothy Karugu</t>
  </si>
  <si>
    <t>05.03.2026Hosp billed as outpatient</t>
  </si>
  <si>
    <t>06.03.2026</t>
  </si>
  <si>
    <t>13.03.2026Hosp to request LOU</t>
  </si>
  <si>
    <t>13.03.2026</t>
  </si>
  <si>
    <t>13.03.2026Hosp billed as out patient</t>
  </si>
  <si>
    <t>02.03.2026</t>
  </si>
  <si>
    <t>(102835</t>
  </si>
  <si>
    <t xml:space="preserve">Beatrice  nafula </t>
  </si>
  <si>
    <t>07.03.2026</t>
  </si>
  <si>
    <t>07.03.2026Hosp billed as out patient</t>
  </si>
  <si>
    <t>14.03.2026Hosp to bill through smart</t>
  </si>
  <si>
    <t>14.03.2026</t>
  </si>
  <si>
    <t>BRISTAL PARK HOSP</t>
  </si>
  <si>
    <t xml:space="preserve">Alex Mutiso </t>
  </si>
  <si>
    <t>03.03.2026</t>
  </si>
  <si>
    <t xml:space="preserve">Simon Nzioka </t>
  </si>
  <si>
    <t>11.03.2026Billed on smart 10.03.2026</t>
  </si>
  <si>
    <t>DIANI BEACH HOSP</t>
  </si>
  <si>
    <t>12.03.2026Hosp to bill through smart</t>
  </si>
  <si>
    <t>12.03.2026</t>
  </si>
  <si>
    <t>Alex Mutiso</t>
  </si>
  <si>
    <t>Simon Nzyoki</t>
  </si>
  <si>
    <t>Mary Naliaka</t>
  </si>
  <si>
    <t>Female 0720369501</t>
  </si>
  <si>
    <t>09.03.2026</t>
  </si>
  <si>
    <t xml:space="preserve">Fredrick Wanga </t>
  </si>
  <si>
    <t xml:space="preserve">John Koskei </t>
  </si>
  <si>
    <t>ST JOSEPH SHELTER OF HOPE</t>
  </si>
  <si>
    <t>11.03.2026Hosp billed as outpatient</t>
  </si>
  <si>
    <t>Leonida Jepchumba</t>
  </si>
  <si>
    <t>Gastritis/upper GI bleeding</t>
  </si>
  <si>
    <t>Melchizedek Nyambane</t>
  </si>
  <si>
    <t>Male 0724020913</t>
  </si>
  <si>
    <t xml:space="preserve">Acute Tonsilitis </t>
  </si>
  <si>
    <t>Rebecca Mutuku</t>
  </si>
  <si>
    <t>Jonathan Toniok</t>
  </si>
  <si>
    <t>Vitreous hemorrhage</t>
  </si>
  <si>
    <t>SABATIA EYE HOSP</t>
  </si>
  <si>
    <t>Charles Opana Oguok</t>
  </si>
  <si>
    <t>LE Conjunctival growth</t>
  </si>
  <si>
    <t>Acute myeloid leukemia</t>
  </si>
  <si>
    <t>10.03.2026</t>
  </si>
  <si>
    <t>UHSF- ERH</t>
  </si>
  <si>
    <t>Susan Akai</t>
  </si>
  <si>
    <t>Female 0723322317</t>
  </si>
  <si>
    <t>Rt toe proximal phalanges fracture/HTN</t>
  </si>
  <si>
    <t>01.03.2026</t>
  </si>
  <si>
    <t>Lojorei Eka</t>
  </si>
  <si>
    <t xml:space="preserve">Ca Oesophagus </t>
  </si>
  <si>
    <t>Hellen Masinde</t>
  </si>
  <si>
    <t>Bronchitis/pneumonia</t>
  </si>
  <si>
    <t>Abdulahi Mohammed</t>
  </si>
  <si>
    <t>Unspecified secondary cataract</t>
  </si>
  <si>
    <t>Robert Apolo</t>
  </si>
  <si>
    <t>Pterygium</t>
  </si>
  <si>
    <t>06.03.2026Hosp billed through smart on 27.02.26</t>
  </si>
  <si>
    <t>Joy mutie</t>
  </si>
  <si>
    <t xml:space="preserve">Gastritis </t>
  </si>
  <si>
    <t>ST MARYS ELEMENTAITA</t>
  </si>
  <si>
    <t>Julia Wambui</t>
  </si>
  <si>
    <t>Female 0713092310</t>
  </si>
  <si>
    <t>Acute GE/dehydration</t>
  </si>
  <si>
    <t>08.03.2026</t>
  </si>
  <si>
    <t>Gerald Muverethi</t>
  </si>
  <si>
    <t>Jackson Waweru</t>
  </si>
  <si>
    <t>Hellen Nanjala</t>
  </si>
  <si>
    <t>Female 0722961245</t>
  </si>
  <si>
    <t>Severe pneumonia/ca breast</t>
  </si>
  <si>
    <t>Richard Muchiri</t>
  </si>
  <si>
    <t>Male 0712732982</t>
  </si>
  <si>
    <t>Htn/BPH/Convulsive Disorder</t>
  </si>
  <si>
    <t>LIBERTY CANCER</t>
  </si>
  <si>
    <t>Samuel Njuguna</t>
  </si>
  <si>
    <t>Met ca prostate</t>
  </si>
  <si>
    <t xml:space="preserve">ST DAMIANO HOSP </t>
  </si>
  <si>
    <t>Fletcher Vuguza Khisa</t>
  </si>
  <si>
    <t>Female 0725906080</t>
  </si>
  <si>
    <t>Pneumonia with gastritis R/O UTi</t>
  </si>
  <si>
    <t>RAPHA HOSP</t>
  </si>
  <si>
    <t>Magdalene Nduku</t>
  </si>
  <si>
    <t>Female 0728762115</t>
  </si>
  <si>
    <t>Hypertensive urgency? cva</t>
  </si>
  <si>
    <t>CONSOLATA NKUBU</t>
  </si>
  <si>
    <t>Julius Kathia</t>
  </si>
  <si>
    <t>IBS</t>
  </si>
  <si>
    <t>Betty Mulwa</t>
  </si>
  <si>
    <t>Female 0722301464</t>
  </si>
  <si>
    <t>Hypoglycemia pos thyroidectomy</t>
  </si>
  <si>
    <t>Charles Kamuria</t>
  </si>
  <si>
    <t>Male 0727778715</t>
  </si>
  <si>
    <t>Lt Below Knee Amputation</t>
  </si>
  <si>
    <t>04.03.2026Hosp to bill through smart</t>
  </si>
  <si>
    <t>Daniel Otieno</t>
  </si>
  <si>
    <t>Diabetic eye dse</t>
  </si>
  <si>
    <t>Giannis Jasiri</t>
  </si>
  <si>
    <t>Male 0729301040</t>
  </si>
  <si>
    <t>Early childhood carries</t>
  </si>
  <si>
    <t>Advanced lung Ca</t>
  </si>
  <si>
    <t>Adrian Mwangi</t>
  </si>
  <si>
    <t>Male 0723897863</t>
  </si>
  <si>
    <t xml:space="preserve">Child  </t>
  </si>
  <si>
    <t>Acute tonsilitis</t>
  </si>
  <si>
    <t xml:space="preserve">Grace Njeri </t>
  </si>
  <si>
    <t>Female 0722381267</t>
  </si>
  <si>
    <t xml:space="preserve">Acute tonsilitis /Gastritis </t>
  </si>
  <si>
    <t>AGA KAHN MOMBASA</t>
  </si>
  <si>
    <t>John Nyabangi</t>
  </si>
  <si>
    <t>Male 0720256563</t>
  </si>
  <si>
    <t>UHSF-The Kenya Navy</t>
  </si>
  <si>
    <t>Akhlam Mohamed</t>
  </si>
  <si>
    <t>Male 0759264965</t>
  </si>
  <si>
    <t>Right ear canal cyst</t>
  </si>
  <si>
    <t>08.03.2026(Off smart)</t>
  </si>
  <si>
    <t>Trizah Kinyua</t>
  </si>
  <si>
    <t>Heart failure with reduced ejection fraction</t>
  </si>
  <si>
    <t>09.03.2026 (sha 78,400.00)</t>
  </si>
  <si>
    <t xml:space="preserve">10.03.2026 (Sha </t>
  </si>
  <si>
    <t>ST CLARES KAPLONG</t>
  </si>
  <si>
    <t>Jane Chepkirui Marwa</t>
  </si>
  <si>
    <t>Male 0722961245</t>
  </si>
  <si>
    <t>Acute gastritis/sepsis in dm/htn</t>
  </si>
  <si>
    <t>Mohamed Morowa</t>
  </si>
  <si>
    <t>Male 0722262639</t>
  </si>
  <si>
    <t>Htn urgency</t>
  </si>
  <si>
    <t>METROPOLITAN HOSP</t>
  </si>
  <si>
    <t>Grace Wanjiru</t>
  </si>
  <si>
    <t>Gastritis in htn</t>
  </si>
  <si>
    <t>15.03.2026</t>
  </si>
  <si>
    <t>Daniel Githinji</t>
  </si>
  <si>
    <t>Ca Lung</t>
  </si>
  <si>
    <t>06.03.2026Hosp to bill through smart</t>
  </si>
  <si>
    <t>Gabriel Musyati</t>
  </si>
  <si>
    <t>Ca oncology</t>
  </si>
  <si>
    <t>Josephine Mokua</t>
  </si>
  <si>
    <t>Female 0712055104</t>
  </si>
  <si>
    <t>Severe cellulitis left leg / htn urgency</t>
  </si>
  <si>
    <t xml:space="preserve">EXCELL HEALTH SERVICE </t>
  </si>
  <si>
    <t>Lathan Hassan</t>
  </si>
  <si>
    <t>Female 0712738710</t>
  </si>
  <si>
    <t>PUD/Ge/sepsis</t>
  </si>
  <si>
    <t>Mukami Emuria</t>
  </si>
  <si>
    <t>Schizophrenia</t>
  </si>
  <si>
    <t>AGA KAHN KISUMU</t>
  </si>
  <si>
    <t>Met Ca prostate</t>
  </si>
  <si>
    <t>Henry Onyango</t>
  </si>
  <si>
    <t xml:space="preserve">Ca prostate </t>
  </si>
  <si>
    <t>Hamisi Mukanda</t>
  </si>
  <si>
    <t>Old fracture rt little finger</t>
  </si>
  <si>
    <t>PCEA TUMUTUMU HOSP</t>
  </si>
  <si>
    <t>Rose Nyawira</t>
  </si>
  <si>
    <t>Female 0718134262</t>
  </si>
  <si>
    <t xml:space="preserve">DVT / Cellulities </t>
  </si>
  <si>
    <t>PCEA CHOGORIA HOSP</t>
  </si>
  <si>
    <t>Fariah Qocha</t>
  </si>
  <si>
    <t>Type 1 Dm                                                                                                                                                                                                                                                                                                                                                                                                                                                                                                                                                                                                             /acetonuria</t>
  </si>
  <si>
    <t>21.02.2026 (Sha 103,650.00)</t>
  </si>
  <si>
    <t>Jane Owiti</t>
  </si>
  <si>
    <t>Female 0722505895</t>
  </si>
  <si>
    <t>Spose</t>
  </si>
  <si>
    <t>Colitis/gastritis/dm</t>
  </si>
  <si>
    <t>OUT SPAN HOSP</t>
  </si>
  <si>
    <t>Samuel Orucho</t>
  </si>
  <si>
    <t>Male 0712055104</t>
  </si>
  <si>
    <t>Severe gastritis /cystitis /congestive cardiac failur</t>
  </si>
  <si>
    <t> 7</t>
  </si>
  <si>
    <t>Addulla Dubat</t>
  </si>
  <si>
    <t>Male 0715210274</t>
  </si>
  <si>
    <t>Severe gastritis/pneumonia</t>
  </si>
  <si>
    <t>Rose Kamili</t>
  </si>
  <si>
    <t>Female 0715205323</t>
  </si>
  <si>
    <t xml:space="preserve">Status asthmatics/ bronchiolitis </t>
  </si>
  <si>
    <t>05.03.2026 (sha 13,440.00)</t>
  </si>
  <si>
    <t>Florence Apadeet</t>
  </si>
  <si>
    <t>Female 0722975509</t>
  </si>
  <si>
    <t>Chronic back pain/radiculopathy</t>
  </si>
  <si>
    <t>08.03.2026Hosp to Bill through smart</t>
  </si>
  <si>
    <t>Hussein Mohammed</t>
  </si>
  <si>
    <t>Rectal sigmoid polyp</t>
  </si>
  <si>
    <t>John Agoro</t>
  </si>
  <si>
    <t>Cataract extraction with implant</t>
  </si>
  <si>
    <t>06.03.2026Hosp  billed through smart on 04.03.26</t>
  </si>
  <si>
    <t xml:space="preserve">Jane Ngina </t>
  </si>
  <si>
    <t>Female 0790911593</t>
  </si>
  <si>
    <t xml:space="preserve">Asthmatic Attack / Pneumonia </t>
  </si>
  <si>
    <t xml:space="preserve">Joram Arithi </t>
  </si>
  <si>
    <t>Male 0721681450</t>
  </si>
  <si>
    <t>Bph for TURP</t>
  </si>
  <si>
    <t>Eucabeth Chelangat</t>
  </si>
  <si>
    <t>Bilateral dry eye syndrome</t>
  </si>
  <si>
    <t>13.03.2026Billed through smart on 12.03.26</t>
  </si>
  <si>
    <t>CHERANGANY NURSING</t>
  </si>
  <si>
    <t>Robert Wafula</t>
  </si>
  <si>
    <t>Male 0722691221</t>
  </si>
  <si>
    <t>Cva\ htn emergency</t>
  </si>
  <si>
    <t>Evans Mwangombe</t>
  </si>
  <si>
    <t>4th degree haemorrhoids ,ingrown toe nail</t>
  </si>
  <si>
    <t>Karen Anyika</t>
  </si>
  <si>
    <t>Gastritis ?</t>
  </si>
  <si>
    <t>Japhet Kibui</t>
  </si>
  <si>
    <t>Abdikadir Guyo</t>
  </si>
  <si>
    <t xml:space="preserve">Excision of chalazion </t>
  </si>
  <si>
    <t xml:space="preserve">Respiratory Distress in ca breast </t>
  </si>
  <si>
    <t>Chronic obstruction pulmonary disease /HTN/DM/CKD</t>
  </si>
  <si>
    <t>Lydia Kiboi</t>
  </si>
  <si>
    <t>Female 0723124386</t>
  </si>
  <si>
    <t>Acute asthmatic attack /GE/HTN/DM</t>
  </si>
  <si>
    <t>Maureen Khavuka</t>
  </si>
  <si>
    <t>Male 0706490622</t>
  </si>
  <si>
    <t>Hyperglycemia in known dm/htn/ckd</t>
  </si>
  <si>
    <t>Cornelius Welugo</t>
  </si>
  <si>
    <t xml:space="preserve">Sepsis/infective endocarditis/esrd </t>
  </si>
  <si>
    <t>Pasca Mataza</t>
  </si>
  <si>
    <t>Male 0745782670</t>
  </si>
  <si>
    <t>Fracture distal rt femur</t>
  </si>
  <si>
    <t>Rukia Kolosho</t>
  </si>
  <si>
    <t>Female 0726087358</t>
  </si>
  <si>
    <t xml:space="preserve">G/E hypokalemia </t>
  </si>
  <si>
    <t>Jeremia Kiplangat</t>
  </si>
  <si>
    <t>Male 0722613828</t>
  </si>
  <si>
    <t>Essential (primary) HTN/bronchial asthmatic attack</t>
  </si>
  <si>
    <t xml:space="preserve">KISUMU SPECIALISTS </t>
  </si>
  <si>
    <t>Ca Prostate /active pangastritis /Left Leg Cellulitis</t>
  </si>
  <si>
    <t>Benedict Kisesi</t>
  </si>
  <si>
    <t>Male 0710349185</t>
  </si>
  <si>
    <t>Blunt chest trauma</t>
  </si>
  <si>
    <t>Lucy Karimi</t>
  </si>
  <si>
    <t>Female 0722345021</t>
  </si>
  <si>
    <t>Left bimalleolar fracture</t>
  </si>
  <si>
    <t xml:space="preserve">Gervasio Kathenya </t>
  </si>
  <si>
    <t>Male 0721278301</t>
  </si>
  <si>
    <t>Ca Prostate/dm/htn/uti/ severe dehydration</t>
  </si>
  <si>
    <t>James Aggrey Oloo</t>
  </si>
  <si>
    <t>Male 0722341101</t>
  </si>
  <si>
    <t>Obstructive jaundice /GE/Gastritis</t>
  </si>
  <si>
    <t>Esther Wachenje</t>
  </si>
  <si>
    <t>Female 0722274662</t>
  </si>
  <si>
    <t>Acute confused state/DM/dementia</t>
  </si>
  <si>
    <t>Julius Mwaura</t>
  </si>
  <si>
    <t>Male 0722260248</t>
  </si>
  <si>
    <t>P.neuropathy Nephrotic syndrome with glomerulonephritis/pulmonary htn</t>
  </si>
  <si>
    <t>Aloysius MwasarU</t>
  </si>
  <si>
    <t>Male 0722864285</t>
  </si>
  <si>
    <t>Dilated Cardiomyopathy</t>
  </si>
  <si>
    <t>George Muithya</t>
  </si>
  <si>
    <t>Male 0726508593</t>
  </si>
  <si>
    <t>Peter Injinia</t>
  </si>
  <si>
    <t>Alcohol dependence</t>
  </si>
  <si>
    <t>11.02.2026Hosp to bill through smart</t>
  </si>
  <si>
    <t>Catheter associated sepsis/CKD/HTN</t>
  </si>
  <si>
    <t>NORTHERN SPECIALISTS</t>
  </si>
  <si>
    <t>Mohamud Abikar Arale</t>
  </si>
  <si>
    <t>Male 0725661357</t>
  </si>
  <si>
    <t xml:space="preserve">Aloysius Mwasaru </t>
  </si>
  <si>
    <t>Asthma exacerbation cardiomyopathy</t>
  </si>
  <si>
    <t>Abdi Hassan</t>
  </si>
  <si>
    <t>Male 0725742854</t>
  </si>
  <si>
    <t xml:space="preserve">Sepsis in HTN with Dj stentisity </t>
  </si>
  <si>
    <t>Richard Maina</t>
  </si>
  <si>
    <t>Distal femur fracture</t>
  </si>
  <si>
    <t>Solomon Assa</t>
  </si>
  <si>
    <t>Male 0722862647</t>
  </si>
  <si>
    <t>HTN Urgency/ newly diagnosed dm</t>
  </si>
  <si>
    <t>ST THERESIA KIIRUA</t>
  </si>
  <si>
    <t>Shadrick Nkunja</t>
  </si>
  <si>
    <t>Male 0720376755</t>
  </si>
  <si>
    <t>GI Bleeding/ Hypovolemic shock/ anaemia</t>
  </si>
  <si>
    <t>06.03.2026 (Deceased) Hosp to bill through smart</t>
  </si>
  <si>
    <t xml:space="preserve">Praxides Nasirumbi </t>
  </si>
  <si>
    <t>Female 0720766049</t>
  </si>
  <si>
    <t>Acute decompensated heart failure /CKD/HTN</t>
  </si>
  <si>
    <t>Emmy Mashon Weta</t>
  </si>
  <si>
    <t>Female 0725361028</t>
  </si>
  <si>
    <t xml:space="preserve">Spouse  </t>
  </si>
  <si>
    <t>Acute asthmatic attack/pna</t>
  </si>
  <si>
    <t>07.03.2026 (sha 45,920)</t>
  </si>
  <si>
    <t>Jenipher Sande</t>
  </si>
  <si>
    <t>Female 0725040021</t>
  </si>
  <si>
    <t>Left leg varicose vein</t>
  </si>
  <si>
    <t xml:space="preserve">Esther Wanjiru </t>
  </si>
  <si>
    <t>Female 0724125679</t>
  </si>
  <si>
    <t>HTN Crisis/DKA</t>
  </si>
  <si>
    <t>Charles Muchene</t>
  </si>
  <si>
    <t>Male 0722679315</t>
  </si>
  <si>
    <t>Spondylolisthesis/ sciatica</t>
  </si>
  <si>
    <t>Stanslaus Ojiambo</t>
  </si>
  <si>
    <t>Male 0720453324</t>
  </si>
  <si>
    <t>HF/convulsive disorder</t>
  </si>
  <si>
    <t>David Kipchoge</t>
  </si>
  <si>
    <t>Male 0722459249</t>
  </si>
  <si>
    <t>BPH for TURP</t>
  </si>
  <si>
    <t>Zeituna Jerono</t>
  </si>
  <si>
    <t xml:space="preserve">Acute Decompensated Heart Failure </t>
  </si>
  <si>
    <t xml:space="preserve">Mary Mwathimba </t>
  </si>
  <si>
    <t xml:space="preserve">Melanoma </t>
  </si>
  <si>
    <t>04.03.2026 (SHA 100,000)</t>
  </si>
  <si>
    <t xml:space="preserve">Roselyn Achieng </t>
  </si>
  <si>
    <t>Female 0721925568</t>
  </si>
  <si>
    <t>Htn urgency /anaemia</t>
  </si>
  <si>
    <t>Male 0724329107</t>
  </si>
  <si>
    <t>04.03.2026(Sha 134,400.00</t>
  </si>
  <si>
    <t>Enlarged Prostate/ Cholecystitis/ Obstructive Jaundice/ Hepatic Encephalopathy</t>
  </si>
  <si>
    <r>
      <t xml:space="preserve">09.02.2026 </t>
    </r>
    <r>
      <rPr>
        <b/>
        <sz val="9"/>
        <color rgb="FF000000"/>
        <rFont val="Tahoma"/>
        <family val="2"/>
      </rPr>
      <t>Deceased</t>
    </r>
  </si>
  <si>
    <t>Shadrack Mbego</t>
  </si>
  <si>
    <t>Male 0710918163</t>
  </si>
  <si>
    <t>Chronic Subdural hematoma</t>
  </si>
  <si>
    <t>Stanely Kipkosgei</t>
  </si>
  <si>
    <t>Male 0721565523</t>
  </si>
  <si>
    <t>Subacute subdural haematoma</t>
  </si>
  <si>
    <t>AGA KAHN KISII</t>
  </si>
  <si>
    <t>Wilson Nkaina</t>
  </si>
  <si>
    <t>Male 0705864457</t>
  </si>
  <si>
    <t xml:space="preserve">Severe Lower limb cellulitis/DM </t>
  </si>
  <si>
    <t>Pauline Wangui</t>
  </si>
  <si>
    <t>Female 0721542824</t>
  </si>
  <si>
    <t>Acte abdomen/?ovarian torsion</t>
  </si>
  <si>
    <t>08.03.2026 (Sha 253,000.00)</t>
  </si>
  <si>
    <t>Rachel Chelangat</t>
  </si>
  <si>
    <t>Female 0721642629</t>
  </si>
  <si>
    <t>L2/L3 disc prolapse with severe cord compression</t>
  </si>
  <si>
    <t>Female 0726869962</t>
  </si>
  <si>
    <t>Left prosthetic join infection</t>
  </si>
  <si>
    <t xml:space="preserve">Anemia/sepsis/melanoma/hepatitis/post radiotherapy </t>
  </si>
  <si>
    <t>27.02.2026 (Deceased)</t>
  </si>
  <si>
    <t xml:space="preserve">Bonfas Chianga </t>
  </si>
  <si>
    <t>Male 0729562568</t>
  </si>
  <si>
    <t>htn/dm/ R/O Ischemic Heart Disease/severe arthritis both knees</t>
  </si>
  <si>
    <t xml:space="preserve">Jane Chemutai </t>
  </si>
  <si>
    <t>Female 0712156049</t>
  </si>
  <si>
    <t>Ca Hypopharynx</t>
  </si>
  <si>
    <t xml:space="preserve">Mary Nguru </t>
  </si>
  <si>
    <t>Female 0710645680</t>
  </si>
  <si>
    <t>Equinas Syndrome, stenosis l4,l5</t>
  </si>
  <si>
    <t>03.03.2026 (sha27,440.00)</t>
  </si>
  <si>
    <t>Mwanamkuu idd</t>
  </si>
  <si>
    <t>Severe dehydration/ heart failure/SLE/sepsis</t>
  </si>
  <si>
    <t>28.02.2026 Cover Exh (Sha179,760.00)</t>
  </si>
  <si>
    <t>Beatrice Kavuu Nyambane</t>
  </si>
  <si>
    <t>Female 0722881608</t>
  </si>
  <si>
    <t>? PTE /kidney Injury/DM/UTI</t>
  </si>
  <si>
    <t>Benjamin Musembi</t>
  </si>
  <si>
    <t>Ileal gangrene Post Emergency Laparotomy</t>
  </si>
  <si>
    <t>08.02.2026 Cover Exh deceased, (Sha 336,000.00)Hosp to bill through smart</t>
  </si>
  <si>
    <t>AAR</t>
  </si>
  <si>
    <t>Bilateral arteriosclerosis/myositis</t>
  </si>
  <si>
    <t>28.03.2026-hosp to bill through smmart</t>
  </si>
  <si>
    <t>28.03.2026</t>
  </si>
  <si>
    <t>Muhammed Shukry</t>
  </si>
  <si>
    <t>18.03.2026</t>
  </si>
  <si>
    <t xml:space="preserve">Muhammad Shukry </t>
  </si>
  <si>
    <t>CKD/ESRD</t>
  </si>
  <si>
    <t>25.03.2026</t>
  </si>
  <si>
    <t>George Kimani</t>
  </si>
  <si>
    <t>Female 0722420871</t>
  </si>
  <si>
    <t>Acute UTI</t>
  </si>
  <si>
    <t>26.03.2026-Hosp to bill through smart</t>
  </si>
  <si>
    <t>Joram  Muthuni</t>
  </si>
  <si>
    <t xml:space="preserve">Sammy Nyanga </t>
  </si>
  <si>
    <t>DM/HTN/ESRD</t>
  </si>
  <si>
    <t>26.03.2026</t>
  </si>
  <si>
    <t>ESRD in htn</t>
  </si>
  <si>
    <t>16.03.2026</t>
  </si>
  <si>
    <t>Joram Muthui</t>
  </si>
  <si>
    <r>
      <t xml:space="preserve">17.03.2026 </t>
    </r>
    <r>
      <rPr>
        <sz val="9"/>
        <color rgb="FF000000"/>
        <rFont val="Tahoma"/>
        <family val="2"/>
      </rPr>
      <t>Hospital to Bill through SMART</t>
    </r>
  </si>
  <si>
    <t>17.03.2026</t>
  </si>
  <si>
    <t>25.03.2026 Hospital to Bill Through SMART</t>
  </si>
  <si>
    <t>30.03.2026</t>
  </si>
  <si>
    <t>Type II dm/ckd</t>
  </si>
  <si>
    <t>Male 0715509227</t>
  </si>
  <si>
    <t>20.03.2026</t>
  </si>
  <si>
    <t>Male 0714272121</t>
  </si>
  <si>
    <t>24.03.2026</t>
  </si>
  <si>
    <t>Simon Nzioki</t>
  </si>
  <si>
    <t xml:space="preserve">John  Henesty </t>
  </si>
  <si>
    <t>27.03.2026</t>
  </si>
  <si>
    <t>31.03.2026</t>
  </si>
  <si>
    <t>23.03.2026</t>
  </si>
  <si>
    <t>Scholastica Mawira</t>
  </si>
  <si>
    <t>Male 0728697352</t>
  </si>
  <si>
    <t>Ovarian Ca</t>
  </si>
  <si>
    <t>19.03.2026 (sha 32,764.00)</t>
  </si>
  <si>
    <t>19.03.2026</t>
  </si>
  <si>
    <t>Seif Sheyube</t>
  </si>
  <si>
    <t>23.03.2026-Billed through smart on 21.03.2026</t>
  </si>
  <si>
    <t>Esrd/dm/htn</t>
  </si>
  <si>
    <t>Christine Nyagaturi</t>
  </si>
  <si>
    <t>Macula edema</t>
  </si>
  <si>
    <t>Frabiu Kithinji</t>
  </si>
  <si>
    <t>Male 0726559225</t>
  </si>
  <si>
    <t>Acute decompensated heart failure</t>
  </si>
  <si>
    <t>13.03.2026 (Sha41,340.00)</t>
  </si>
  <si>
    <t xml:space="preserve">Charles Maina </t>
  </si>
  <si>
    <t>Female 0721929930</t>
  </si>
  <si>
    <t xml:space="preserve">NANYUKI HOSP </t>
  </si>
  <si>
    <t>Adanoor Hassan</t>
  </si>
  <si>
    <t xml:space="preserve">Gastritis/ Hiatus hernia </t>
  </si>
  <si>
    <t>Day Case</t>
  </si>
  <si>
    <t>Nancy Mwiriki</t>
  </si>
  <si>
    <t>Left eye cystic growth</t>
  </si>
  <si>
    <t>Male 0743419124</t>
  </si>
  <si>
    <t>Gastric cancer</t>
  </si>
  <si>
    <t xml:space="preserve">Florence Mbithe </t>
  </si>
  <si>
    <t xml:space="preserve">PUD/Esophageal candidiasis </t>
  </si>
  <si>
    <t xml:space="preserve">Maimuna Hassan </t>
  </si>
  <si>
    <t>Chronic gastritis /GERD</t>
  </si>
  <si>
    <t xml:space="preserve">Day case </t>
  </si>
  <si>
    <t xml:space="preserve">Noor Soyan </t>
  </si>
  <si>
    <t>Patrick Adera</t>
  </si>
  <si>
    <t>Anterior benign paroxysmal</t>
  </si>
  <si>
    <t>17.03.2026Billed through smart on 16.03.2026</t>
  </si>
  <si>
    <t>Hearing aid</t>
  </si>
  <si>
    <t>Charity Ndegwa</t>
  </si>
  <si>
    <t>David Kipchoge Yebei</t>
  </si>
  <si>
    <t>Heamatoma/Htn/Complicated UTI</t>
  </si>
  <si>
    <t>Anna Nyamugura</t>
  </si>
  <si>
    <t>Ca stomach</t>
  </si>
  <si>
    <t>Metacarpal fracture post ORIF</t>
  </si>
  <si>
    <t>Precious Wanjiku</t>
  </si>
  <si>
    <t>Female 0724601537</t>
  </si>
  <si>
    <t>Cellulitis rt foot</t>
  </si>
  <si>
    <t>29.03.2026-off smart</t>
  </si>
  <si>
    <t xml:space="preserve">David Abiero </t>
  </si>
  <si>
    <t>SAMJOMEN HOSP</t>
  </si>
  <si>
    <t>Simon Ghati</t>
  </si>
  <si>
    <t>Male-01710202545</t>
  </si>
  <si>
    <t>Malaria/Arthritis/Flu</t>
  </si>
  <si>
    <t>Susan Mutuku</t>
  </si>
  <si>
    <t>Female-728066319</t>
  </si>
  <si>
    <t>Gastritis/htn</t>
  </si>
  <si>
    <t>16.03.2026-Hosp billed as outpatient</t>
  </si>
  <si>
    <t>HOPKINS CRESENT</t>
  </si>
  <si>
    <t>Geoffrey Wanyama</t>
  </si>
  <si>
    <t>Male 0722739849</t>
  </si>
  <si>
    <t xml:space="preserve">Acute coronary syndrome/Gastritis </t>
  </si>
  <si>
    <t>25.03.2026 6,720.00</t>
  </si>
  <si>
    <t>Margaret Mutuva</t>
  </si>
  <si>
    <t>Keratosis punctata</t>
  </si>
  <si>
    <t xml:space="preserve">AIC KIJABE </t>
  </si>
  <si>
    <t>Peter Kisompe</t>
  </si>
  <si>
    <t>Male 0722495839</t>
  </si>
  <si>
    <t>Htn Urgency Haemorrhagic stroke</t>
  </si>
  <si>
    <t>18.03.2026 (sha39,760.00)</t>
  </si>
  <si>
    <t>Fredrick Kinyumu</t>
  </si>
  <si>
    <t>John Gitucuru</t>
  </si>
  <si>
    <t>Ca prostate/ renal cell ca</t>
  </si>
  <si>
    <t>31.03.2026-Hosp billed as out patient</t>
  </si>
  <si>
    <t>Albert Chege</t>
  </si>
  <si>
    <t>Beatrice Mbugua</t>
  </si>
  <si>
    <t>Female 0710627717</t>
  </si>
  <si>
    <t>Recurrent laryngeal nerve injury secondary to thyroidectomy</t>
  </si>
  <si>
    <t>John Mbugua</t>
  </si>
  <si>
    <t>Male0 720284944</t>
  </si>
  <si>
    <t>Septiceamia/pneumonia</t>
  </si>
  <si>
    <t xml:space="preserve">Nimo Yakub </t>
  </si>
  <si>
    <t>Female 0711301243</t>
  </si>
  <si>
    <t xml:space="preserve">Acute Gastritis with gastroenteritis </t>
  </si>
  <si>
    <t>Rosemary  Ndida</t>
  </si>
  <si>
    <t>Female  0724712619</t>
  </si>
  <si>
    <t>Catherine Mutwiri</t>
  </si>
  <si>
    <t>18.03.2026Hosp to bill through smart</t>
  </si>
  <si>
    <t>Genard mitaru</t>
  </si>
  <si>
    <t>Prostate  CA</t>
  </si>
  <si>
    <t>Samuel Kakundi</t>
  </si>
  <si>
    <t>Hematochezia ?cause</t>
  </si>
  <si>
    <t>Female 0722271315</t>
  </si>
  <si>
    <t>NOMO HOSP</t>
  </si>
  <si>
    <t>Augustine Achilla</t>
  </si>
  <si>
    <t>Male 0724016624</t>
  </si>
  <si>
    <t>Severe Malaria/ Sepsis/ RVD</t>
  </si>
  <si>
    <t>29.03.2026</t>
  </si>
  <si>
    <t xml:space="preserve">Musa Mbiti </t>
  </si>
  <si>
    <t>Glen Inguitia</t>
  </si>
  <si>
    <t>Male 0721791292</t>
  </si>
  <si>
    <t>Priscila Adhiambo</t>
  </si>
  <si>
    <t>Female 0723975317</t>
  </si>
  <si>
    <t>HTN/PE r/o HF r/o pleural effusion</t>
  </si>
  <si>
    <t xml:space="preserve">John Gituuru </t>
  </si>
  <si>
    <t>Monica Wairimu</t>
  </si>
  <si>
    <t>Chest adenocarcinoma</t>
  </si>
  <si>
    <t xml:space="preserve">Agnes Mwende </t>
  </si>
  <si>
    <t>Female 0726517628</t>
  </si>
  <si>
    <t xml:space="preserve">HTN Emergency /Hyperglycemia </t>
  </si>
  <si>
    <t>Cindy carol Omondi</t>
  </si>
  <si>
    <t>Female 0719250639</t>
  </si>
  <si>
    <t>Severe malaria/mild head injury</t>
  </si>
  <si>
    <t>Hudsonn Lukase</t>
  </si>
  <si>
    <t>Wilfred Makau</t>
  </si>
  <si>
    <t xml:space="preserve">Habiba Osman </t>
  </si>
  <si>
    <t>Female 0715397690</t>
  </si>
  <si>
    <t xml:space="preserve">GE/Septicemia/Dehydration </t>
  </si>
  <si>
    <t xml:space="preserve">Feysarun Hussein </t>
  </si>
  <si>
    <t>Female 0723299497</t>
  </si>
  <si>
    <t xml:space="preserve">Gastritis/Sepsis </t>
  </si>
  <si>
    <t>Victor Shipiti</t>
  </si>
  <si>
    <t>Male 0701537686</t>
  </si>
  <si>
    <t xml:space="preserve">Severe Headache </t>
  </si>
  <si>
    <t>Female 0711511665</t>
  </si>
  <si>
    <t>Ischaemic in HTN/DM</t>
  </si>
  <si>
    <t>Prudential Wanjala</t>
  </si>
  <si>
    <t>Female 0725356426</t>
  </si>
  <si>
    <t>Htn urgency /dengue fever</t>
  </si>
  <si>
    <t>22.03.2026</t>
  </si>
  <si>
    <t>Acute myloid leukemia</t>
  </si>
  <si>
    <t>31.03.2026-Hosp to bill through smart</t>
  </si>
  <si>
    <t>Joyce Odhiambo</t>
  </si>
  <si>
    <t>Ge/Colitis/Gastritis</t>
  </si>
  <si>
    <t>Farha Mohammed</t>
  </si>
  <si>
    <t>Female 0707978001</t>
  </si>
  <si>
    <t xml:space="preserve">Sepsis/acute tonsilitis </t>
  </si>
  <si>
    <t>Mary Cheptonui</t>
  </si>
  <si>
    <t>Female 0729861927</t>
  </si>
  <si>
    <t>Diabetes mellitus with hyperglycemia</t>
  </si>
  <si>
    <t>Stephen Muoki</t>
  </si>
  <si>
    <t>Cystoid Macula Edema Rt Eye</t>
  </si>
  <si>
    <t>Pilista Samoei</t>
  </si>
  <si>
    <t xml:space="preserve">BE Cataract </t>
  </si>
  <si>
    <t>NAKURU SPECIALISTS</t>
  </si>
  <si>
    <t>Ezra Kibwott</t>
  </si>
  <si>
    <t>Male 0721629072</t>
  </si>
  <si>
    <t xml:space="preserve">Pneumonia /Bacteria infection </t>
  </si>
  <si>
    <t xml:space="preserve">Betty Maithia </t>
  </si>
  <si>
    <t>Poorly controlled DM</t>
  </si>
  <si>
    <t xml:space="preserve">Daniel Mwaura </t>
  </si>
  <si>
    <t xml:space="preserve">Lung Mass </t>
  </si>
  <si>
    <t>Richard Simiyu</t>
  </si>
  <si>
    <t>Male 0722720356</t>
  </si>
  <si>
    <t xml:space="preserve">Electrolyte imbalance in DM/HTN </t>
  </si>
  <si>
    <t>ACK Mt Kenya</t>
  </si>
  <si>
    <t>Ruth Wanjohi</t>
  </si>
  <si>
    <t>Female 0714699371</t>
  </si>
  <si>
    <t>Cellulitis /lll abcess sepsis</t>
  </si>
  <si>
    <t>Joseph Ayieko</t>
  </si>
  <si>
    <t>Male 0722636922</t>
  </si>
  <si>
    <t xml:space="preserve">Prostate Enlargement </t>
  </si>
  <si>
    <t>William Nyamu</t>
  </si>
  <si>
    <t>Male 0720920599</t>
  </si>
  <si>
    <t>Acute  copd exacerbation</t>
  </si>
  <si>
    <t xml:space="preserve">Christine Munyanga </t>
  </si>
  <si>
    <t>Osteoporesis</t>
  </si>
  <si>
    <t>27.03.2026-off smart</t>
  </si>
  <si>
    <t>Lydia Chepkurgat</t>
  </si>
  <si>
    <t>Acute asthmatic attack</t>
  </si>
  <si>
    <t>David Kanyanje</t>
  </si>
  <si>
    <t>Male 0718353180</t>
  </si>
  <si>
    <t>Pneumonia r/o ptb</t>
  </si>
  <si>
    <t>Waweru Mathu</t>
  </si>
  <si>
    <t>Male 0722525808</t>
  </si>
  <si>
    <t>Pneumonia/DM/HTN/Heart disease</t>
  </si>
  <si>
    <t>Khadija Atieno</t>
  </si>
  <si>
    <t>Female 0722432463</t>
  </si>
  <si>
    <t>Sinuisitis/tonsilitis/gastritis</t>
  </si>
  <si>
    <t>Charles Mosocho</t>
  </si>
  <si>
    <t>Male 0722694758</t>
  </si>
  <si>
    <t>Billy Kamau</t>
  </si>
  <si>
    <t>Male 0720981719</t>
  </si>
  <si>
    <t>Hypoglycemia in Known DM</t>
  </si>
  <si>
    <t>Ca Prostate with MET to spine/Anemia</t>
  </si>
  <si>
    <t>24.03.2026 (sha-19,600.00)</t>
  </si>
  <si>
    <t>Barka Kunde Riri</t>
  </si>
  <si>
    <t>Male 0759486095</t>
  </si>
  <si>
    <t>Severe acute tonsilitis/bronchitis</t>
  </si>
  <si>
    <t>21.03.2026</t>
  </si>
  <si>
    <t>Editha Samree</t>
  </si>
  <si>
    <t>Female 0721584850</t>
  </si>
  <si>
    <t>Lumbago/Sciatica/dengue fever/uti</t>
  </si>
  <si>
    <t>Leonard Onyango Orwa</t>
  </si>
  <si>
    <t>Extensive dvt lt limb in known ca rectal</t>
  </si>
  <si>
    <t>Hilda Anyango</t>
  </si>
  <si>
    <t>Mild gastritis</t>
  </si>
  <si>
    <t>Anthony Kinyanjui</t>
  </si>
  <si>
    <t>Catherine Muchugu</t>
  </si>
  <si>
    <t>Cataract lt eye</t>
  </si>
  <si>
    <t>Nancy Macharia</t>
  </si>
  <si>
    <t>Agata Karimi</t>
  </si>
  <si>
    <t>Female 0722952865</t>
  </si>
  <si>
    <t>HTN urgency</t>
  </si>
  <si>
    <t xml:space="preserve">David Kamau </t>
  </si>
  <si>
    <t>Male 0721293215</t>
  </si>
  <si>
    <t>Hypertensive urgency? Syncope? cause</t>
  </si>
  <si>
    <t>Isaac Muchendu</t>
  </si>
  <si>
    <t>Metastatic net</t>
  </si>
  <si>
    <t>Albert Njiru</t>
  </si>
  <si>
    <t>Male 0721576033</t>
  </si>
  <si>
    <t>Multiple rib Fracture secondary to RTA</t>
  </si>
  <si>
    <t xml:space="preserve">Noor Hillow </t>
  </si>
  <si>
    <t xml:space="preserve">Chronic Lymphocytic </t>
  </si>
  <si>
    <t xml:space="preserve">Oncology </t>
  </si>
  <si>
    <t>Urbanus Kyalo</t>
  </si>
  <si>
    <t>Male 0703952527</t>
  </si>
  <si>
    <t>Relapsed ptsd</t>
  </si>
  <si>
    <t xml:space="preserve">Ca Cervix </t>
  </si>
  <si>
    <t xml:space="preserve">Festus Koori </t>
  </si>
  <si>
    <t>Atypical angina /DM</t>
  </si>
  <si>
    <t>Amaiyah Peggy tsori</t>
  </si>
  <si>
    <t>Female 0725560378</t>
  </si>
  <si>
    <t>Septiceamia in known Sickler patient</t>
  </si>
  <si>
    <t>20.03.2026-off smart</t>
  </si>
  <si>
    <t>James Aggrey</t>
  </si>
  <si>
    <t>Gastric adenoma</t>
  </si>
  <si>
    <t>Halima Adan</t>
  </si>
  <si>
    <t>Female 0722839258</t>
  </si>
  <si>
    <t>Pneumonia in RVD</t>
  </si>
  <si>
    <t>Evans Bundi Maingi</t>
  </si>
  <si>
    <t>Male 0728775531</t>
  </si>
  <si>
    <t>AUD</t>
  </si>
  <si>
    <r>
      <t>27.02.2026-</t>
    </r>
    <r>
      <rPr>
        <b/>
        <sz val="9"/>
        <color theme="1"/>
        <rFont val="Tahoma"/>
        <family val="2"/>
      </rPr>
      <t>Belated</t>
    </r>
    <r>
      <rPr>
        <sz val="9"/>
        <color theme="1"/>
        <rFont val="Tahoma"/>
        <family val="2"/>
      </rPr>
      <t xml:space="preserve"> )</t>
    </r>
  </si>
  <si>
    <t>Ca colon with METS to lung /liver</t>
  </si>
  <si>
    <t>30.03.2026-Hosp billed as out patient</t>
  </si>
  <si>
    <t>Adan Issack</t>
  </si>
  <si>
    <t>16.03.2026Hosp to bill through smart</t>
  </si>
  <si>
    <t>Henry Muia</t>
  </si>
  <si>
    <t>Sensorineural hearing loss</t>
  </si>
  <si>
    <t>17.03.2026 Hospital to Bill through SMART</t>
  </si>
  <si>
    <t>Jethro Odero</t>
  </si>
  <si>
    <t>Male 0704150060</t>
  </si>
  <si>
    <t>BPH/CKD/Hyperukemia with severe Mal</t>
  </si>
  <si>
    <t>Maurice Nyapiedho</t>
  </si>
  <si>
    <t>Male 0723650682</t>
  </si>
  <si>
    <t>ST JOSEPH MISSION-MIGORI</t>
  </si>
  <si>
    <t>Perez Awour</t>
  </si>
  <si>
    <t>Female 0720552242</t>
  </si>
  <si>
    <t>Lumbar lypolardosis in dm/htn</t>
  </si>
  <si>
    <t>Abdrahama Hillow</t>
  </si>
  <si>
    <t>Male 0722612206</t>
  </si>
  <si>
    <t>Acute asthma/decompensated heart failure/htn</t>
  </si>
  <si>
    <t>Doreen Awino</t>
  </si>
  <si>
    <t>Displaced fracture tibiafibula</t>
  </si>
  <si>
    <t>Charles Bwire</t>
  </si>
  <si>
    <t>Male 0721898644</t>
  </si>
  <si>
    <t xml:space="preserve">Dm/htn hyperglycemia </t>
  </si>
  <si>
    <t>CVA/oral thrush</t>
  </si>
  <si>
    <t>Wafula Walumoli</t>
  </si>
  <si>
    <t>Male 0721250193</t>
  </si>
  <si>
    <t>Zainab Husham</t>
  </si>
  <si>
    <t>Irritating cough/ bronchitis</t>
  </si>
  <si>
    <t xml:space="preserve">Gideon Langat </t>
  </si>
  <si>
    <t>Male 0714417008</t>
  </si>
  <si>
    <t>Florence Kiguta</t>
  </si>
  <si>
    <t>Female 0716574617</t>
  </si>
  <si>
    <t>Acute coronary syndrome in known dm/htn</t>
  </si>
  <si>
    <t xml:space="preserve">Flabiu Emmauel </t>
  </si>
  <si>
    <t>Heart failure /hypertensive urgency/acs</t>
  </si>
  <si>
    <t>25.03.2026 SHA 81,900</t>
  </si>
  <si>
    <t>Edward Kiptala</t>
  </si>
  <si>
    <t>Peter Macharia</t>
  </si>
  <si>
    <t>Male 0710209301</t>
  </si>
  <si>
    <t>Pulmonary htn/severe anaemia</t>
  </si>
  <si>
    <t>Female 0722713089</t>
  </si>
  <si>
    <t xml:space="preserve">Epigastric Hernia </t>
  </si>
  <si>
    <t>Kalume Karisa</t>
  </si>
  <si>
    <t>Urethral meatus stenosis</t>
  </si>
  <si>
    <t>Fidelis Sassia</t>
  </si>
  <si>
    <t>Female 0722658569</t>
  </si>
  <si>
    <t>Dsychezia/DM/Azheimers disease</t>
  </si>
  <si>
    <t>Beatrice Owino</t>
  </si>
  <si>
    <t>Female 0720738828</t>
  </si>
  <si>
    <t xml:space="preserve">Left LEG Cellulities </t>
  </si>
  <si>
    <t xml:space="preserve">Micheal  Omondi </t>
  </si>
  <si>
    <t>Male 0719718741</t>
  </si>
  <si>
    <t xml:space="preserve">Fracture T/F Distal </t>
  </si>
  <si>
    <t>David Muriuki</t>
  </si>
  <si>
    <t>CLL</t>
  </si>
  <si>
    <t>Mark Ndavi</t>
  </si>
  <si>
    <t>Interstitial Lung disease</t>
  </si>
  <si>
    <t>08.03.2026 Deceased</t>
  </si>
  <si>
    <t>Dka/dm/hyperglycemia</t>
  </si>
  <si>
    <t>Jane Teresa Kavua</t>
  </si>
  <si>
    <t>Lt ca breast</t>
  </si>
  <si>
    <t>Mary Muchamura</t>
  </si>
  <si>
    <t xml:space="preserve">Malignant melanoma </t>
  </si>
  <si>
    <t>Batiseba Maraa</t>
  </si>
  <si>
    <t>Female  0723093703</t>
  </si>
  <si>
    <r>
      <t xml:space="preserve">Aspiration </t>
    </r>
    <r>
      <rPr>
        <sz val="9"/>
        <color rgb="FF000000"/>
        <rFont val="Tahoma"/>
        <family val="2"/>
      </rPr>
      <t>Pneumonia/convulsions/upper gi bleding /dementia</t>
    </r>
    <r>
      <rPr>
        <sz val="9"/>
        <color rgb="FFFF0000"/>
        <rFont val="Tahoma"/>
        <family val="2"/>
      </rPr>
      <t xml:space="preserve"> </t>
    </r>
  </si>
  <si>
    <t>Emmanuel Yogo</t>
  </si>
  <si>
    <t>Male 0711864528</t>
  </si>
  <si>
    <t>Pneumonia/ge in htn</t>
  </si>
  <si>
    <t xml:space="preserve">Simon Kirwa </t>
  </si>
  <si>
    <t>Acute GE/HTN/ CVA/chronic leg ulcer</t>
  </si>
  <si>
    <t>Hellen Shadora</t>
  </si>
  <si>
    <r>
      <t>Female</t>
    </r>
    <r>
      <rPr>
        <sz val="9"/>
        <color theme="1"/>
        <rFont val="Tahoma"/>
        <family val="2"/>
      </rPr>
      <t xml:space="preserve"> </t>
    </r>
    <r>
      <rPr>
        <sz val="9"/>
        <color rgb="FF000000"/>
        <rFont val="Tahoma"/>
        <family val="2"/>
      </rPr>
      <t>0720890592</t>
    </r>
  </si>
  <si>
    <t>Dm/Cellulitis rt foot</t>
  </si>
  <si>
    <t>Simon Kabui kamau</t>
  </si>
  <si>
    <t>Male 0729575525</t>
  </si>
  <si>
    <t xml:space="preserve">Lt hip oa/ total hip replacement </t>
  </si>
  <si>
    <t>PE Massive with dvt</t>
  </si>
  <si>
    <t>Male 0726918577</t>
  </si>
  <si>
    <t xml:space="preserve">Acute myeloid Leukemia </t>
  </si>
  <si>
    <t>04.03.2026-sha 138,292.00</t>
  </si>
  <si>
    <t>Female 0722306733</t>
  </si>
  <si>
    <t>left carotid body tumour /heart failure /hypoalbuminemia &amp; hypomagnesemia</t>
  </si>
  <si>
    <t>03.02.2026 SHA 311,360.00</t>
  </si>
  <si>
    <t>Anaemia in known Ca prostate/sepsis</t>
  </si>
  <si>
    <t>16.03.2026-Sha 62,720.00</t>
  </si>
  <si>
    <t>Margaret Kegode</t>
  </si>
  <si>
    <t>Female 0721570563</t>
  </si>
  <si>
    <t xml:space="preserve">? pneumonia/ ? thromboembolism </t>
  </si>
  <si>
    <t>Martini Gichuru</t>
  </si>
  <si>
    <t>Male 0720718885</t>
  </si>
  <si>
    <t>HTN/Met Ca prostate/ rectal vescie fistula/ Urosepsis</t>
  </si>
  <si>
    <t xml:space="preserve">James Ngozi </t>
  </si>
  <si>
    <t>Male 0722653915</t>
  </si>
  <si>
    <t>DKA /DM/ Anaemia/ htn/aki</t>
  </si>
  <si>
    <t xml:space="preserve">02.01.2026 </t>
  </si>
  <si>
    <t>Eunice Nyamboke Kamwana</t>
  </si>
  <si>
    <t>Female 0725371804</t>
  </si>
  <si>
    <t>HF/Arterial fibrillation/ dilated cardiomyopathy /confusion r/o TIA</t>
  </si>
  <si>
    <t>06.03.2026Deceased Cover Exh (Sha 1,200,000.00)</t>
  </si>
  <si>
    <t>March</t>
  </si>
  <si>
    <t>Gender</t>
  </si>
  <si>
    <t xml:space="preserve">Contact </t>
  </si>
  <si>
    <r>
      <t>02.01.2026</t>
    </r>
    <r>
      <rPr>
        <b/>
        <sz val="8"/>
        <color theme="1"/>
        <rFont val="Tahoma"/>
        <family val="2"/>
      </rPr>
      <t xml:space="preserve"> Deceased</t>
    </r>
  </si>
  <si>
    <r>
      <t>28.01.2026</t>
    </r>
    <r>
      <rPr>
        <sz val="8"/>
        <color theme="1"/>
        <rFont val="Times New Roman"/>
        <family val="1"/>
      </rPr>
      <t xml:space="preserve"> (</t>
    </r>
    <r>
      <rPr>
        <b/>
        <sz val="8"/>
        <color theme="1"/>
        <rFont val="Times New Roman"/>
        <family val="1"/>
      </rPr>
      <t>SHA Ksh 168,400.00</t>
    </r>
    <r>
      <rPr>
        <sz val="8"/>
        <color theme="1"/>
        <rFont val="Times New Roman"/>
        <family val="1"/>
      </rPr>
      <t>)</t>
    </r>
  </si>
  <si>
    <r>
      <t>01.01.2026 -</t>
    </r>
    <r>
      <rPr>
        <b/>
        <sz val="8"/>
        <color theme="1"/>
        <rFont val="Tahoma"/>
        <family val="2"/>
      </rPr>
      <t>OffSmart</t>
    </r>
    <r>
      <rPr>
        <sz val="8"/>
        <color theme="1"/>
        <rFont val="Tahoma"/>
        <family val="2"/>
      </rPr>
      <t xml:space="preserve"> </t>
    </r>
    <r>
      <rPr>
        <b/>
        <sz val="8"/>
        <color theme="1"/>
        <rFont val="Tahoma"/>
        <family val="2"/>
      </rPr>
      <t>Deceased</t>
    </r>
  </si>
  <si>
    <r>
      <t>27.01.2026</t>
    </r>
    <r>
      <rPr>
        <b/>
        <sz val="8"/>
        <color theme="1"/>
        <rFont val="Tahoma"/>
        <family val="2"/>
      </rPr>
      <t>-Hosp to bill through smart</t>
    </r>
  </si>
  <si>
    <r>
      <t>25.01.2026-</t>
    </r>
    <r>
      <rPr>
        <b/>
        <sz val="8"/>
        <color theme="1"/>
        <rFont val="Tahoma"/>
        <family val="2"/>
      </rPr>
      <t>Hosp to bill through smart</t>
    </r>
  </si>
  <si>
    <r>
      <t>30.01.2026</t>
    </r>
    <r>
      <rPr>
        <b/>
        <sz val="8"/>
        <color rgb="FF000000"/>
        <rFont val="Tahoma"/>
        <family val="2"/>
      </rPr>
      <t>-Hosp billed as outpatient</t>
    </r>
  </si>
  <si>
    <r>
      <t xml:space="preserve">09.02.2026 </t>
    </r>
    <r>
      <rPr>
        <b/>
        <sz val="8"/>
        <color rgb="FF000000"/>
        <rFont val="Tahoma"/>
        <family val="2"/>
      </rPr>
      <t>Deceased</t>
    </r>
  </si>
  <si>
    <r>
      <t xml:space="preserve">17.03.2026 </t>
    </r>
    <r>
      <rPr>
        <sz val="8"/>
        <color rgb="FF000000"/>
        <rFont val="Tahoma"/>
        <family val="2"/>
      </rPr>
      <t>Hospital to Bill through SMART</t>
    </r>
  </si>
  <si>
    <r>
      <t>27.02.2026-</t>
    </r>
    <r>
      <rPr>
        <b/>
        <sz val="8"/>
        <color theme="1"/>
        <rFont val="Tahoma"/>
        <family val="2"/>
      </rPr>
      <t>Belated</t>
    </r>
    <r>
      <rPr>
        <sz val="8"/>
        <color theme="1"/>
        <rFont val="Tahoma"/>
        <family val="2"/>
      </rPr>
      <t xml:space="preserve"> )</t>
    </r>
  </si>
  <si>
    <r>
      <t xml:space="preserve">Aspiration </t>
    </r>
    <r>
      <rPr>
        <sz val="8"/>
        <color rgb="FF000000"/>
        <rFont val="Tahoma"/>
        <family val="2"/>
      </rPr>
      <t>Pneumonia/convulsions/upper gi bleding /dementia</t>
    </r>
    <r>
      <rPr>
        <sz val="8"/>
        <color rgb="FFFF0000"/>
        <rFont val="Tahoma"/>
        <family val="2"/>
      </rPr>
      <t xml:space="preserve"> </t>
    </r>
  </si>
  <si>
    <r>
      <t>Female</t>
    </r>
    <r>
      <rPr>
        <sz val="8"/>
        <color theme="1"/>
        <rFont val="Tahoma"/>
        <family val="2"/>
      </rPr>
      <t xml:space="preserve"> </t>
    </r>
    <r>
      <rPr>
        <sz val="8"/>
        <color rgb="FF000000"/>
        <rFont val="Tahoma"/>
        <family val="2"/>
      </rPr>
      <t>0720890592</t>
    </r>
  </si>
  <si>
    <t>Specific Diagnosis</t>
  </si>
  <si>
    <t>Main Category</t>
  </si>
  <si>
    <t>Oncology and Hematological Disorders</t>
  </si>
  <si>
    <t>Lung Ca / Ca lung</t>
  </si>
  <si>
    <t>Chronic lymphocytic leukemia</t>
  </si>
  <si>
    <t>Metastatic cancers</t>
  </si>
  <si>
    <t>Heart failure / Acute decompensated HF</t>
  </si>
  <si>
    <t>Cardiovascular and Circulatory Disorders</t>
  </si>
  <si>
    <t>HTN / Hypertension</t>
  </si>
  <si>
    <t>CVA / Stroke</t>
  </si>
  <si>
    <t>Cardiomyopathy</t>
  </si>
  <si>
    <t>Coronary syndrome / Acute coronary syndrome</t>
  </si>
  <si>
    <t>Atrial fibrillation</t>
  </si>
  <si>
    <t>Chest pain</t>
  </si>
  <si>
    <t>Pneumonia</t>
  </si>
  <si>
    <t>Respiratory Disorders</t>
  </si>
  <si>
    <t>Asthma exacerbation</t>
  </si>
  <si>
    <t>COPD / Chronic obstructive pulmonary disease</t>
  </si>
  <si>
    <t>Bronchitis</t>
  </si>
  <si>
    <t>Pulmonary edema</t>
  </si>
  <si>
    <t>Gastrointestinal and Hepatobiliary Disorders</t>
  </si>
  <si>
    <t>GERD</t>
  </si>
  <si>
    <t>Esophagitis / Oesophagitis</t>
  </si>
  <si>
    <t>Jaundice / Obstructive jaundice</t>
  </si>
  <si>
    <t>Hepatitis</t>
  </si>
  <si>
    <t>Epigastric hernia</t>
  </si>
  <si>
    <t>UTI / Urinary tract infection</t>
  </si>
  <si>
    <t>Genitourinary and Reproductive Disorders</t>
  </si>
  <si>
    <t>ESRD / CKD</t>
  </si>
  <si>
    <t>Acute kidney injury</t>
  </si>
  <si>
    <t>Prostate enlargement / BPH</t>
  </si>
  <si>
    <t>Cellulitis (Leg, etc.)</t>
  </si>
  <si>
    <t>Infectious Diseases / Dermatological Disorders</t>
  </si>
  <si>
    <t>Sepsis</t>
  </si>
  <si>
    <t>Infectious Diseases</t>
  </si>
  <si>
    <t>Diabetes mellitus (Type 1/2)</t>
  </si>
  <si>
    <t>Chronic Diseases and Metabolic Disorders</t>
  </si>
  <si>
    <t>Hypoglycemia / Hyperglycemia</t>
  </si>
  <si>
    <t>Diabetic complications</t>
  </si>
  <si>
    <t>Fracture (Femur, Rib, Hip, etc.)</t>
  </si>
  <si>
    <t>Injuries and Trauma / Orthopedic Trauma</t>
  </si>
  <si>
    <t>Amputation</t>
  </si>
  <si>
    <t>Injuries and Trauma</t>
  </si>
  <si>
    <t>Ophthalmological and ENT Disorders</t>
  </si>
  <si>
    <t>Retinal disorders</t>
  </si>
  <si>
    <t>Dementia / Acute confusional state</t>
  </si>
  <si>
    <t>Neurological and Psychiatric Disorders</t>
  </si>
  <si>
    <t>Encephalopathy</t>
  </si>
  <si>
    <t>Neuropathy</t>
  </si>
  <si>
    <t>Mental Health Disorders</t>
  </si>
  <si>
    <t>Anemia</t>
  </si>
  <si>
    <t>Hematologic Disorders</t>
  </si>
  <si>
    <t>Hypokalemia / Hyponatremia</t>
  </si>
  <si>
    <t>Dehydration</t>
  </si>
  <si>
    <t>Other Conditions</t>
  </si>
  <si>
    <t>Subdural hematoma</t>
  </si>
  <si>
    <t>Blunt chest trauma / Rib fracture</t>
  </si>
  <si>
    <t>Osteoarthritis / Degenerative joint disease</t>
  </si>
  <si>
    <t>Degenerative Joint Disorders</t>
  </si>
  <si>
    <t>Lumbar spondylosis</t>
  </si>
  <si>
    <t>Musculoskeletal and Connective Tissue Disorders</t>
  </si>
  <si>
    <t>Severe pneumonia</t>
  </si>
  <si>
    <t>Acute gastroenteritis</t>
  </si>
  <si>
    <t>Pyelonephritis</t>
  </si>
  <si>
    <t>Seizures / Epilepsy</t>
  </si>
  <si>
    <t>Glaucoma</t>
  </si>
  <si>
    <t>Thyroid disorders</t>
  </si>
  <si>
    <t>Main Category (from your table)</t>
  </si>
  <si>
    <t>Lung Ca</t>
  </si>
  <si>
    <t>Heart failure</t>
  </si>
  <si>
    <t>UTI</t>
  </si>
  <si>
    <t>Cellulitis</t>
  </si>
  <si>
    <t>Diabetes mellitus</t>
  </si>
  <si>
    <t>Fracture femur / hip</t>
  </si>
  <si>
    <t>Dementia</t>
  </si>
  <si>
    <t>BPH / Prostate enlargement</t>
  </si>
  <si>
    <t>Jaundice</t>
  </si>
  <si>
    <t>COPD</t>
  </si>
  <si>
    <t>Hypokalemia</t>
  </si>
  <si>
    <t>Seizures</t>
  </si>
  <si>
    <t>Left leg cellulitis</t>
  </si>
  <si>
    <t>Dermatological Disorders / Infectious Diseases</t>
  </si>
  <si>
    <t>Acute confusional state</t>
  </si>
  <si>
    <t>Metastatic Ca</t>
  </si>
  <si>
    <t>Chronic subdural hematoma</t>
  </si>
  <si>
    <t>Hyponatremia</t>
  </si>
  <si>
    <t>Coronary syndrome</t>
  </si>
  <si>
    <t>Pleural effusion</t>
  </si>
  <si>
    <t>Hematuria</t>
  </si>
  <si>
    <t xml:space="preserve">  </t>
  </si>
  <si>
    <t>maind disorder</t>
  </si>
  <si>
    <t xml:space="preserve">pneumonia/ ? thromboembolism </t>
  </si>
  <si>
    <t>Heart failure in DM/HTN</t>
  </si>
  <si>
    <t>Condition (exact text from your list)</t>
  </si>
  <si>
    <t>Category</t>
  </si>
  <si>
    <t>Acute ABDOMEN intestinal obstruction</t>
  </si>
  <si>
    <t>Gastroenterology</t>
  </si>
  <si>
    <t>Acute Decompensated Heart Failure</t>
  </si>
  <si>
    <t>Cardiology</t>
  </si>
  <si>
    <t>Acute Gastritis</t>
  </si>
  <si>
    <t>Acute Gastritis with gastroenteritis</t>
  </si>
  <si>
    <t>Acute Kidney Disease/Bilateral fibrosis</t>
  </si>
  <si>
    <t>Nephrology</t>
  </si>
  <si>
    <t>Acute myeloid Leukemia</t>
  </si>
  <si>
    <t>Acute Septic Arthirits</t>
  </si>
  <si>
    <t>Infectious Disease / Orthopedics</t>
  </si>
  <si>
    <t>Acute Tonsilitis</t>
  </si>
  <si>
    <t>ENT / Infectious Disease</t>
  </si>
  <si>
    <t>Acute tonsilitis /Gastritis</t>
  </si>
  <si>
    <t>Mixed (ENT/Gastro)</t>
  </si>
  <si>
    <t>Acute urine retention/obstructive uropathy</t>
  </si>
  <si>
    <t>Urology</t>
  </si>
  <si>
    <t>Acute urine retention/obstructive uropathy (duplicate)</t>
  </si>
  <si>
    <t>Psychiatry / Addiction</t>
  </si>
  <si>
    <t>Anemia/sepsis/melanoma/hepatitis/post radiotherapy</t>
  </si>
  <si>
    <r>
      <t>Oncology</t>
    </r>
    <r>
      <rPr>
        <sz val="11"/>
        <color rgb="FFF9FAFB"/>
        <rFont val="Segoe UI"/>
        <family val="2"/>
      </rPr>
      <t> (melanoma, post radiotherapy)</t>
    </r>
  </si>
  <si>
    <t>Aspiration Pneumonia/convulsions/upper gi bleeding/dementia</t>
  </si>
  <si>
    <t>Pulmonology / Neurology / GI</t>
  </si>
  <si>
    <t>Asthmatic Attack / Pneumonia</t>
  </si>
  <si>
    <t>Pulmonology</t>
  </si>
  <si>
    <t>Pulmonology / Infectious (TB)</t>
  </si>
  <si>
    <t>B-Cell Lymphoma /AKI/Pleural Effusion</t>
  </si>
  <si>
    <t>B-Cell Lyphoma</t>
  </si>
  <si>
    <t>Bilateral severe to profound mixed hearing loss</t>
  </si>
  <si>
    <t>ENT / Audiology</t>
  </si>
  <si>
    <t>Bipolar Mood Disorder</t>
  </si>
  <si>
    <t>Psychiatry</t>
  </si>
  <si>
    <t>Carcinoid Syndrome ? Papillary thyroid ca</t>
  </si>
  <si>
    <t>Cardiomyopathy hypertensive</t>
  </si>
  <si>
    <t>Cellulites of the left leg/sepsis</t>
  </si>
  <si>
    <t>Infectious Disease</t>
  </si>
  <si>
    <t>Cellulities (multiple)</t>
  </si>
  <si>
    <t>Cervical Dysplasia</t>
  </si>
  <si>
    <t>Oncology (pre-cancer)</t>
  </si>
  <si>
    <t>Chronic Lymphocytic</t>
  </si>
  <si>
    <r>
      <t>Oncology</t>
    </r>
    <r>
      <rPr>
        <sz val="11"/>
        <color rgb="FFF9FAFB"/>
        <rFont val="Segoe UI"/>
        <family val="2"/>
      </rPr>
      <t> (CLL)</t>
    </r>
  </si>
  <si>
    <t>Convulsion</t>
  </si>
  <si>
    <t>Neurology</t>
  </si>
  <si>
    <t>Cytoid Macula Edema lt Eye</t>
  </si>
  <si>
    <t>Dengue Fever</t>
  </si>
  <si>
    <t>Distal CBD Stricture</t>
  </si>
  <si>
    <t>Gastroenterology / Hepatobiliary</t>
  </si>
  <si>
    <t>Dm/htn hyperglycemia</t>
  </si>
  <si>
    <t>Endocrinology / Cardiology</t>
  </si>
  <si>
    <t>DVT / Cellulities</t>
  </si>
  <si>
    <t>Hematology / Infectious</t>
  </si>
  <si>
    <t>Dyphagia</t>
  </si>
  <si>
    <t>Gastroenterology / Neurology</t>
  </si>
  <si>
    <t>Dysphonia</t>
  </si>
  <si>
    <t>ENT</t>
  </si>
  <si>
    <t>Electrolyte imbalance in DM/HTN</t>
  </si>
  <si>
    <t>Nephrology / Endocrinology</t>
  </si>
  <si>
    <t>Epigastric Hernia</t>
  </si>
  <si>
    <t>General Surgery</t>
  </si>
  <si>
    <t>Orthopedics / Neurosurgery</t>
  </si>
  <si>
    <t>Excision of chalazion</t>
  </si>
  <si>
    <t>Ophthalmology (procedure)</t>
  </si>
  <si>
    <t>Fracture Proximal Femur</t>
  </si>
  <si>
    <t>Orthopedics</t>
  </si>
  <si>
    <t>Fracture T/F Distal</t>
  </si>
  <si>
    <t>G/E hypokalemia</t>
  </si>
  <si>
    <t>Ganglion Cyst</t>
  </si>
  <si>
    <t>Orthopedics / Hand surgery</t>
  </si>
  <si>
    <t>Gastritis/Sepsis</t>
  </si>
  <si>
    <t>Gastroenterology / Infectious</t>
  </si>
  <si>
    <t>GE/Septicemia/Dehydration</t>
  </si>
  <si>
    <t>Infectious / GI</t>
  </si>
  <si>
    <t>Gynecomastia</t>
  </si>
  <si>
    <t>Endocrinology / Urology</t>
  </si>
  <si>
    <t>H.pylori /gastroenteritis wit dehydration</t>
  </si>
  <si>
    <t>Heart Failure with reduced ejection fraction</t>
  </si>
  <si>
    <t>Hepatic Encephalopathy</t>
  </si>
  <si>
    <t>Hepatology / Gastroenterology</t>
  </si>
  <si>
    <t>HTN /Metastatic prostate Ca</t>
  </si>
  <si>
    <t>HTN Emergency</t>
  </si>
  <si>
    <t>HTN Emergency /Hyperglycemia</t>
  </si>
  <si>
    <t>Cardiology / Endocrinology</t>
  </si>
  <si>
    <t>Htn Urgency /Gastritis</t>
  </si>
  <si>
    <t>Cardiology / GI</t>
  </si>
  <si>
    <t>HTN/Intracranial bleeding</t>
  </si>
  <si>
    <t>Cardiology / Neurology</t>
  </si>
  <si>
    <t>Htn/Palpitation</t>
  </si>
  <si>
    <t>Interstitial lung disease with Severe URTI/Pneumonia/Sinusitis/AKI</t>
  </si>
  <si>
    <t>Pulmonology / Infectious / Nephrology</t>
  </si>
  <si>
    <t>Left LEG Cellulities</t>
  </si>
  <si>
    <t>Liver Cirrhosis</t>
  </si>
  <si>
    <t>Lt hip oa/ total hip replacement</t>
  </si>
  <si>
    <t>Lt Knee Septic Arthritis</t>
  </si>
  <si>
    <t>Infectious / Orthopedics</t>
  </si>
  <si>
    <t>Lumbar Radiculopathy</t>
  </si>
  <si>
    <t>Orthopedics / Neurology</t>
  </si>
  <si>
    <t>Lumbar Radiculopathy (duplicate)</t>
  </si>
  <si>
    <t>Lung Mass</t>
  </si>
  <si>
    <r>
      <t>Oncology</t>
    </r>
    <r>
      <rPr>
        <sz val="11"/>
        <color rgb="FFF9FAFB"/>
        <rFont val="Segoe UI"/>
        <family val="2"/>
      </rPr>
      <t> (rule out cancer)</t>
    </r>
  </si>
  <si>
    <t>Malignant melanoma</t>
  </si>
  <si>
    <t>Metastatic Ca prostate</t>
  </si>
  <si>
    <t>Multiple tendon &amp; nerve repair</t>
  </si>
  <si>
    <t>Orthopedics / Plastics</t>
  </si>
  <si>
    <t>Myocardial infarction</t>
  </si>
  <si>
    <t>Neck Abscess</t>
  </si>
  <si>
    <t>Infectious / ENT</t>
  </si>
  <si>
    <t>Neck lesion</t>
  </si>
  <si>
    <t>Dermatology / General</t>
  </si>
  <si>
    <t>Obstructive jaundice</t>
  </si>
  <si>
    <t>Gastroenterology / Hepatology</t>
  </si>
  <si>
    <t>Pneumonia /Bacteria infection</t>
  </si>
  <si>
    <t>Pulmonology / Infectious</t>
  </si>
  <si>
    <t>Pneumothorax /Rt Lung contusion</t>
  </si>
  <si>
    <t>Pulmonology / Trauma</t>
  </si>
  <si>
    <t>Prostate Enlargement</t>
  </si>
  <si>
    <t>Urology (benign)</t>
  </si>
  <si>
    <t>PTSD/Schizophrenia</t>
  </si>
  <si>
    <t>PUD/Esophageal candidiasis</t>
  </si>
  <si>
    <t>Rectocele</t>
  </si>
  <si>
    <t>Gynecology</t>
  </si>
  <si>
    <t>Reducible Inguinal Hernia</t>
  </si>
  <si>
    <t>Respiratory Distress in ca breast</t>
  </si>
  <si>
    <r>
      <t>Oncology</t>
    </r>
    <r>
      <rPr>
        <sz val="11"/>
        <color rgb="FFF9FAFB"/>
        <rFont val="Segoe UI"/>
        <family val="2"/>
      </rPr>
      <t> (complication)</t>
    </r>
  </si>
  <si>
    <t>Right Ovarian Cyst,Uterine fibroid</t>
  </si>
  <si>
    <t>Schizophrenia (multiple)</t>
  </si>
  <si>
    <t>Sepsis in HTN with Dj stentisity</t>
  </si>
  <si>
    <t>Infectious / Cardiology / Urology</t>
  </si>
  <si>
    <t>Sepsis/acute tonsilitis</t>
  </si>
  <si>
    <t>Sepsis/DM/HTN/CKD</t>
  </si>
  <si>
    <t>Infectious / Multiple</t>
  </si>
  <si>
    <t>Sepsis/infective endocarditis/esrd</t>
  </si>
  <si>
    <t>Infectious / Cardiology / Nephrology</t>
  </si>
  <si>
    <t>Septic shock</t>
  </si>
  <si>
    <t>Critical Care / Infectious</t>
  </si>
  <si>
    <t>Septic tonsilitis/ acute nasopharyngeal</t>
  </si>
  <si>
    <t>ENT / Infectious</t>
  </si>
  <si>
    <t>Septic Tonsilitis/Bacterial Infection/Pneumonia</t>
  </si>
  <si>
    <t>ENT / Pulmonology</t>
  </si>
  <si>
    <t>Septicemia /Mild Dehydration in DM/HTN/Dementia</t>
  </si>
  <si>
    <t>Severe acute gastritis/ prostration</t>
  </si>
  <si>
    <t>Severe Headache</t>
  </si>
  <si>
    <t>Severe Lower limb cellulitis/DM</t>
  </si>
  <si>
    <t>Infectious / Endocrinology</t>
  </si>
  <si>
    <t>Severe nerve root compressor</t>
  </si>
  <si>
    <t>Severe Osteoarthritis</t>
  </si>
  <si>
    <t>Orthopedics / Rheumatology</t>
  </si>
  <si>
    <t>Severe Pneumonia (multiple)</t>
  </si>
  <si>
    <t>Sigmoid polyp</t>
  </si>
  <si>
    <t>Gastroenterology (pre-cancer possible)</t>
  </si>
  <si>
    <t>Small Bowel obstruction</t>
  </si>
  <si>
    <t>General Surgery / Gastroenterology</t>
  </si>
  <si>
    <t>Status asthmatics/ bronchiolitis</t>
  </si>
  <si>
    <t>Type 1 Dm /acetonuria</t>
  </si>
  <si>
    <t>Endocrinology</t>
  </si>
  <si>
    <t>Varicocele</t>
  </si>
  <si>
    <t>Original Condition (exactly as you wrote)</t>
  </si>
  <si>
    <t>Mixed</t>
  </si>
  <si>
    <t>Aspiration Pneumonia/convulsions/upper gi bleding /dementia</t>
  </si>
  <si>
    <t>Cellulities</t>
  </si>
  <si>
    <t>Cellulities (duplicate)</t>
  </si>
  <si>
    <t>Hematology</t>
  </si>
  <si>
    <t>Hepatology</t>
  </si>
  <si>
    <t>Dermatology</t>
  </si>
  <si>
    <t>Schizophrenia (duplicate)</t>
  </si>
  <si>
    <t>Critical Care</t>
  </si>
  <si>
    <t>Severe Pneumonia</t>
  </si>
  <si>
    <t>Severe Pneumonia (duplicate)</t>
  </si>
  <si>
    <t>Original Condition (exactly as you typed)</t>
  </si>
  <si>
    <t>Schizophrenia (duplicate 1)</t>
  </si>
  <si>
    <t>Schizophrenia (duplicate 2)</t>
  </si>
  <si>
    <t>Schizophrenia (duplicate 3)</t>
  </si>
  <si>
    <t>(blank)</t>
  </si>
  <si>
    <t>Grand Total</t>
  </si>
  <si>
    <t>Sum of Approved LOU on Account (Kshs)</t>
  </si>
  <si>
    <t>Orthopedics, Degenerative Joint Disorders, Orthopedics / Neurosurgery</t>
  </si>
  <si>
    <t>Column1</t>
  </si>
  <si>
    <t>Dermatological Disorders</t>
  </si>
  <si>
    <t>Column Labels</t>
  </si>
  <si>
    <t>age bracket</t>
  </si>
  <si>
    <t>0-19</t>
  </si>
  <si>
    <t>20-49</t>
  </si>
  <si>
    <t>50-79</t>
  </si>
  <si>
    <t>80+</t>
  </si>
  <si>
    <t xml:space="preserve">Infectious Diseases </t>
  </si>
  <si>
    <t/>
  </si>
  <si>
    <t>CONDITION/AGE GROUP</t>
  </si>
  <si>
    <t>SER</t>
  </si>
  <si>
    <t>(a)</t>
  </si>
  <si>
    <t>(b)</t>
  </si>
  <si>
    <t>(c)</t>
  </si>
  <si>
    <t>(d)</t>
  </si>
  <si>
    <t>(e)</t>
  </si>
  <si>
    <t>(f)</t>
  </si>
  <si>
    <t>(g)</t>
  </si>
  <si>
    <t>DISTRIBUTION OF LOU ISSUED BY CONDITION AND AGE BRACKET – Q1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</si>
</sst>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&quot;Ksh&quot;#,##0.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sz val="9"/>
      <color rgb="FF000000"/>
      <name val="Tahoma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theme="1"/>
      <name val="Tahoma"/>
      <family val="2"/>
    </font>
    <font>
      <b/>
      <sz val="9"/>
      <color rgb="FF000000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b/>
      <sz val="8"/>
      <color theme="1"/>
      <name val="Tahoma"/>
      <family val="2"/>
    </font>
    <font>
      <sz val="8"/>
      <name val="Tahoma"/>
      <family val="2"/>
    </font>
    <font>
      <sz val="9"/>
      <color rgb="FFFF0000"/>
      <name val="Tahoma"/>
      <family val="2"/>
    </font>
    <font>
      <b/>
      <sz val="8"/>
      <name val="Tahoma"/>
      <family val="2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rgb="FFFF0000"/>
      <name val="Tahoma"/>
      <family val="2"/>
    </font>
    <font>
      <b/>
      <sz val="11"/>
      <color theme="1"/>
      <name val="Calibri"/>
      <family val="2"/>
      <scheme val="minor"/>
    </font>
    <font>
      <sz val="11"/>
      <color rgb="FFF9FAFB"/>
      <name val="Segoe UI"/>
      <family val="2"/>
    </font>
    <font>
      <sz val="11"/>
      <color rgb="FFF9FAFB"/>
      <name val="Segoe UI"/>
      <family val="2"/>
    </font>
    <font>
      <sz val="11"/>
      <color rgb="FFF9FAFB"/>
      <name val="Segoe UI"/>
      <family val="2"/>
    </font>
    <font>
      <b/>
      <sz val="11"/>
      <color theme="1"/>
      <name val="Times New Roman"/>
      <family val="1"/>
    </font>
    <font>
      <sz val="11"/>
      <color theme="1"/>
      <name val="Maiandra GD"/>
      <family val="2"/>
    </font>
    <font>
      <b/>
      <sz val="11"/>
      <color theme="1"/>
      <name val="Maiandra GD"/>
      <family val="2"/>
    </font>
    <font>
      <i/>
      <sz val="8"/>
      <color theme="1"/>
      <name val="Tahoma"/>
      <family val="2"/>
    </font>
    <font>
      <i/>
      <sz val="8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5151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 tint="0.79998168889431442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4">
    <xf numFmtId="0" fontId="0" fillId="0" borderId="0" xfId="0"/>
    <xf numFmtId="0" fontId="3" fillId="0" borderId="0" xfId="0" applyFont="1" applyAlignment="1">
      <alignment vertical="top"/>
    </xf>
    <xf numFmtId="0" fontId="3" fillId="3" borderId="1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top" wrapText="1"/>
    </xf>
    <xf numFmtId="165" fontId="3" fillId="3" borderId="2" xfId="0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/>
    </xf>
    <xf numFmtId="0" fontId="3" fillId="4" borderId="2" xfId="0" applyFont="1" applyFill="1" applyBorder="1" applyAlignment="1">
      <alignment horizontal="left" vertical="top"/>
    </xf>
    <xf numFmtId="0" fontId="3" fillId="4" borderId="2" xfId="0" applyFont="1" applyFill="1" applyBorder="1" applyAlignment="1">
      <alignment horizontal="center" vertical="top"/>
    </xf>
    <xf numFmtId="0" fontId="3" fillId="4" borderId="2" xfId="0" applyFont="1" applyFill="1" applyBorder="1" applyAlignment="1">
      <alignment horizontal="left" vertical="top" wrapText="1"/>
    </xf>
    <xf numFmtId="165" fontId="3" fillId="4" borderId="2" xfId="0" applyNumberFormat="1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top" wrapText="1"/>
    </xf>
    <xf numFmtId="165" fontId="3" fillId="0" borderId="2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4" borderId="2" xfId="0" applyFont="1" applyFill="1" applyBorder="1" applyAlignment="1">
      <alignment horizontal="center" vertical="top" wrapText="1"/>
    </xf>
    <xf numFmtId="165" fontId="3" fillId="4" borderId="2" xfId="0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vertical="top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165" fontId="4" fillId="0" borderId="2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165" fontId="3" fillId="0" borderId="2" xfId="0" applyNumberFormat="1" applyFont="1" applyBorder="1" applyAlignment="1">
      <alignment horizontal="right" vertical="center" wrapText="1"/>
    </xf>
    <xf numFmtId="0" fontId="3" fillId="4" borderId="2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165" fontId="4" fillId="0" borderId="2" xfId="0" applyNumberFormat="1" applyFont="1" applyBorder="1" applyAlignment="1">
      <alignment horizontal="right" vertical="center" wrapText="1"/>
    </xf>
    <xf numFmtId="165" fontId="3" fillId="0" borderId="2" xfId="0" applyNumberFormat="1" applyFont="1" applyBorder="1" applyAlignment="1">
      <alignment horizontal="left" vertical="top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top"/>
    </xf>
    <xf numFmtId="0" fontId="9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center" vertical="top"/>
    </xf>
    <xf numFmtId="165" fontId="9" fillId="0" borderId="2" xfId="0" applyNumberFormat="1" applyFont="1" applyBorder="1" applyAlignment="1">
      <alignment horizontal="left" vertical="top" wrapText="1"/>
    </xf>
    <xf numFmtId="0" fontId="3" fillId="4" borderId="2" xfId="0" applyFont="1" applyFill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165" fontId="4" fillId="0" borderId="2" xfId="0" applyNumberFormat="1" applyFont="1" applyBorder="1" applyAlignment="1">
      <alignment vertical="top" wrapText="1"/>
    </xf>
    <xf numFmtId="0" fontId="3" fillId="3" borderId="1" xfId="0" applyFont="1" applyFill="1" applyBorder="1" applyAlignment="1">
      <alignment vertical="top"/>
    </xf>
    <xf numFmtId="0" fontId="3" fillId="4" borderId="3" xfId="0" applyFont="1" applyFill="1" applyBorder="1" applyAlignment="1">
      <alignment horizontal="left" vertical="top"/>
    </xf>
    <xf numFmtId="0" fontId="3" fillId="4" borderId="4" xfId="0" applyFont="1" applyFill="1" applyBorder="1" applyAlignment="1">
      <alignment horizontal="left" vertical="top"/>
    </xf>
    <xf numFmtId="0" fontId="3" fillId="4" borderId="4" xfId="0" applyFont="1" applyFill="1" applyBorder="1" applyAlignment="1">
      <alignment horizontal="left" vertical="top" wrapText="1"/>
    </xf>
    <xf numFmtId="165" fontId="3" fillId="4" borderId="4" xfId="0" applyNumberFormat="1" applyFont="1" applyFill="1" applyBorder="1" applyAlignment="1">
      <alignment horizontal="left" vertical="top"/>
    </xf>
    <xf numFmtId="0" fontId="12" fillId="2" borderId="1" xfId="0" applyFont="1" applyFill="1" applyBorder="1" applyAlignment="1">
      <alignment horizontal="left" vertical="top"/>
    </xf>
    <xf numFmtId="0" fontId="12" fillId="2" borderId="2" xfId="0" applyFont="1" applyFill="1" applyBorder="1" applyAlignment="1">
      <alignment horizontal="left" vertical="top" wrapText="1"/>
    </xf>
    <xf numFmtId="0" fontId="12" fillId="2" borderId="2" xfId="0" applyFont="1" applyFill="1" applyBorder="1" applyAlignment="1">
      <alignment horizontal="center" vertical="top"/>
    </xf>
    <xf numFmtId="0" fontId="12" fillId="2" borderId="2" xfId="0" applyFont="1" applyFill="1" applyBorder="1" applyAlignment="1">
      <alignment horizontal="center" vertical="top" wrapText="1"/>
    </xf>
    <xf numFmtId="165" fontId="12" fillId="2" borderId="2" xfId="0" applyNumberFormat="1" applyFont="1" applyFill="1" applyBorder="1" applyAlignment="1">
      <alignment horizontal="left" vertical="top" wrapText="1"/>
    </xf>
    <xf numFmtId="0" fontId="13" fillId="4" borderId="0" xfId="0" applyFont="1" applyFill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center" vertical="top"/>
    </xf>
    <xf numFmtId="0" fontId="12" fillId="4" borderId="7" xfId="0" applyFont="1" applyFill="1" applyBorder="1" applyAlignment="1">
      <alignment vertical="top"/>
    </xf>
    <xf numFmtId="0" fontId="4" fillId="6" borderId="6" xfId="0" applyFont="1" applyFill="1" applyBorder="1" applyAlignment="1">
      <alignment horizontal="left" vertical="top" wrapText="1"/>
    </xf>
    <xf numFmtId="0" fontId="4" fillId="6" borderId="6" xfId="0" applyFont="1" applyFill="1" applyBorder="1" applyAlignment="1">
      <alignment horizontal="right" vertical="top" wrapText="1"/>
    </xf>
    <xf numFmtId="0" fontId="3" fillId="6" borderId="6" xfId="0" applyFont="1" applyFill="1" applyBorder="1" applyAlignment="1">
      <alignment horizontal="right" vertical="top"/>
    </xf>
    <xf numFmtId="0" fontId="3" fillId="6" borderId="6" xfId="0" applyFont="1" applyFill="1" applyBorder="1" applyAlignment="1">
      <alignment horizontal="left" vertical="top" wrapText="1"/>
    </xf>
    <xf numFmtId="0" fontId="3" fillId="6" borderId="6" xfId="0" applyFont="1" applyFill="1" applyBorder="1" applyAlignment="1">
      <alignment horizontal="left" vertical="top"/>
    </xf>
    <xf numFmtId="165" fontId="4" fillId="6" borderId="6" xfId="1" applyNumberFormat="1" applyFont="1" applyFill="1" applyBorder="1" applyAlignment="1">
      <alignment horizontal="left" vertical="top" wrapText="1"/>
    </xf>
    <xf numFmtId="1" fontId="10" fillId="6" borderId="4" xfId="1" applyNumberFormat="1" applyFont="1" applyFill="1" applyBorder="1" applyAlignment="1">
      <alignment horizontal="left" vertical="top"/>
    </xf>
    <xf numFmtId="0" fontId="4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 wrapText="1"/>
    </xf>
    <xf numFmtId="165" fontId="3" fillId="0" borderId="6" xfId="1" applyNumberFormat="1" applyFont="1" applyBorder="1" applyAlignment="1">
      <alignment horizontal="left" vertical="top"/>
    </xf>
    <xf numFmtId="1" fontId="10" fillId="0" borderId="4" xfId="1" applyNumberFormat="1" applyFont="1" applyBorder="1" applyAlignment="1">
      <alignment horizontal="left" vertical="top"/>
    </xf>
    <xf numFmtId="165" fontId="3" fillId="6" borderId="6" xfId="1" applyNumberFormat="1" applyFont="1" applyFill="1" applyBorder="1" applyAlignment="1">
      <alignment horizontal="left" vertical="top"/>
    </xf>
    <xf numFmtId="0" fontId="4" fillId="0" borderId="6" xfId="0" applyFont="1" applyBorder="1" applyAlignment="1">
      <alignment horizontal="right" vertical="top" wrapText="1"/>
    </xf>
    <xf numFmtId="165" fontId="4" fillId="0" borderId="6" xfId="1" applyNumberFormat="1" applyFont="1" applyBorder="1" applyAlignment="1">
      <alignment horizontal="left" vertical="top" wrapText="1"/>
    </xf>
    <xf numFmtId="0" fontId="3" fillId="6" borderId="6" xfId="0" applyFont="1" applyFill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165" fontId="3" fillId="0" borderId="6" xfId="1" applyNumberFormat="1" applyFont="1" applyBorder="1" applyAlignment="1">
      <alignment horizontal="left" vertical="top" wrapText="1"/>
    </xf>
    <xf numFmtId="165" fontId="3" fillId="6" borderId="6" xfId="1" applyNumberFormat="1" applyFont="1" applyFill="1" applyBorder="1" applyAlignment="1">
      <alignment horizontal="left" vertical="top" wrapText="1"/>
    </xf>
    <xf numFmtId="13" fontId="3" fillId="0" borderId="6" xfId="0" applyNumberFormat="1" applyFont="1" applyBorder="1" applyAlignment="1">
      <alignment horizontal="left" vertical="top"/>
    </xf>
    <xf numFmtId="0" fontId="4" fillId="5" borderId="6" xfId="0" applyFont="1" applyFill="1" applyBorder="1" applyAlignment="1">
      <alignment horizontal="left" vertical="top" wrapText="1"/>
    </xf>
    <xf numFmtId="0" fontId="3" fillId="6" borderId="6" xfId="0" applyFont="1" applyFill="1" applyBorder="1" applyAlignment="1">
      <alignment vertical="top"/>
    </xf>
    <xf numFmtId="0" fontId="3" fillId="0" borderId="6" xfId="0" applyFont="1" applyBorder="1" applyAlignment="1">
      <alignment vertical="top"/>
    </xf>
    <xf numFmtId="0" fontId="10" fillId="6" borderId="6" xfId="0" applyFont="1" applyFill="1" applyBorder="1" applyAlignment="1">
      <alignment horizontal="left" vertical="top"/>
    </xf>
    <xf numFmtId="0" fontId="10" fillId="6" borderId="6" xfId="0" applyFont="1" applyFill="1" applyBorder="1" applyAlignment="1">
      <alignment horizontal="center" vertical="top"/>
    </xf>
    <xf numFmtId="165" fontId="10" fillId="6" borderId="6" xfId="0" applyNumberFormat="1" applyFont="1" applyFill="1" applyBorder="1" applyAlignment="1">
      <alignment horizontal="left" vertical="top"/>
    </xf>
    <xf numFmtId="0" fontId="10" fillId="6" borderId="4" xfId="0" applyFont="1" applyFill="1" applyBorder="1" applyAlignment="1">
      <alignment vertical="top"/>
    </xf>
    <xf numFmtId="0" fontId="10" fillId="0" borderId="6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/>
    </xf>
    <xf numFmtId="0" fontId="9" fillId="0" borderId="6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center" vertical="top" wrapText="1"/>
    </xf>
    <xf numFmtId="165" fontId="9" fillId="0" borderId="6" xfId="0" applyNumberFormat="1" applyFont="1" applyBorder="1" applyAlignment="1">
      <alignment horizontal="left" vertical="top" wrapText="1"/>
    </xf>
    <xf numFmtId="0" fontId="10" fillId="0" borderId="4" xfId="0" applyFont="1" applyBorder="1" applyAlignment="1">
      <alignment vertical="top"/>
    </xf>
    <xf numFmtId="0" fontId="10" fillId="6" borderId="6" xfId="0" applyFont="1" applyFill="1" applyBorder="1" applyAlignment="1">
      <alignment horizontal="left" vertical="top" wrapText="1"/>
    </xf>
    <xf numFmtId="0" fontId="9" fillId="6" borderId="6" xfId="0" applyFont="1" applyFill="1" applyBorder="1" applyAlignment="1">
      <alignment horizontal="left" vertical="top" wrapText="1"/>
    </xf>
    <xf numFmtId="165" fontId="9" fillId="6" borderId="6" xfId="0" applyNumberFormat="1" applyFont="1" applyFill="1" applyBorder="1" applyAlignment="1">
      <alignment horizontal="left" vertical="top" wrapText="1"/>
    </xf>
    <xf numFmtId="0" fontId="10" fillId="0" borderId="6" xfId="0" applyFont="1" applyBorder="1" applyAlignment="1">
      <alignment horizontal="center" vertical="top"/>
    </xf>
    <xf numFmtId="165" fontId="10" fillId="0" borderId="6" xfId="0" applyNumberFormat="1" applyFont="1" applyBorder="1" applyAlignment="1">
      <alignment horizontal="left" vertical="top"/>
    </xf>
    <xf numFmtId="165" fontId="10" fillId="0" borderId="6" xfId="0" applyNumberFormat="1" applyFont="1" applyBorder="1" applyAlignment="1">
      <alignment horizontal="left" vertical="top" wrapText="1"/>
    </xf>
    <xf numFmtId="0" fontId="9" fillId="6" borderId="6" xfId="0" applyFont="1" applyFill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top" wrapText="1"/>
    </xf>
    <xf numFmtId="0" fontId="10" fillId="6" borderId="6" xfId="0" applyFont="1" applyFill="1" applyBorder="1" applyAlignment="1">
      <alignment horizontal="center" vertical="top" wrapText="1"/>
    </xf>
    <xf numFmtId="165" fontId="10" fillId="6" borderId="6" xfId="0" applyNumberFormat="1" applyFont="1" applyFill="1" applyBorder="1" applyAlignment="1">
      <alignment horizontal="left" vertical="top" wrapText="1"/>
    </xf>
    <xf numFmtId="165" fontId="15" fillId="0" borderId="6" xfId="0" applyNumberFormat="1" applyFont="1" applyBorder="1" applyAlignment="1">
      <alignment horizontal="left" vertical="top" wrapText="1"/>
    </xf>
    <xf numFmtId="0" fontId="10" fillId="6" borderId="8" xfId="0" applyFont="1" applyFill="1" applyBorder="1" applyAlignment="1">
      <alignment horizontal="left" vertical="top"/>
    </xf>
    <xf numFmtId="0" fontId="10" fillId="0" borderId="8" xfId="0" applyFont="1" applyBorder="1" applyAlignment="1">
      <alignment horizontal="left" vertical="top" wrapText="1"/>
    </xf>
    <xf numFmtId="0" fontId="10" fillId="6" borderId="8" xfId="0" applyFont="1" applyFill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9" fillId="6" borderId="8" xfId="0" applyFont="1" applyFill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/>
    </xf>
    <xf numFmtId="165" fontId="15" fillId="6" borderId="6" xfId="0" applyNumberFormat="1" applyFont="1" applyFill="1" applyBorder="1" applyAlignment="1">
      <alignment horizontal="left" vertical="top" wrapText="1"/>
    </xf>
    <xf numFmtId="0" fontId="10" fillId="3" borderId="6" xfId="0" applyFont="1" applyFill="1" applyBorder="1" applyAlignment="1">
      <alignment horizontal="left" vertical="top"/>
    </xf>
    <xf numFmtId="0" fontId="10" fillId="3" borderId="6" xfId="0" applyFont="1" applyFill="1" applyBorder="1" applyAlignment="1">
      <alignment horizontal="left" vertical="top" wrapText="1"/>
    </xf>
    <xf numFmtId="165" fontId="10" fillId="3" borderId="6" xfId="0" applyNumberFormat="1" applyFont="1" applyFill="1" applyBorder="1" applyAlignment="1">
      <alignment horizontal="left" vertical="top" wrapText="1"/>
    </xf>
    <xf numFmtId="0" fontId="10" fillId="4" borderId="6" xfId="0" applyFont="1" applyFill="1" applyBorder="1" applyAlignment="1">
      <alignment horizontal="left" vertical="top"/>
    </xf>
    <xf numFmtId="0" fontId="10" fillId="4" borderId="6" xfId="0" applyFont="1" applyFill="1" applyBorder="1" applyAlignment="1">
      <alignment horizontal="left" vertical="top" wrapText="1"/>
    </xf>
    <xf numFmtId="165" fontId="10" fillId="4" borderId="6" xfId="0" applyNumberFormat="1" applyFont="1" applyFill="1" applyBorder="1" applyAlignment="1">
      <alignment horizontal="left" vertical="top"/>
    </xf>
    <xf numFmtId="165" fontId="10" fillId="4" borderId="6" xfId="0" applyNumberFormat="1" applyFont="1" applyFill="1" applyBorder="1" applyAlignment="1">
      <alignment horizontal="left" vertical="top" wrapText="1"/>
    </xf>
    <xf numFmtId="0" fontId="9" fillId="5" borderId="6" xfId="0" applyFont="1" applyFill="1" applyBorder="1" applyAlignment="1">
      <alignment horizontal="left" vertical="top" wrapText="1"/>
    </xf>
    <xf numFmtId="0" fontId="9" fillId="6" borderId="9" xfId="0" applyFont="1" applyFill="1" applyBorder="1" applyAlignment="1">
      <alignment horizontal="left" vertical="top" wrapText="1"/>
    </xf>
    <xf numFmtId="0" fontId="10" fillId="6" borderId="9" xfId="0" applyFont="1" applyFill="1" applyBorder="1" applyAlignment="1">
      <alignment horizontal="left" vertical="top" wrapText="1"/>
    </xf>
    <xf numFmtId="165" fontId="9" fillId="6" borderId="9" xfId="1" applyNumberFormat="1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/>
    </xf>
    <xf numFmtId="0" fontId="10" fillId="0" borderId="9" xfId="0" applyFont="1" applyBorder="1" applyAlignment="1">
      <alignment horizontal="left" vertical="top" wrapText="1"/>
    </xf>
    <xf numFmtId="165" fontId="10" fillId="0" borderId="9" xfId="1" applyNumberFormat="1" applyFont="1" applyBorder="1" applyAlignment="1">
      <alignment horizontal="left" vertical="top"/>
    </xf>
    <xf numFmtId="0" fontId="10" fillId="6" borderId="9" xfId="0" applyFont="1" applyFill="1" applyBorder="1" applyAlignment="1">
      <alignment horizontal="left" vertical="top"/>
    </xf>
    <xf numFmtId="165" fontId="10" fillId="6" borderId="9" xfId="1" applyNumberFormat="1" applyFont="1" applyFill="1" applyBorder="1" applyAlignment="1">
      <alignment horizontal="left" vertical="top"/>
    </xf>
    <xf numFmtId="165" fontId="9" fillId="0" borderId="9" xfId="1" applyNumberFormat="1" applyFont="1" applyBorder="1" applyAlignment="1">
      <alignment horizontal="left" vertical="top" wrapText="1"/>
    </xf>
    <xf numFmtId="165" fontId="10" fillId="0" borderId="9" xfId="1" applyNumberFormat="1" applyFont="1" applyBorder="1" applyAlignment="1">
      <alignment horizontal="left" vertical="top" wrapText="1"/>
    </xf>
    <xf numFmtId="165" fontId="10" fillId="6" borderId="9" xfId="1" applyNumberFormat="1" applyFont="1" applyFill="1" applyBorder="1" applyAlignment="1">
      <alignment horizontal="left" vertical="top" wrapText="1"/>
    </xf>
    <xf numFmtId="165" fontId="18" fillId="0" borderId="0" xfId="0" applyNumberFormat="1" applyFont="1" applyAlignment="1">
      <alignment horizontal="left"/>
    </xf>
    <xf numFmtId="164" fontId="0" fillId="0" borderId="0" xfId="1" applyFont="1"/>
    <xf numFmtId="164" fontId="4" fillId="6" borderId="6" xfId="1" applyFont="1" applyFill="1" applyBorder="1" applyAlignment="1">
      <alignment horizontal="left" vertical="top" wrapText="1"/>
    </xf>
    <xf numFmtId="164" fontId="3" fillId="0" borderId="6" xfId="1" applyFont="1" applyBorder="1" applyAlignment="1">
      <alignment horizontal="left" vertical="top"/>
    </xf>
    <xf numFmtId="164" fontId="3" fillId="6" borderId="6" xfId="1" applyFont="1" applyFill="1" applyBorder="1" applyAlignment="1">
      <alignment horizontal="left" vertical="top"/>
    </xf>
    <xf numFmtId="164" fontId="4" fillId="0" borderId="6" xfId="1" applyFont="1" applyBorder="1" applyAlignment="1">
      <alignment horizontal="left" vertical="top" wrapText="1"/>
    </xf>
    <xf numFmtId="164" fontId="3" fillId="0" borderId="6" xfId="1" applyFont="1" applyBorder="1" applyAlignment="1">
      <alignment horizontal="left" vertical="top" wrapText="1"/>
    </xf>
    <xf numFmtId="164" fontId="3" fillId="6" borderId="6" xfId="1" applyFont="1" applyFill="1" applyBorder="1" applyAlignment="1">
      <alignment horizontal="left" vertical="top" wrapText="1"/>
    </xf>
    <xf numFmtId="0" fontId="10" fillId="3" borderId="8" xfId="0" applyFont="1" applyFill="1" applyBorder="1" applyAlignment="1">
      <alignment horizontal="left" vertical="top"/>
    </xf>
    <xf numFmtId="0" fontId="10" fillId="4" borderId="8" xfId="0" applyFont="1" applyFill="1" applyBorder="1" applyAlignment="1">
      <alignment horizontal="left" vertical="top"/>
    </xf>
    <xf numFmtId="0" fontId="9" fillId="6" borderId="12" xfId="0" applyFont="1" applyFill="1" applyBorder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0" fontId="10" fillId="6" borderId="12" xfId="0" applyFont="1" applyFill="1" applyBorder="1" applyAlignment="1">
      <alignment horizontal="left" vertical="top" wrapText="1"/>
    </xf>
    <xf numFmtId="0" fontId="10" fillId="0" borderId="12" xfId="0" applyFont="1" applyBorder="1" applyAlignment="1">
      <alignment horizontal="left" vertical="top" wrapText="1"/>
    </xf>
    <xf numFmtId="0" fontId="10" fillId="0" borderId="12" xfId="0" applyFont="1" applyBorder="1" applyAlignment="1">
      <alignment horizontal="left" vertical="top"/>
    </xf>
    <xf numFmtId="0" fontId="10" fillId="6" borderId="12" xfId="0" applyFont="1" applyFill="1" applyBorder="1" applyAlignment="1">
      <alignment horizontal="left" vertical="top"/>
    </xf>
    <xf numFmtId="1" fontId="10" fillId="6" borderId="9" xfId="1" applyNumberFormat="1" applyFont="1" applyFill="1" applyBorder="1" applyAlignment="1">
      <alignment horizontal="left" vertical="top"/>
    </xf>
    <xf numFmtId="1" fontId="10" fillId="0" borderId="9" xfId="1" applyNumberFormat="1" applyFont="1" applyBorder="1" applyAlignment="1">
      <alignment horizontal="left" vertical="top"/>
    </xf>
    <xf numFmtId="0" fontId="17" fillId="2" borderId="0" xfId="0" applyFont="1" applyFill="1" applyAlignment="1">
      <alignment horizontal="left" vertical="top"/>
    </xf>
    <xf numFmtId="0" fontId="17" fillId="2" borderId="10" xfId="0" applyFont="1" applyFill="1" applyBorder="1" applyAlignment="1">
      <alignment horizontal="left" vertical="top" wrapText="1"/>
    </xf>
    <xf numFmtId="165" fontId="17" fillId="2" borderId="10" xfId="0" applyNumberFormat="1" applyFont="1" applyFill="1" applyBorder="1" applyAlignment="1">
      <alignment horizontal="left" vertical="top" wrapText="1"/>
    </xf>
    <xf numFmtId="165" fontId="10" fillId="6" borderId="6" xfId="1" applyNumberFormat="1" applyFont="1" applyFill="1" applyBorder="1" applyAlignment="1">
      <alignment horizontal="left" vertical="top"/>
    </xf>
    <xf numFmtId="1" fontId="10" fillId="6" borderId="6" xfId="1" applyNumberFormat="1" applyFont="1" applyFill="1" applyBorder="1" applyAlignment="1">
      <alignment horizontal="left" vertical="top"/>
    </xf>
    <xf numFmtId="0" fontId="17" fillId="2" borderId="10" xfId="0" applyFont="1" applyFill="1" applyBorder="1" applyAlignment="1">
      <alignment horizontal="left" vertical="top"/>
    </xf>
    <xf numFmtId="0" fontId="18" fillId="0" borderId="0" xfId="0" applyFont="1" applyAlignment="1">
      <alignment horizontal="left"/>
    </xf>
    <xf numFmtId="0" fontId="10" fillId="4" borderId="12" xfId="0" applyFont="1" applyFill="1" applyBorder="1" applyAlignment="1">
      <alignment horizontal="left" vertical="top"/>
    </xf>
    <xf numFmtId="0" fontId="10" fillId="3" borderId="12" xfId="0" applyFont="1" applyFill="1" applyBorder="1" applyAlignment="1">
      <alignment horizontal="left" vertical="top"/>
    </xf>
    <xf numFmtId="165" fontId="10" fillId="0" borderId="9" xfId="0" applyNumberFormat="1" applyFont="1" applyBorder="1" applyAlignment="1">
      <alignment horizontal="left" vertical="top" wrapText="1"/>
    </xf>
    <xf numFmtId="165" fontId="10" fillId="0" borderId="9" xfId="0" applyNumberFormat="1" applyFont="1" applyBorder="1" applyAlignment="1">
      <alignment horizontal="left" vertical="center" wrapText="1"/>
    </xf>
    <xf numFmtId="165" fontId="9" fillId="6" borderId="6" xfId="1" applyNumberFormat="1" applyFont="1" applyFill="1" applyBorder="1" applyAlignment="1">
      <alignment horizontal="left" vertical="top" wrapText="1"/>
    </xf>
    <xf numFmtId="165" fontId="9" fillId="6" borderId="9" xfId="0" applyNumberFormat="1" applyFont="1" applyFill="1" applyBorder="1" applyAlignment="1">
      <alignment horizontal="left" vertical="top" wrapText="1"/>
    </xf>
    <xf numFmtId="165" fontId="10" fillId="0" borderId="6" xfId="1" applyNumberFormat="1" applyFont="1" applyBorder="1" applyAlignment="1">
      <alignment horizontal="left" vertical="top"/>
    </xf>
    <xf numFmtId="165" fontId="10" fillId="6" borderId="9" xfId="0" applyNumberFormat="1" applyFont="1" applyFill="1" applyBorder="1" applyAlignment="1">
      <alignment horizontal="left" vertical="top"/>
    </xf>
    <xf numFmtId="165" fontId="9" fillId="0" borderId="6" xfId="1" applyNumberFormat="1" applyFont="1" applyBorder="1" applyAlignment="1">
      <alignment horizontal="left" vertical="top" wrapText="1"/>
    </xf>
    <xf numFmtId="165" fontId="10" fillId="0" borderId="6" xfId="1" applyNumberFormat="1" applyFont="1" applyBorder="1" applyAlignment="1">
      <alignment horizontal="left" vertical="top" wrapText="1"/>
    </xf>
    <xf numFmtId="165" fontId="10" fillId="6" borderId="9" xfId="0" applyNumberFormat="1" applyFont="1" applyFill="1" applyBorder="1" applyAlignment="1">
      <alignment horizontal="left" vertical="top" wrapText="1"/>
    </xf>
    <xf numFmtId="165" fontId="10" fillId="6" borderId="6" xfId="1" applyNumberFormat="1" applyFont="1" applyFill="1" applyBorder="1" applyAlignment="1">
      <alignment horizontal="left" vertical="top" wrapText="1"/>
    </xf>
    <xf numFmtId="165" fontId="10" fillId="6" borderId="9" xfId="0" applyNumberFormat="1" applyFont="1" applyFill="1" applyBorder="1" applyAlignment="1">
      <alignment horizontal="left" vertical="center" wrapText="1"/>
    </xf>
    <xf numFmtId="1" fontId="10" fillId="0" borderId="6" xfId="1" applyNumberFormat="1" applyFont="1" applyBorder="1" applyAlignment="1">
      <alignment horizontal="left" vertical="top"/>
    </xf>
    <xf numFmtId="0" fontId="17" fillId="4" borderId="10" xfId="0" applyFont="1" applyFill="1" applyBorder="1" applyAlignment="1">
      <alignment horizontal="left" vertical="top"/>
    </xf>
    <xf numFmtId="0" fontId="18" fillId="6" borderId="6" xfId="0" applyFont="1" applyFill="1" applyBorder="1" applyAlignment="1">
      <alignment horizontal="left"/>
    </xf>
    <xf numFmtId="0" fontId="18" fillId="0" borderId="6" xfId="0" applyFont="1" applyBorder="1" applyAlignment="1">
      <alignment horizontal="left"/>
    </xf>
    <xf numFmtId="0" fontId="18" fillId="0" borderId="9" xfId="0" applyFont="1" applyBorder="1" applyAlignment="1">
      <alignment horizontal="left"/>
    </xf>
    <xf numFmtId="0" fontId="18" fillId="6" borderId="9" xfId="0" applyFont="1" applyFill="1" applyBorder="1" applyAlignment="1">
      <alignment horizontal="left"/>
    </xf>
    <xf numFmtId="0" fontId="10" fillId="6" borderId="12" xfId="0" applyFont="1" applyFill="1" applyBorder="1" applyAlignment="1">
      <alignment horizontal="left" vertical="center" wrapText="1"/>
    </xf>
    <xf numFmtId="0" fontId="10" fillId="6" borderId="9" xfId="0" applyFont="1" applyFill="1" applyBorder="1" applyAlignment="1">
      <alignment horizontal="left" vertical="center" wrapText="1"/>
    </xf>
    <xf numFmtId="0" fontId="9" fillId="6" borderId="9" xfId="0" applyFont="1" applyFill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9" fillId="6" borderId="12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top"/>
    </xf>
    <xf numFmtId="0" fontId="9" fillId="0" borderId="12" xfId="0" applyFont="1" applyBorder="1" applyAlignment="1">
      <alignment horizontal="left" vertical="center" wrapText="1"/>
    </xf>
    <xf numFmtId="13" fontId="10" fillId="0" borderId="6" xfId="0" applyNumberFormat="1" applyFont="1" applyBorder="1" applyAlignment="1">
      <alignment horizontal="left" vertical="top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8" xfId="0" applyFont="1" applyBorder="1" applyAlignment="1">
      <alignment horizontal="left" vertical="center" wrapText="1"/>
    </xf>
    <xf numFmtId="0" fontId="10" fillId="6" borderId="8" xfId="0" applyFont="1" applyFill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10" fillId="6" borderId="6" xfId="0" applyFont="1" applyFill="1" applyBorder="1" applyAlignment="1">
      <alignment horizontal="left" vertical="center" wrapText="1"/>
    </xf>
    <xf numFmtId="0" fontId="9" fillId="6" borderId="6" xfId="0" applyFont="1" applyFill="1" applyBorder="1" applyAlignment="1">
      <alignment horizontal="left" vertical="center" wrapText="1"/>
    </xf>
    <xf numFmtId="165" fontId="9" fillId="0" borderId="9" xfId="0" applyNumberFormat="1" applyFont="1" applyBorder="1" applyAlignment="1">
      <alignment horizontal="left" vertical="top" wrapText="1"/>
    </xf>
    <xf numFmtId="165" fontId="10" fillId="0" borderId="6" xfId="0" applyNumberFormat="1" applyFont="1" applyBorder="1" applyAlignment="1">
      <alignment horizontal="left" vertical="center" wrapText="1"/>
    </xf>
    <xf numFmtId="165" fontId="10" fillId="6" borderId="6" xfId="0" applyNumberFormat="1" applyFont="1" applyFill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9" fillId="6" borderId="8" xfId="0" applyFont="1" applyFill="1" applyBorder="1" applyAlignment="1">
      <alignment horizontal="left" vertical="center" wrapText="1"/>
    </xf>
    <xf numFmtId="0" fontId="10" fillId="3" borderId="9" xfId="0" applyFont="1" applyFill="1" applyBorder="1" applyAlignment="1">
      <alignment horizontal="left" vertical="top" wrapText="1"/>
    </xf>
    <xf numFmtId="0" fontId="10" fillId="4" borderId="9" xfId="0" applyFont="1" applyFill="1" applyBorder="1" applyAlignment="1">
      <alignment horizontal="left" vertical="top"/>
    </xf>
    <xf numFmtId="0" fontId="10" fillId="4" borderId="9" xfId="0" applyFont="1" applyFill="1" applyBorder="1" applyAlignment="1">
      <alignment horizontal="left" vertical="top" wrapText="1"/>
    </xf>
    <xf numFmtId="0" fontId="10" fillId="0" borderId="6" xfId="0" applyFont="1" applyBorder="1" applyAlignment="1">
      <alignment horizontal="left" vertical="center" wrapText="1"/>
    </xf>
    <xf numFmtId="0" fontId="10" fillId="3" borderId="9" xfId="0" applyFont="1" applyFill="1" applyBorder="1" applyAlignment="1">
      <alignment horizontal="left" vertical="top"/>
    </xf>
    <xf numFmtId="165" fontId="10" fillId="3" borderId="9" xfId="0" applyNumberFormat="1" applyFont="1" applyFill="1" applyBorder="1" applyAlignment="1">
      <alignment horizontal="left" vertical="top" wrapText="1"/>
    </xf>
    <xf numFmtId="165" fontId="10" fillId="4" borderId="9" xfId="0" applyNumberFormat="1" applyFont="1" applyFill="1" applyBorder="1" applyAlignment="1">
      <alignment horizontal="left" vertical="top"/>
    </xf>
    <xf numFmtId="165" fontId="10" fillId="4" borderId="9" xfId="0" applyNumberFormat="1" applyFont="1" applyFill="1" applyBorder="1" applyAlignment="1">
      <alignment horizontal="left" vertical="top" wrapText="1"/>
    </xf>
    <xf numFmtId="165" fontId="9" fillId="0" borderId="6" xfId="0" applyNumberFormat="1" applyFont="1" applyBorder="1" applyAlignment="1">
      <alignment horizontal="left" vertical="center" wrapText="1"/>
    </xf>
    <xf numFmtId="165" fontId="9" fillId="6" borderId="6" xfId="0" applyNumberFormat="1" applyFont="1" applyFill="1" applyBorder="1" applyAlignment="1">
      <alignment horizontal="left" vertical="center" wrapText="1"/>
    </xf>
    <xf numFmtId="0" fontId="23" fillId="7" borderId="0" xfId="0" applyFont="1" applyFill="1" applyAlignment="1">
      <alignment horizontal="left" vertical="center" wrapText="1" indent="1"/>
    </xf>
    <xf numFmtId="0" fontId="24" fillId="7" borderId="0" xfId="0" applyFont="1" applyFill="1" applyAlignment="1">
      <alignment horizontal="left" vertical="center" wrapText="1" indent="1"/>
    </xf>
    <xf numFmtId="0" fontId="25" fillId="7" borderId="0" xfId="0" applyFont="1" applyFill="1" applyAlignment="1">
      <alignment horizontal="left" vertical="center" wrapText="1" indent="1"/>
    </xf>
    <xf numFmtId="1" fontId="10" fillId="6" borderId="6" xfId="0" applyNumberFormat="1" applyFont="1" applyFill="1" applyBorder="1" applyAlignment="1">
      <alignment horizontal="left" vertical="top"/>
    </xf>
    <xf numFmtId="164" fontId="10" fillId="6" borderId="0" xfId="1" applyFont="1" applyFill="1" applyAlignment="1">
      <alignment horizontal="left" vertical="top"/>
    </xf>
    <xf numFmtId="0" fontId="10" fillId="0" borderId="6" xfId="0" applyNumberFormat="1" applyFont="1" applyBorder="1" applyAlignment="1">
      <alignment horizontal="left" vertical="top"/>
    </xf>
    <xf numFmtId="0" fontId="5" fillId="0" borderId="0" xfId="0" pivotButton="1" applyFont="1"/>
    <xf numFmtId="0" fontId="5" fillId="0" borderId="0" xfId="0" applyFont="1"/>
    <xf numFmtId="164" fontId="5" fillId="0" borderId="2" xfId="0" pivotButton="1" applyNumberFormat="1" applyFont="1" applyBorder="1"/>
    <xf numFmtId="164" fontId="5" fillId="0" borderId="2" xfId="0" applyNumberFormat="1" applyFont="1" applyBorder="1"/>
    <xf numFmtId="164" fontId="5" fillId="0" borderId="2" xfId="0" applyNumberFormat="1" applyFont="1" applyBorder="1" applyAlignment="1">
      <alignment horizontal="left"/>
    </xf>
    <xf numFmtId="164" fontId="5" fillId="0" borderId="0" xfId="1" applyFont="1"/>
    <xf numFmtId="0" fontId="27" fillId="0" borderId="2" xfId="0" applyFont="1" applyBorder="1"/>
    <xf numFmtId="164" fontId="27" fillId="0" borderId="2" xfId="1" applyFont="1" applyBorder="1"/>
    <xf numFmtId="0" fontId="28" fillId="0" borderId="2" xfId="0" applyFont="1" applyBorder="1" applyAlignment="1">
      <alignment horizontal="center"/>
    </xf>
    <xf numFmtId="164" fontId="26" fillId="6" borderId="2" xfId="0" applyNumberFormat="1" applyFont="1" applyFill="1" applyBorder="1" applyAlignment="1">
      <alignment horizontal="left"/>
    </xf>
    <xf numFmtId="164" fontId="26" fillId="6" borderId="2" xfId="0" applyNumberFormat="1" applyFont="1" applyFill="1" applyBorder="1"/>
    <xf numFmtId="164" fontId="26" fillId="0" borderId="2" xfId="0" applyNumberFormat="1" applyFont="1" applyFill="1" applyBorder="1" applyAlignment="1">
      <alignment horizontal="center"/>
    </xf>
    <xf numFmtId="0" fontId="10" fillId="6" borderId="11" xfId="0" applyFont="1" applyFill="1" applyBorder="1" applyAlignment="1">
      <alignment horizontal="left" vertical="top" wrapText="1"/>
    </xf>
    <xf numFmtId="0" fontId="10" fillId="6" borderId="5" xfId="0" applyFont="1" applyFill="1" applyBorder="1" applyAlignment="1">
      <alignment horizontal="left" vertical="top"/>
    </xf>
    <xf numFmtId="0" fontId="10" fillId="6" borderId="5" xfId="0" applyFont="1" applyFill="1" applyBorder="1" applyAlignment="1">
      <alignment horizontal="left" vertical="top" wrapText="1"/>
    </xf>
    <xf numFmtId="165" fontId="9" fillId="6" borderId="9" xfId="0" applyNumberFormat="1" applyFont="1" applyFill="1" applyBorder="1" applyAlignment="1">
      <alignment horizontal="left" vertical="center" wrapText="1"/>
    </xf>
    <xf numFmtId="165" fontId="9" fillId="0" borderId="9" xfId="0" applyNumberFormat="1" applyFont="1" applyBorder="1" applyAlignment="1">
      <alignment horizontal="left" vertical="center" wrapText="1"/>
    </xf>
    <xf numFmtId="165" fontId="10" fillId="6" borderId="5" xfId="1" applyNumberFormat="1" applyFont="1" applyFill="1" applyBorder="1" applyAlignment="1">
      <alignment horizontal="left" vertical="top"/>
    </xf>
    <xf numFmtId="1" fontId="10" fillId="6" borderId="5" xfId="1" applyNumberFormat="1" applyFont="1" applyFill="1" applyBorder="1" applyAlignment="1">
      <alignment horizontal="left" vertical="top"/>
    </xf>
    <xf numFmtId="0" fontId="29" fillId="9" borderId="6" xfId="0" applyFont="1" applyFill="1" applyBorder="1" applyAlignment="1">
      <alignment horizontal="left" vertical="top"/>
    </xf>
    <xf numFmtId="0" fontId="30" fillId="9" borderId="6" xfId="0" applyFont="1" applyFill="1" applyBorder="1" applyAlignment="1">
      <alignment horizontal="left" vertical="top" wrapText="1"/>
    </xf>
    <xf numFmtId="0" fontId="29" fillId="8" borderId="6" xfId="0" applyFont="1" applyFill="1" applyBorder="1" applyAlignment="1">
      <alignment horizontal="left" vertical="top" wrapText="1"/>
    </xf>
    <xf numFmtId="0" fontId="29" fillId="8" borderId="6" xfId="0" applyFont="1" applyFill="1" applyBorder="1" applyAlignment="1">
      <alignment horizontal="left" vertical="top"/>
    </xf>
    <xf numFmtId="0" fontId="29" fillId="9" borderId="6" xfId="0" applyFont="1" applyFill="1" applyBorder="1" applyAlignment="1">
      <alignment horizontal="left" vertical="top" wrapText="1"/>
    </xf>
    <xf numFmtId="0" fontId="30" fillId="8" borderId="6" xfId="0" applyFont="1" applyFill="1" applyBorder="1" applyAlignment="1">
      <alignment horizontal="left" vertical="top" wrapText="1"/>
    </xf>
    <xf numFmtId="0" fontId="29" fillId="9" borderId="5" xfId="0" applyFont="1" applyFill="1" applyBorder="1" applyAlignment="1">
      <alignment horizontal="left" vertical="top"/>
    </xf>
    <xf numFmtId="0" fontId="29" fillId="8" borderId="9" xfId="0" applyFont="1" applyFill="1" applyBorder="1" applyAlignment="1">
      <alignment horizontal="left" vertical="top" wrapText="1"/>
    </xf>
    <xf numFmtId="0" fontId="29" fillId="9" borderId="9" xfId="0" applyFont="1" applyFill="1" applyBorder="1" applyAlignment="1">
      <alignment horizontal="left" vertical="top"/>
    </xf>
    <xf numFmtId="0" fontId="29" fillId="8" borderId="9" xfId="0" applyFont="1" applyFill="1" applyBorder="1" applyAlignment="1">
      <alignment horizontal="left" vertical="top"/>
    </xf>
    <xf numFmtId="0" fontId="30" fillId="9" borderId="9" xfId="0" applyFont="1" applyFill="1" applyBorder="1" applyAlignment="1">
      <alignment horizontal="left" vertical="top" wrapText="1"/>
    </xf>
    <xf numFmtId="0" fontId="30" fillId="8" borderId="9" xfId="0" applyFont="1" applyFill="1" applyBorder="1" applyAlignment="1">
      <alignment horizontal="left" vertical="top" wrapText="1"/>
    </xf>
    <xf numFmtId="0" fontId="29" fillId="9" borderId="9" xfId="0" applyFont="1" applyFill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1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5" formatCode="&quot;Ksh&quot;#,##0.00"/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5" formatCode="&quot;Ksh&quot;#,##0.00"/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5" formatCode="&quot;Ksh&quot;#,##0.00"/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5" formatCode="&quot;Ksh&quot;#,##0.00"/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theme="4" tint="0.39997558519241921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Tahoma"/>
        <family val="2"/>
        <scheme val="none"/>
      </font>
      <fill>
        <patternFill patternType="solid">
          <fgColor rgb="FFD9E1F2"/>
          <bgColor rgb="FFD9E1F2"/>
        </patternFill>
      </fill>
      <alignment horizontal="left" vertical="top" textRotation="0" wrapText="0" indent="0" justifyLastLine="0" shrinkToFit="0" readingOrder="0"/>
    </dxf>
    <dxf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5" formatCode="&quot;Ksh&quot;#,##0.00"/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5" formatCode="&quot;Ksh&quot;#,##0.00"/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5" formatCode="&quot;Ksh&quot;#,##0.00"/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5" formatCode="&quot;Ksh&quot;#,##0.00"/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</dxf>
    <dxf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5" formatCode="&quot;Ksh&quot;#,##0.00"/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numFmt numFmtId="165" formatCode="&quot;Ksh&quot;#,##0.00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ahoma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9"/>
        <color auto="1"/>
        <name val="Tahoma"/>
        <family val="2"/>
        <scheme val="none"/>
      </font>
      <fill>
        <patternFill>
          <bgColor theme="0"/>
        </patternFill>
      </fill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D. MOHAMED" refreshedDate="46153.44957488426" createdVersion="8" refreshedVersion="8" minRefreshableVersion="3" recordCount="1001" xr:uid="{60159EB7-CE12-4DDD-B835-712B7EBC4C62}">
  <cacheSource type="worksheet">
    <worksheetSource name="Table4"/>
  </cacheSource>
  <cacheFields count="17">
    <cacheField name="Hosp" numFmtId="0">
      <sharedItems containsBlank="1"/>
    </cacheField>
    <cacheField name="Mno." numFmtId="0">
      <sharedItems containsString="0" containsBlank="1" containsNumber="1" containsInteger="1" minValue="200456" maxValue="26011074"/>
    </cacheField>
    <cacheField name="SVC No." numFmtId="0">
      <sharedItems containsString="0" containsBlank="1" containsNumber="1" containsInteger="1" minValue="636" maxValue="130106"/>
    </cacheField>
    <cacheField name="Name" numFmtId="0">
      <sharedItems containsBlank="1"/>
    </cacheField>
    <cacheField name="Age" numFmtId="0">
      <sharedItems containsString="0" containsBlank="1" containsNumber="1" minValue="1.25" maxValue="86"/>
    </cacheField>
    <cacheField name="age bracket" numFmtId="0">
      <sharedItems count="4">
        <s v="50-79"/>
        <s v="20-49"/>
        <s v="0-19"/>
        <s v="80+"/>
      </sharedItems>
    </cacheField>
    <cacheField name="Gender" numFmtId="0">
      <sharedItems containsBlank="1"/>
    </cacheField>
    <cacheField name="R/Ship" numFmtId="0">
      <sharedItems containsBlank="1"/>
    </cacheField>
    <cacheField name="Diagnosis" numFmtId="0">
      <sharedItems containsBlank="1" longText="1"/>
    </cacheField>
    <cacheField name="maind disorder" numFmtId="0">
      <sharedItems containsBlank="1" count="52">
        <s v="Cardiovascular and Circulatory Disorders"/>
        <s v="Chronic Diseases and Metabolic Disorders"/>
        <s v="Critical Care"/>
        <s v="Musculoskeletal and Connective Tissue Disorders"/>
        <s v="Infectious Diseases "/>
        <s v="Dermatological Disorders"/>
        <s v="Ophthalmological and ENT Disorders"/>
        <s v="Gastrointestinal and Hepatobiliary Disorders"/>
        <s v="General Surgery"/>
        <s v="Genitourinary and Reproductive Disorders"/>
        <s v="Oncology and Hematological Disorders"/>
        <s v="Injuries and Trauma"/>
        <s v="Neurological and Psychiatric Disorders"/>
        <s v="Orthopedics / Neurosurgery"/>
        <s v="Other Conditions"/>
        <s v="Pulmonology / Infectious (TB)"/>
        <s v="Respiratory Disorders"/>
        <m/>
        <s v="Ophthalmological and ENT l Health Disorders" u="1"/>
        <s v="Ophthalmological and Ophthalmological and ENT Disorders Disorders" u="1"/>
        <s v="Infectious Diseases Diseases" u="1"/>
        <s v="Infectious Diseases Diseasess" u="1"/>
        <s v="Infectious Diseases Diseases / Infectious Diseases Diseasess" u="1"/>
        <s v="Infectious Diseases Diseasess / Infectious Diseases Diseases" u="1"/>
        <s v="NeGenitourinary and Reproductive Disorders" u="1"/>
        <s v="Oncology and Hematological Disordersed" u="1"/>
        <s v="MOphthalmological and ENT Disordersal Health Disorders" u="1"/>
        <s v="MiOncology and Hematological Disordersed" u="1"/>
        <s v="Mixed" u="1"/>
        <s v="Oncology and Hematological Disorders and Hematological Disorders" u="1"/>
        <s v="Cardiology" u="1"/>
        <s v="Degenerative Joint Disorders" u="1"/>
        <s v="Dermatological Disorders / Infectious Diseases" u="1"/>
        <s v="Dermatology" u="1"/>
        <s v="Endocrinology" u="1"/>
        <s v="ENT" u="1"/>
        <s v="Gynecology" u="1"/>
        <s v="Hematologic Disorders" u="1"/>
        <s v="Hematology" u="1"/>
        <s v="Hepatology" u="1"/>
        <s v="Infectious Disease" u="1"/>
        <s v="Infectious Diseases" u="1"/>
        <s v="Infectious Diseases / Dermatological Disorders" u="1"/>
        <s v="Mental Health Disorders" u="1"/>
        <s v="Nephrology" u="1"/>
        <s v="Neurology" u="1"/>
        <s v="Oncology" u="1"/>
        <s v="Ophthalmology" u="1"/>
        <s v="Orthopedics" u="1"/>
        <s v="Psychiatry" u="1"/>
        <s v="Pulmonology" u="1"/>
        <s v="Urology" u="1"/>
      </sharedItems>
    </cacheField>
    <cacheField name="DOA" numFmtId="0">
      <sharedItems containsBlank="1"/>
    </cacheField>
    <cacheField name="DOD" numFmtId="0">
      <sharedItems containsBlank="1"/>
    </cacheField>
    <cacheField name="Hosp stay Days" numFmtId="0">
      <sharedItems containsBlank="1" containsMixedTypes="1" containsNumber="1" containsInteger="1" minValue="1" maxValue="76"/>
    </cacheField>
    <cacheField name="Approved LOU on Account (Kshs)" numFmtId="165">
      <sharedItems containsString="0" containsBlank="1" containsNumber="1" minValue="122" maxValue="2000000"/>
    </cacheField>
    <cacheField name="Month Paid" numFmtId="0">
      <sharedItems containsBlank="1"/>
    </cacheField>
    <cacheField name="Contact " numFmtId="0">
      <sharedItems containsString="0" containsBlank="1" containsNumber="1" containsInteger="1" minValue="710444129" maxValue="254798188015"/>
    </cacheField>
    <cacheField name="Column1" numFmtId="164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BLOOM HOSP"/>
    <n v="2008980"/>
    <n v="59457"/>
    <s v="Zeituna Jerono"/>
    <n v="65"/>
    <x v="0"/>
    <s v="Female 0723227442"/>
    <s v="Spouse"/>
    <s v="Acute Decompensated Heart Failure "/>
    <x v="0"/>
    <s v="03.03.2026"/>
    <s v="15.03.2026"/>
    <n v="13"/>
    <n v="369816"/>
    <s v="March"/>
    <n v="254722680420"/>
    <m/>
  </r>
  <r>
    <s v="CHERANGANY HOSP"/>
    <n v="2503002"/>
    <n v="64779"/>
    <s v="Jane Musani"/>
    <n v="64"/>
    <x v="0"/>
    <s v="Female 0703941853"/>
    <s v="Spouse"/>
    <s v="Cardiomyopathy hypertensive "/>
    <x v="0"/>
    <s v="26.02.2026"/>
    <s v="28.02.2026"/>
    <n v="2"/>
    <n v="68785"/>
    <s v="February "/>
    <m/>
    <m/>
  </r>
  <r>
    <s v="TENWEK HOSP"/>
    <n v="2019355"/>
    <n v="58943"/>
    <s v="Wesly Kibet "/>
    <n v="63"/>
    <x v="0"/>
    <s v="Male 0722482237"/>
    <s v="Contributor"/>
    <s v="Heart Failure with reduced ejection fraction "/>
    <x v="0"/>
    <s v="05.01.2026 (SHA Ksh.537,600.00)"/>
    <s v="07.01.2026"/>
    <n v="2"/>
    <n v="288980"/>
    <s v="January"/>
    <m/>
    <m/>
  </r>
  <r>
    <s v="KILOME MATERNITY"/>
    <n v="26011074"/>
    <n v="55454"/>
    <s v="David Munyao"/>
    <n v="61"/>
    <x v="0"/>
    <s v="Male "/>
    <s v="Contributor"/>
    <s v="HTN Emergency "/>
    <x v="0"/>
    <s v="05.02.2026"/>
    <s v="07.02.2026"/>
    <n v="2"/>
    <n v="38010"/>
    <s v="February "/>
    <m/>
    <m/>
  </r>
  <r>
    <s v="MWINGI SPECIALIST"/>
    <n v="2023256"/>
    <n v="57514"/>
    <s v="Agnes Mwende "/>
    <n v="58"/>
    <x v="0"/>
    <s v="Female 0726517628"/>
    <s v="Spouse"/>
    <s v="HTN Emergency /Hyperglycemia "/>
    <x v="0"/>
    <s v="24.03.2026"/>
    <s v="26.03.2026"/>
    <n v="2"/>
    <n v="55910"/>
    <s v="March"/>
    <n v="254728323604"/>
    <m/>
  </r>
  <r>
    <s v="DIANI BEACH"/>
    <n v="2003401"/>
    <n v="31863"/>
    <s v="Lawrence Kasuku"/>
    <n v="67"/>
    <x v="0"/>
    <s v="Male 0711708488"/>
    <s v="Contributor"/>
    <s v="Htn Urgency /Gastritis "/>
    <x v="0"/>
    <s v="11.01.2026"/>
    <s v="13.01.2026"/>
    <n v="2"/>
    <n v="58513"/>
    <s v="January"/>
    <m/>
    <m/>
  </r>
  <r>
    <s v="UHSF- DFMH"/>
    <n v="2407217"/>
    <n v="62010"/>
    <s v="James Murithi "/>
    <n v="59"/>
    <x v="0"/>
    <s v="Male "/>
    <s v="Contributor"/>
    <s v="HTN/Intracranial bleeding "/>
    <x v="0"/>
    <s v="05.02.2026"/>
    <s v="12.02.2026"/>
    <n v="7"/>
    <n v="246586"/>
    <s v="February "/>
    <m/>
    <m/>
  </r>
  <r>
    <s v="AGA KHAN -MOMBASA"/>
    <n v="2023530"/>
    <n v="63470"/>
    <s v="Rukia HASSAN "/>
    <n v="50"/>
    <x v="1"/>
    <s v="Female"/>
    <s v="Spouse"/>
    <s v="Htn/Palpitation "/>
    <x v="0"/>
    <s v="25.02.2026 Hospital to bill through SMART"/>
    <s v="25.02.2026"/>
    <s v="Day case"/>
    <n v="42000"/>
    <s v="February "/>
    <m/>
    <m/>
  </r>
  <r>
    <s v="NAIROBI WEST HOSP"/>
    <n v="2002779"/>
    <n v="54318"/>
    <s v="Jonathan Kiseri"/>
    <n v="70"/>
    <x v="0"/>
    <s v="Male 0724170718"/>
    <s v="Contributor"/>
    <s v="Myocardial infarction "/>
    <x v="0"/>
    <s v="11.01.2026"/>
    <s v="13.01.2026"/>
    <n v="2"/>
    <n v="424616"/>
    <s v="January"/>
    <m/>
    <m/>
  </r>
  <r>
    <s v="CONSOLATA MATHARI"/>
    <n v="2014542"/>
    <n v="15484"/>
    <s v="Pauline Waithera"/>
    <n v="57"/>
    <x v="0"/>
    <s v="Female 0724833295"/>
    <s v="Spouse"/>
    <s v="Heart failure in DM/HTN"/>
    <x v="0"/>
    <s v="16.02.2026"/>
    <s v="28.02.2026"/>
    <n v="12"/>
    <n v="194295"/>
    <s v="February "/>
    <m/>
    <m/>
  </r>
  <r>
    <s v="THE NAIROBI HOSP"/>
    <n v="2408116"/>
    <n v="18320"/>
    <s v="Beatrice Kavuu Nyambane"/>
    <n v="74"/>
    <x v="0"/>
    <s v="Female 0722881608"/>
    <s v="Spouse"/>
    <s v="? PTE /kidney Injury/DM/UTI"/>
    <x v="0"/>
    <s v="28.02.2026"/>
    <s v="11.03.2026"/>
    <n v="11"/>
    <n v="1486520"/>
    <s v="March"/>
    <n v="710444129"/>
    <m/>
  </r>
  <r>
    <s v="PANDYA HOSP"/>
    <n v="2006989"/>
    <n v="31311"/>
    <s v="Florence Kiguta"/>
    <n v="63"/>
    <x v="0"/>
    <s v="Female 0716574617"/>
    <s v="Spouse"/>
    <s v="Acute coronary syndrome in known dm/htn"/>
    <x v="0"/>
    <s v="29.03.2026"/>
    <s v="31.03.2026"/>
    <n v="2"/>
    <n v="207831"/>
    <s v="March"/>
    <n v="254722955242"/>
    <m/>
  </r>
  <r>
    <s v="PCEA CHOGORIA HOSP"/>
    <n v="2000084"/>
    <n v="17767"/>
    <s v="Frabiu Kithinji"/>
    <n v="70"/>
    <x v="0"/>
    <s v="Male 0726559225"/>
    <s v="Contributor"/>
    <s v="Acute decompensated heart failure"/>
    <x v="0"/>
    <s v="13.03.2026 (Sha41,340.00)"/>
    <s v="16.03.2026"/>
    <n v="4"/>
    <n v="15043.16"/>
    <s v="March"/>
    <n v="254725356426"/>
    <m/>
  </r>
  <r>
    <s v="AGA KAHN KISUMU"/>
    <n v="2006478"/>
    <n v="8834"/>
    <s v="Praxides Nasirumbi "/>
    <n v="64"/>
    <x v="0"/>
    <s v="Female 0720766049"/>
    <s v="Spouse"/>
    <s v="Acute decompensated heart failure /CKD/HTN"/>
    <x v="0"/>
    <s v="03.03.2026"/>
    <s v="08.03.2026"/>
    <n v="4"/>
    <n v="295319"/>
    <s v="March"/>
    <n v="254728762115"/>
    <m/>
  </r>
  <r>
    <s v="CHERANGANY HOSP"/>
    <n v="2014390"/>
    <n v="13704"/>
    <s v="Margret Nekesa"/>
    <n v="66"/>
    <x v="0"/>
    <s v="Female 0704493653"/>
    <s v="Spouse"/>
    <s v="Acute decompensated heart failure with respiratory distress"/>
    <x v="0"/>
    <s v="04.02.2026"/>
    <s v="09.02.2026"/>
    <n v="5"/>
    <n v="221810"/>
    <s v="February "/>
    <m/>
    <m/>
  </r>
  <r>
    <s v="NAIROBI WEST HOSP"/>
    <n v="2006382"/>
    <n v="100900"/>
    <s v="Sophia Ombaka"/>
    <n v="69"/>
    <x v="0"/>
    <s v="Female 0720889049"/>
    <s v="Spouse"/>
    <s v="Angina/Coronary artherosclerosis /Htn/Dm"/>
    <x v="0"/>
    <s v="07.01.2026"/>
    <s v="08.01.2026"/>
    <n v="1"/>
    <n v="194820.47"/>
    <s v="January"/>
    <m/>
    <m/>
  </r>
  <r>
    <s v="UHSF - DFWC"/>
    <n v="2407217"/>
    <n v="62010"/>
    <s v="James Murithi"/>
    <n v="59"/>
    <x v="0"/>
    <s v="Male 0720481492"/>
    <s v="Contributor"/>
    <s v="anterior aneurysm rapture"/>
    <x v="0"/>
    <s v="05.01.2026-Belated-Hosp to bill through smart"/>
    <s v="06.02.2026"/>
    <n v="32"/>
    <n v="288663.15000000002"/>
    <s v="February "/>
    <m/>
    <m/>
  </r>
  <r>
    <s v="MATER HOSP"/>
    <n v="2002558"/>
    <n v="31385"/>
    <s v="Festus Koori "/>
    <n v="64"/>
    <x v="0"/>
    <s v="Male "/>
    <s v="Contributor"/>
    <s v="Atypical angina /DM"/>
    <x v="0"/>
    <s v="24.03.2026"/>
    <s v="24.03.2026"/>
    <s v="Day case"/>
    <n v="155876"/>
    <s v="March"/>
    <n v="254726508593"/>
    <m/>
  </r>
  <r>
    <s v="AAR"/>
    <n v="2002987"/>
    <n v="60750"/>
    <s v="Hussein Mohamed"/>
    <n v="56"/>
    <x v="0"/>
    <s v="Male 0728323604"/>
    <s v="Contributor"/>
    <s v="Bilateral arteriosclerosis/myositis"/>
    <x v="0"/>
    <s v="28.03.2026-hosp to bill through smmart"/>
    <s v="28.03.2026"/>
    <s v="Ambulance"/>
    <n v="6500"/>
    <s v="March"/>
    <n v="254722271315"/>
    <m/>
  </r>
  <r>
    <s v="NAIROBI SOUTH HOSP"/>
    <n v="2002987"/>
    <n v="60750"/>
    <s v="Hussein Mohamed"/>
    <n v="56"/>
    <x v="0"/>
    <s v="Male 0728323604"/>
    <s v="Contributor"/>
    <s v="Bilateral arteriosclerosis/myositis"/>
    <x v="0"/>
    <s v="18.03.2026"/>
    <s v="28.03.2026"/>
    <n v="9"/>
    <n v="699263.64"/>
    <s v="March"/>
    <n v="254703352923"/>
    <m/>
  </r>
  <r>
    <s v="NAIROBI WEST HOSP"/>
    <n v="2020767"/>
    <n v="105075"/>
    <s v="Rebecca Waithira"/>
    <n v="52"/>
    <x v="0"/>
    <s v="Female 0729592864"/>
    <s v="Spouse"/>
    <s v="CAD/HTN/DM"/>
    <x v="0"/>
    <s v="16.02.2026"/>
    <s v="19.02.2026"/>
    <n v="3"/>
    <n v="307973"/>
    <s v="February "/>
    <m/>
    <m/>
  </r>
  <r>
    <s v="AGA KHAN MOMBASA"/>
    <n v="2018941"/>
    <n v="31738"/>
    <s v="Mary Munyao"/>
    <n v="67"/>
    <x v="0"/>
    <s v="Female 0722781164"/>
    <s v="Spouse"/>
    <s v="CCF/HTN/Ca breast"/>
    <x v="0"/>
    <s v="19.01.2026"/>
    <s v="23.01.2026"/>
    <n v="4"/>
    <n v="230024"/>
    <s v="January"/>
    <m/>
    <m/>
  </r>
  <r>
    <s v="KISUMU SPECIALIST"/>
    <n v="2001006"/>
    <n v="18347"/>
    <s v="Nicasius Limbe "/>
    <n v="69"/>
    <x v="0"/>
    <s v="Male 0768258270"/>
    <s v="Contributor"/>
    <s v="CCF/Rectal tumor/ckd/severe anaemia"/>
    <x v="0"/>
    <s v="05.01.2026"/>
    <s v="15.01.2026"/>
    <n v="10"/>
    <n v="439915"/>
    <s v="January"/>
    <m/>
    <m/>
  </r>
  <r>
    <s v="THE NAIROBI HOSP"/>
    <n v="2001379"/>
    <n v="5803"/>
    <s v="Jonathan Muia"/>
    <n v="73"/>
    <x v="0"/>
    <s v="Male"/>
    <s v="Contributor"/>
    <s v="Central Venous Obstruction"/>
    <x v="0"/>
    <s v="15.01.2026"/>
    <s v="15.01.2026"/>
    <s v="Day case"/>
    <n v="490109"/>
    <s v="January"/>
    <m/>
    <m/>
  </r>
  <r>
    <s v="THE NAIROBI HOSP"/>
    <n v="2012194"/>
    <n v="12346"/>
    <s v="Naomi Gesare"/>
    <n v="51"/>
    <x v="0"/>
    <s v="Female "/>
    <s v="Spouse"/>
    <s v="Chest Pain R/O MI R/O PE/hypotension"/>
    <x v="0"/>
    <s v="10.02.2026"/>
    <s v="17.02.2026"/>
    <n v="7"/>
    <n v="1158144"/>
    <s v="February "/>
    <m/>
    <m/>
  </r>
  <r>
    <s v="KISUMU SPECIALIST"/>
    <n v="2508078"/>
    <n v="102807"/>
    <s v="Quirinus Abonyo"/>
    <n v="61"/>
    <x v="0"/>
    <s v="Male 0723944742"/>
    <s v="Contributor"/>
    <s v="Chronic thromboembolic disease/bronchitis/BPH"/>
    <x v="0"/>
    <s v="08.01.2026"/>
    <s v="16.01.2026"/>
    <n v="8"/>
    <n v="210125"/>
    <s v="January"/>
    <m/>
    <m/>
  </r>
  <r>
    <s v="UHSF-ERH"/>
    <n v="2015860"/>
    <n v="52961"/>
    <s v="Eunice Chelagat"/>
    <n v="63"/>
    <x v="0"/>
    <s v="Female 0725908895"/>
    <s v="Spouse"/>
    <s v="CVA in htn"/>
    <x v="0"/>
    <s v="11.01.2026"/>
    <s v="14.01.2026"/>
    <n v="3"/>
    <n v="70958.53"/>
    <s v="January"/>
    <m/>
    <m/>
  </r>
  <r>
    <s v="CHERANGANY NURSING"/>
    <n v="2505041"/>
    <n v="61001"/>
    <s v="Robert Wafula"/>
    <n v="62"/>
    <x v="0"/>
    <s v="Male 0722691221"/>
    <s v="Contributor"/>
    <s v="CVA/oral thrush"/>
    <x v="0"/>
    <s v="19.03.2026"/>
    <s v="24.03.2026"/>
    <n v="5"/>
    <n v="193725"/>
    <s v="March"/>
    <n v="254720242011"/>
    <m/>
  </r>
  <r>
    <s v="REALE HOSP"/>
    <n v="2020906"/>
    <n v="103963"/>
    <s v="Siera Simwa"/>
    <n v="64"/>
    <x v="0"/>
    <s v="Male 0722834551"/>
    <s v="Contributor"/>
    <s v="CVA/TIA"/>
    <x v="0"/>
    <s v="19.01.2026"/>
    <s v="25.01.2026"/>
    <n v="7"/>
    <n v="93660"/>
    <s v="January"/>
    <m/>
    <m/>
  </r>
  <r>
    <s v="TIONY CARE"/>
    <n v="2022173"/>
    <n v="13297"/>
    <s v="Dinah Jepkorir"/>
    <n v="64"/>
    <x v="0"/>
    <s v="Female 0725234242"/>
    <s v="Spouse"/>
    <s v="CVA/toxoplasmosis in htn/RVD"/>
    <x v="0"/>
    <s v="12.01.2026"/>
    <s v="19.01.2026"/>
    <n v="7"/>
    <n v="142720"/>
    <s v="January"/>
    <m/>
    <m/>
  </r>
  <r>
    <s v="CHERANGANY NURSING"/>
    <n v="2505041"/>
    <n v="61001"/>
    <s v="Robert Wafula"/>
    <n v="62"/>
    <x v="0"/>
    <s v="Male 0722691221"/>
    <s v="Contributor "/>
    <s v="Cva\ htn emergency"/>
    <x v="0"/>
    <s v="08.03.2026"/>
    <s v="13.03.2026"/>
    <n v="5"/>
    <n v="123860"/>
    <s v="March"/>
    <n v="254127944027"/>
    <m/>
  </r>
  <r>
    <s v="REALE HOSP"/>
    <n v="2002126"/>
    <n v="10331"/>
    <s v="Jamin Manana"/>
    <n v="69"/>
    <x v="0"/>
    <s v="Male"/>
    <s v="Contributor"/>
    <s v="D. Heart failure /aki/anaemia"/>
    <x v="0"/>
    <s v="06.02.2026 Deceased"/>
    <s v="06.02.2026"/>
    <n v="1"/>
    <n v="130867"/>
    <s v="February "/>
    <m/>
    <m/>
  </r>
  <r>
    <s v="NAIROBI WEST HOSP"/>
    <n v="2004100"/>
    <n v="100573"/>
    <s v="Haji Abubakar Haji"/>
    <n v="68"/>
    <x v="0"/>
    <s v="Male 0722489731"/>
    <s v="Contributor"/>
    <s v="DCM/EF-207/dilated Lv cavity"/>
    <x v="0"/>
    <s v="03.02.2026 SHA 56,000.00"/>
    <s v="06.02.2026"/>
    <n v="3"/>
    <n v="344000"/>
    <s v="February "/>
    <m/>
    <m/>
  </r>
  <r>
    <s v="NAIROBI WEST HOSP"/>
    <n v="2004100"/>
    <n v="100573"/>
    <s v="Haji Abubakar Haji"/>
    <n v="68"/>
    <x v="0"/>
    <s v="Male"/>
    <s v="Contributor"/>
    <s v="DCM/Lead displacement"/>
    <x v="0"/>
    <s v="28.01.2026"/>
    <s v="28.01.2026"/>
    <n v="1"/>
    <n v="30394"/>
    <s v="January"/>
    <m/>
    <m/>
  </r>
  <r>
    <s v="ST LUKE O&amp;T"/>
    <n v="2014390"/>
    <n v="13704"/>
    <s v="Margaret Nekesa "/>
    <n v="66"/>
    <x v="0"/>
    <s v="Female -704493653"/>
    <s v="Spouse"/>
    <s v="Decxompensated HF/DM/HTN/Gastritis"/>
    <x v="0"/>
    <s v="17.02.2026-DECEASED"/>
    <s v="21.02.2026"/>
    <n v="3"/>
    <n v="460510.8"/>
    <s v="February "/>
    <m/>
    <m/>
  </r>
  <r>
    <s v="AGA KAHN MOMBASA"/>
    <n v="2020141"/>
    <n v="16148"/>
    <s v="Aloysius MwasarU"/>
    <n v="65"/>
    <x v="0"/>
    <s v="Male 0722864285"/>
    <s v="Contributor"/>
    <s v="Dilated Cardiomyopathy"/>
    <x v="0"/>
    <s v="03.03.2026"/>
    <s v="06.03.2026"/>
    <n v="3"/>
    <n v="243679"/>
    <s v="March"/>
    <n v="254728238081"/>
    <m/>
  </r>
  <r>
    <s v="ST LUKE O&amp;T"/>
    <n v="2005052"/>
    <n v="13711"/>
    <s v="Esther Songok"/>
    <n v="57"/>
    <x v="0"/>
    <s v="Female 0726588831"/>
    <s v="Spouse"/>
    <s v="DVT"/>
    <x v="0"/>
    <s v="06.02.2026 (Sha-Ksh 15,680.00)"/>
    <s v="10.02.2026"/>
    <n v="4"/>
    <n v="125590.39999999999"/>
    <s v="February "/>
    <m/>
    <m/>
  </r>
  <r>
    <s v="MATER HOSP"/>
    <n v="202209"/>
    <n v="18145"/>
    <s v="Joseph Mutemi "/>
    <n v="66"/>
    <x v="0"/>
    <s v="Male "/>
    <s v="Contributor"/>
    <s v="Dysonea /Chest Injury due to MI"/>
    <x v="0"/>
    <s v="02.01.2026 Deceased"/>
    <s v="04.01.2026"/>
    <n v="2"/>
    <n v="21275.59"/>
    <s v="January"/>
    <m/>
    <m/>
  </r>
  <r>
    <s v="BLOOM HOSP"/>
    <n v="2017821"/>
    <n v="18146"/>
    <s v="Jeremia Kiplangat"/>
    <n v="64"/>
    <x v="0"/>
    <s v="Male 0722613828"/>
    <s v="Contributor"/>
    <s v="Essential (primary) HTN/bronchial asthmatic attack"/>
    <x v="0"/>
    <s v="01.03.2026"/>
    <s v="05.03.2026"/>
    <n v="4"/>
    <n v="192101.8"/>
    <s v="March"/>
    <n v="254722862647"/>
    <m/>
  </r>
  <r>
    <s v="KISUMU SPECIALISTS "/>
    <n v="2004274"/>
    <n v="12673"/>
    <s v="Leonard Onyango Orwa"/>
    <n v="68"/>
    <x v="0"/>
    <s v="Male 0721334599"/>
    <s v="Contributor"/>
    <s v="Extensive dvt lt limb in known ca rectal"/>
    <x v="0"/>
    <s v="12.03.2026"/>
    <s v="16.03.2026"/>
    <n v="4"/>
    <n v="107761"/>
    <s v="March"/>
    <n v="254721929930"/>
    <m/>
  </r>
  <r>
    <s v="NAIROBI WEST HOSP"/>
    <n v="2000084"/>
    <n v="17767"/>
    <s v="Flabiu Emmauel "/>
    <n v="69"/>
    <x v="0"/>
    <s v="Male 0726559225"/>
    <s v="Contributor"/>
    <s v="Heart failure /hypertensive urgency/acs"/>
    <x v="0"/>
    <s v="25.03.2026 SHA 81,900"/>
    <s v="27.03.2026"/>
    <n v="2"/>
    <n v="223578"/>
    <s v="March"/>
    <n v="254725361028"/>
    <m/>
  </r>
  <r>
    <s v="UHSF -DFMH"/>
    <n v="2005082"/>
    <n v="101741"/>
    <s v="Margeret Adhiambo "/>
    <n v="68"/>
    <x v="0"/>
    <s v="Female 0724726162"/>
    <s v="Spouse"/>
    <s v="Heart Failure lt carotid body tumour /HTN/AKI"/>
    <x v="0"/>
    <s v="04.01.2026"/>
    <s v="12.01.2026"/>
    <n v="8"/>
    <n v="133798"/>
    <s v="January"/>
    <m/>
    <m/>
  </r>
  <r>
    <s v="THE KAREN HOSP"/>
    <n v="2015941"/>
    <n v="55499"/>
    <s v="Trizah Kinyua"/>
    <n v="64"/>
    <x v="0"/>
    <s v="Female"/>
    <s v="Spouse"/>
    <s v="Heart failure with reduced ejection fraction"/>
    <x v="0"/>
    <s v="09.03.2026 (sha 78,400.00)"/>
    <s v="09.03.2026"/>
    <s v="Day case"/>
    <n v="61600"/>
    <s v="March"/>
    <n v="254721396616"/>
    <m/>
  </r>
  <r>
    <s v="THE KAREN HOSP"/>
    <n v="2009652"/>
    <n v="10110"/>
    <s v="Eunice Nyamboke Kamwana"/>
    <n v="56"/>
    <x v="0"/>
    <s v="Female 0725371804"/>
    <s v="Spouse"/>
    <s v="HF/Arterial fibrillation/ dilated cardiomyopathy /confusion r/o TIA"/>
    <x v="0"/>
    <s v="06.03.2026Deceased Cover Exh (Sha 1,200,000.00)"/>
    <s v="29.03.2026"/>
    <n v="21"/>
    <n v="2000000"/>
    <s v="March"/>
    <n v="254721872105"/>
    <m/>
  </r>
  <r>
    <s v="KISUMU SPECIALISTS "/>
    <n v="2407114"/>
    <n v="67490"/>
    <s v="Stanslaus Ojiambo"/>
    <n v="58"/>
    <x v="0"/>
    <s v="Male 0720453324"/>
    <s v="Contributor "/>
    <s v="HF/convulsive disorder"/>
    <x v="0"/>
    <s v="08.03.2026"/>
    <s v="13.03.2026"/>
    <n v="5"/>
    <n v="343288"/>
    <s v="March"/>
    <n v="254722680420"/>
    <m/>
  </r>
  <r>
    <s v="DIANI BEACH"/>
    <n v="2022134"/>
    <n v="32050"/>
    <s v="Fatuma Nzala"/>
    <n v="54"/>
    <x v="0"/>
    <s v="Female 0724951015"/>
    <s v="Spouse"/>
    <s v="Htn"/>
    <x v="0"/>
    <s v="27.01.2026"/>
    <s v="30.01.2026"/>
    <n v="3"/>
    <n v="99489"/>
    <s v="January"/>
    <m/>
    <m/>
  </r>
  <r>
    <s v="NAIROBI WEST HOSP"/>
    <n v="2012898"/>
    <n v="69679"/>
    <s v="Esther Wanjiru "/>
    <n v="49"/>
    <x v="1"/>
    <s v="Female 0724125679"/>
    <s v="Spouse"/>
    <s v="HTN Crisis/DKA"/>
    <x v="0"/>
    <s v="03.03.2026"/>
    <s v="09.03.2026"/>
    <n v="6"/>
    <n v="324380"/>
    <s v="March"/>
    <n v="254758571773"/>
    <m/>
  </r>
  <r>
    <s v="JOCHAM HOSP"/>
    <n v="2002470"/>
    <n v="18751"/>
    <s v="Mohamed Morowa"/>
    <n v="61"/>
    <x v="0"/>
    <s v="Male 0722262639"/>
    <s v="Contributor"/>
    <s v="Htn urgency"/>
    <x v="0"/>
    <s v="27.02.2026"/>
    <s v="02.03.2026"/>
    <n v="3"/>
    <n v="63113"/>
    <s v="March"/>
    <n v="254722864285"/>
    <m/>
  </r>
  <r>
    <s v="DIANI BEACH HOSP"/>
    <n v="2014079"/>
    <n v="32310"/>
    <s v="Agata Karimi"/>
    <n v="54"/>
    <x v="0"/>
    <s v="Female 0722952865"/>
    <s v="Spouse"/>
    <s v="HTN urgency"/>
    <x v="0"/>
    <s v="16.03.2026"/>
    <s v="18.03.2026"/>
    <n v="2"/>
    <n v="114260"/>
    <s v="March"/>
    <n v="254701537686"/>
    <m/>
  </r>
  <r>
    <s v="AGA KAHN KISUMU"/>
    <n v="2019367"/>
    <n v="14101"/>
    <s v="Roselyn Achieng "/>
    <n v="64"/>
    <x v="0"/>
    <s v="Female 0721925568"/>
    <s v="Spouse "/>
    <s v="Htn urgency /anaemia"/>
    <x v="0"/>
    <s v="08.03.2026"/>
    <s v="13.03.2026"/>
    <n v="5"/>
    <n v="378364"/>
    <s v="March"/>
    <n v="254721729511"/>
    <m/>
  </r>
  <r>
    <s v="ST JOSEPH SHELTER OF HOPE"/>
    <n v="2023119"/>
    <n v="54726"/>
    <s v="Prudential Wanjala"/>
    <n v="58"/>
    <x v="0"/>
    <s v="Female 0725356426"/>
    <s v="Spouse"/>
    <s v="Htn urgency /dengue fever"/>
    <x v="0"/>
    <s v="19.03.2026"/>
    <s v="22.03.2026"/>
    <n v="3"/>
    <n v="64450"/>
    <s v="March"/>
    <n v="254717992592"/>
    <m/>
  </r>
  <r>
    <s v="AIC KIJABE "/>
    <n v="2001437"/>
    <n v="103278"/>
    <s v="Peter Kisompe"/>
    <n v="62"/>
    <x v="0"/>
    <s v="Male 0722495839"/>
    <s v="Contributor"/>
    <s v="Htn Urgency Haemorrhagic stroke"/>
    <x v="0"/>
    <s v="18.03.2026 (sha39,760.00)"/>
    <s v="23.03.2026"/>
    <n v="5"/>
    <n v="35381"/>
    <s v="March"/>
    <n v="254721576033"/>
    <m/>
  </r>
  <r>
    <s v="PANDYA HOSP"/>
    <n v="2020249"/>
    <n v="19102"/>
    <s v="Solomon Assa"/>
    <n v="58"/>
    <x v="0"/>
    <s v="Male 0722862647"/>
    <s v="Contributor"/>
    <s v="HTN Urgency/ newly diagnosed dm"/>
    <x v="0"/>
    <s v="05.03.2026"/>
    <s v="11.03.2026"/>
    <n v="6"/>
    <n v="284948"/>
    <s v="March"/>
    <n v="254722845819"/>
    <m/>
  </r>
  <r>
    <s v="DAINI BEACH HOSP"/>
    <n v="2407407"/>
    <n v="67066"/>
    <s v="Mwalimu Mpendakula"/>
    <n v="60"/>
    <x v="0"/>
    <s v="Male 0722329280"/>
    <s v="Contributor"/>
    <s v="Htn Urgency/gout/lliver steatosis"/>
    <x v="0"/>
    <s v="31.01.2026"/>
    <s v="04.02.2026"/>
    <n v="4"/>
    <n v="151582"/>
    <s v="February "/>
    <m/>
    <m/>
  </r>
  <r>
    <s v="CHERANGANY HOSP"/>
    <n v="2503001"/>
    <n v="64779"/>
    <s v="John Kwemboi Maiben"/>
    <n v="65"/>
    <x v="0"/>
    <s v="Male 0720735238"/>
    <s v="Contributor"/>
    <s v="Htn urgency/Haematuria ?bph"/>
    <x v="0"/>
    <s v="15.02.2026"/>
    <s v="19.02.2026"/>
    <n v="4"/>
    <n v="279559"/>
    <s v="February "/>
    <m/>
    <m/>
  </r>
  <r>
    <s v="UHSF-DFMH"/>
    <n v="2001255"/>
    <n v="100198"/>
    <s v="Richard Muchiri"/>
    <n v="79"/>
    <x v="0"/>
    <s v="Male 0712732982"/>
    <s v="Contributor"/>
    <s v="Htn/BPH/Convulsive Disorder"/>
    <x v="0"/>
    <s v="04.03.2026"/>
    <s v="06.03.2026"/>
    <n v="2"/>
    <n v="35739.449999999997"/>
    <s v="March"/>
    <n v="254721925568"/>
    <m/>
  </r>
  <r>
    <s v="ST KIJABE HOSP"/>
    <n v="2003072"/>
    <n v="104118"/>
    <s v="Charles Kihara"/>
    <n v="66"/>
    <x v="0"/>
    <s v="Male 0724147435"/>
    <s v="Contributor"/>
    <s v="Htn/dm prostate Ca with met to spine/ Bilateral neck abscess/ post decompression/ fusion(26.01.26)"/>
    <x v="0"/>
    <s v="10.02.2026 (SHA 311,360.00)"/>
    <s v="26.02.2026"/>
    <n v="15"/>
    <n v="478348.63"/>
    <s v="February "/>
    <m/>
    <m/>
  </r>
  <r>
    <s v="NAIROBI SOUTH HOSP"/>
    <n v="2002660"/>
    <n v="10320"/>
    <s v="Bonfas Chianga "/>
    <n v="71"/>
    <x v="0"/>
    <s v="Male 0729562568"/>
    <s v="Contributor"/>
    <s v="htn/dm/ R/O Ischemic Heart Disease/severe arthritis both knees"/>
    <x v="0"/>
    <s v="25.02.2026"/>
    <s v="10.03.2026"/>
    <n v="13"/>
    <n v="762725.45"/>
    <s v="March"/>
    <n v="254745782670"/>
    <m/>
  </r>
  <r>
    <s v="NAIROBI WEST HOSP"/>
    <n v="2009312"/>
    <n v="18253"/>
    <s v="Caroline Wanjiku"/>
    <n v="61"/>
    <x v="0"/>
    <s v="Female 0722466355"/>
    <s v="Spouse"/>
    <s v="htn/dm/acute decompensated"/>
    <x v="0"/>
    <s v="10.01.2026"/>
    <s v="15.01.2026"/>
    <n v="5"/>
    <n v="150667"/>
    <s v="January"/>
    <m/>
    <m/>
  </r>
  <r>
    <s v="UHSF - NRH"/>
    <n v="2015968"/>
    <n v="32115"/>
    <s v="Joseph Mbavu"/>
    <n v="67"/>
    <x v="0"/>
    <s v="Male 0721411025"/>
    <s v="Contributor"/>
    <s v="Htn/dm/anaemia/AKI"/>
    <x v="0"/>
    <s v="19.02.2026"/>
    <s v="21.02.2026"/>
    <n v="2"/>
    <n v="46091"/>
    <s v="February "/>
    <m/>
    <m/>
  </r>
  <r>
    <s v="BLOOM HOSP"/>
    <n v="2011024"/>
    <n v="14180"/>
    <s v="Jane Chepchirchir"/>
    <n v="53"/>
    <x v="0"/>
    <s v="Female 0787537260"/>
    <s v="Spouse"/>
    <s v="Htn/Electrolyte imbalance/Gastritis"/>
    <x v="0"/>
    <s v="20.01.2026"/>
    <s v="22.01.2026"/>
    <n v="2"/>
    <n v="71081.7"/>
    <s v="January"/>
    <m/>
    <m/>
  </r>
  <r>
    <s v="UHSF-DFMH"/>
    <n v="2004007"/>
    <n v="31602"/>
    <s v="Martini Gichuru"/>
    <n v="67"/>
    <x v="0"/>
    <s v="Male 0720718885"/>
    <s v="Contributor"/>
    <s v="HTN/Met Ca prostate/ rectal vescie fistula/ Urosepsis"/>
    <x v="0"/>
    <s v="28.01.2026"/>
    <s v="19.03.2026"/>
    <n v="49"/>
    <n v="841975.53"/>
    <s v="March"/>
    <n v="254720133344"/>
    <m/>
  </r>
  <r>
    <s v="NAIROBI WEST HOSP"/>
    <n v="2009724"/>
    <n v="14672"/>
    <s v="Priscila Adhiambo"/>
    <n v="65"/>
    <x v="0"/>
    <s v="Female 0723975317"/>
    <s v="Spouse"/>
    <s v="HTN/PE r/o HF r/o pleural effusion"/>
    <x v="0"/>
    <s v="17.03.2026"/>
    <s v="18.03.2026"/>
    <n v="1"/>
    <n v="53066.17"/>
    <s v="March"/>
    <n v="254715397690"/>
    <m/>
  </r>
  <r>
    <s v="ST MARYS MISSION-ELEMENTAITA"/>
    <n v="2004218"/>
    <n v="15214"/>
    <s v="Stephen Mbatia"/>
    <n v="67"/>
    <x v="0"/>
    <s v="Male"/>
    <s v="Contributor"/>
    <s v="Htn/Venous thrombosis"/>
    <x v="0"/>
    <s v="19.02.2026"/>
    <s v="19.02.2026"/>
    <s v="Day case"/>
    <n v="25000"/>
    <s v="February "/>
    <m/>
    <m/>
  </r>
  <r>
    <s v="UHSF-NRH"/>
    <n v="2016153"/>
    <n v="62948"/>
    <s v="John Nyabangi"/>
    <n v="62"/>
    <x v="0"/>
    <s v="Male 0720256563"/>
    <s v="Contributor "/>
    <s v="Hypertensive urgency"/>
    <x v="0"/>
    <s v="07.03.2026"/>
    <s v="11.03.2026"/>
    <n v="4"/>
    <n v="58968.12"/>
    <s v="March"/>
    <n v="254720308687"/>
    <m/>
  </r>
  <r>
    <s v="Nanyuki Cottage"/>
    <n v="2002927"/>
    <n v="16219"/>
    <s v="Yusuf Abdi"/>
    <n v="72"/>
    <x v="0"/>
    <s v="Male 0721538876"/>
    <s v="Contributor"/>
    <s v="Hypertensive urgency"/>
    <x v="0"/>
    <s v="27.01.2026"/>
    <s v="31.01.2026"/>
    <n v="4"/>
    <n v="180455"/>
    <s v="January"/>
    <m/>
    <m/>
  </r>
  <r>
    <s v="RAPHA HOSP"/>
    <n v="2508190"/>
    <n v="21257"/>
    <s v="Magdalene Nduku"/>
    <n v="55"/>
    <x v="0"/>
    <s v="Female 0728762115"/>
    <s v="Spouse"/>
    <s v="Hypertensive urgency? cva"/>
    <x v="0"/>
    <s v="09.03.2026"/>
    <s v="11.03.2026"/>
    <n v="2"/>
    <n v="36880"/>
    <s v="March"/>
    <n v="722895363"/>
    <m/>
  </r>
  <r>
    <s v="UHSF-DFMH"/>
    <n v="2508190"/>
    <n v="21257"/>
    <s v="Magdalene Nduku"/>
    <n v="55"/>
    <x v="0"/>
    <s v="Female 0728762115"/>
    <s v="Spouse"/>
    <s v="Hypertensive urgency? Syncope? cause"/>
    <x v="0"/>
    <s v="11.03.2026"/>
    <s v="18.03.2026"/>
    <n v="7"/>
    <n v="117625"/>
    <s v="March"/>
    <n v="254721468007"/>
    <m/>
  </r>
  <r>
    <s v="UHSF- DFMH"/>
    <n v="2009676"/>
    <n v="101152"/>
    <s v="Grace Nyaguthi"/>
    <n v="68"/>
    <x v="0"/>
    <s v="Female"/>
    <s v="Spouse"/>
    <s v="Ischaemic Heart disease"/>
    <x v="0"/>
    <s v="30.01.2026-Belated- billed through smart on 06.02.26"/>
    <s v="06.02.2026"/>
    <n v="7"/>
    <n v="76880"/>
    <s v="February "/>
    <m/>
    <m/>
  </r>
  <r>
    <s v="SILOAM HOSP"/>
    <n v="2020971"/>
    <n v="13630"/>
    <s v="Ann Wanjiru "/>
    <n v="64"/>
    <x v="0"/>
    <s v="Female 0711511665"/>
    <s v="Spouse"/>
    <s v="Ischaemic in HTN/DM"/>
    <x v="0"/>
    <s v="24.03.2026"/>
    <s v="26.03.2026"/>
    <n v="2"/>
    <n v="63985"/>
    <s v="March"/>
    <n v="254717992592"/>
    <m/>
  </r>
  <r>
    <s v="THE KAREN HOSP"/>
    <n v="2009676"/>
    <n v="101152"/>
    <s v="Grace Nyaguthi"/>
    <n v="68"/>
    <x v="0"/>
    <s v="Female"/>
    <s v="Spouse"/>
    <s v="IschaemicHeart disease"/>
    <x v="0"/>
    <s v="07.02.2026"/>
    <s v="07.02.2026"/>
    <s v="Day case"/>
    <n v="142320"/>
    <s v="February "/>
    <m/>
    <m/>
  </r>
  <r>
    <s v="AGA KHAN -KISUMU"/>
    <n v="2003220"/>
    <n v="16008"/>
    <s v="Tom Miheso"/>
    <n v="65"/>
    <x v="0"/>
    <s v="Male 0714402097"/>
    <s v="Contributor"/>
    <s v="Ischeamic heart disease"/>
    <x v="0"/>
    <s v="02.02.2026"/>
    <s v="07.02.2026"/>
    <n v="5"/>
    <n v="263764"/>
    <s v="February "/>
    <m/>
    <m/>
  </r>
  <r>
    <s v="THE KAREN HOSP"/>
    <n v="2001766"/>
    <n v="100193"/>
    <s v="Henry Mulwa"/>
    <n v="70"/>
    <x v="0"/>
    <s v="Male 0722608503"/>
    <s v="Contributor"/>
    <s v="Ischemic heart disease"/>
    <x v="0"/>
    <s v="17.02.2026"/>
    <s v="19.02.2026"/>
    <n v="2"/>
    <n v="241900"/>
    <s v="February "/>
    <m/>
    <m/>
  </r>
  <r>
    <s v="AGA KAHN KISUMU"/>
    <n v="2011288"/>
    <n v="52601"/>
    <s v="Jenipher Sande"/>
    <n v="59"/>
    <x v="0"/>
    <s v="Female 0725040021"/>
    <s v="Spouse"/>
    <s v="Left leg varicose vein"/>
    <x v="0"/>
    <s v="27.02.2026"/>
    <s v="02.03.2026"/>
    <n v="3"/>
    <n v="321878"/>
    <s v="March"/>
    <n v="254721542824"/>
    <m/>
  </r>
  <r>
    <s v="NAIROBI WEST HOSP"/>
    <n v="2014318"/>
    <n v="61208"/>
    <s v="Paul Waweru"/>
    <n v="62"/>
    <x v="0"/>
    <s v="Male 0726386129"/>
    <s v="Contributor"/>
    <s v="MI/CKD/Sepsis/Dengue fever"/>
    <x v="0"/>
    <s v="22.02.2026"/>
    <s v="24.02.2026"/>
    <n v="2"/>
    <n v="182486"/>
    <s v="February "/>
    <m/>
    <m/>
  </r>
  <r>
    <s v="NAIROBI WEST HOSP"/>
    <n v="2003782"/>
    <n v="10152"/>
    <s v="Hussain Abdi Bulle"/>
    <n v="68"/>
    <x v="0"/>
    <s v="Male 0722847193"/>
    <s v="Contributor"/>
    <s v="MI/dm/htn"/>
    <x v="0"/>
    <s v="23.01.2026"/>
    <s v="28.01.2026"/>
    <n v="5"/>
    <n v="310767"/>
    <s v="January"/>
    <m/>
    <m/>
  </r>
  <r>
    <s v="PREMIER HOSP"/>
    <n v="2407161"/>
    <n v="104386"/>
    <s v="Deheso Isinino Ali Adow"/>
    <n v="60"/>
    <x v="0"/>
    <s v="Female 0722602252"/>
    <s v="Spouse"/>
    <s v="Paroxysmal hemicron aneurism"/>
    <x v="0"/>
    <s v="09.01.2026"/>
    <s v="13.01.2026"/>
    <n v="4"/>
    <n v="187681.97"/>
    <s v="January"/>
    <m/>
    <m/>
  </r>
  <r>
    <s v="AGA KAHN KISUMU"/>
    <n v="2407114"/>
    <n v="67490"/>
    <s v="Stanslaus Ojiambo"/>
    <n v="58"/>
    <x v="0"/>
    <s v="Male 0720453324"/>
    <s v="Contributor"/>
    <s v="PE Massive with dvt"/>
    <x v="0"/>
    <s v="13.03.2026"/>
    <s v="17.03.2026"/>
    <n v="4"/>
    <n v="596571"/>
    <s v="March"/>
    <n v="254759231438"/>
    <m/>
  </r>
  <r>
    <s v="UHSF -DFMH"/>
    <n v="2003903"/>
    <n v="12834"/>
    <s v="Mark Ndambuki"/>
    <n v="67"/>
    <x v="0"/>
    <s v="Male 0722252523"/>
    <s v="Contributor"/>
    <s v="Pulmonary htn"/>
    <x v="0"/>
    <s v="13.01.2026"/>
    <s v="16.01.2026"/>
    <n v="3"/>
    <n v="55674"/>
    <s v="January"/>
    <m/>
    <m/>
  </r>
  <r>
    <s v="UHSF-DFMH"/>
    <n v="2001529"/>
    <n v="4598"/>
    <s v="Peter Macharia"/>
    <n v="72"/>
    <x v="0"/>
    <s v="Male 0710209301"/>
    <s v="Contributor"/>
    <s v="Pulmonary htn/severe anaemia"/>
    <x v="0"/>
    <s v="12.03.2026"/>
    <s v="26.03.2026"/>
    <n v="14"/>
    <n v="224510.89"/>
    <s v="March"/>
    <n v="254722975509"/>
    <m/>
  </r>
  <r>
    <s v="UHSF- DFMH"/>
    <n v="2502014"/>
    <n v="54467"/>
    <s v="Felix Muthoka"/>
    <n v="63"/>
    <x v="0"/>
    <s v="Male"/>
    <s v="Contributor"/>
    <s v="Rvd/liver injury/pneumonia"/>
    <x v="0"/>
    <s v="27.01.2026-Hospital to Bill Through Smart"/>
    <s v="02.02.2026"/>
    <n v="7"/>
    <n v="367854.81"/>
    <s v="February "/>
    <m/>
    <m/>
  </r>
  <r>
    <s v="THE KAREN HOSP"/>
    <n v="2507370"/>
    <n v="62636"/>
    <s v="Susan Muthoni"/>
    <n v="50"/>
    <x v="1"/>
    <s v="Female 0721140114"/>
    <s v="Spouse"/>
    <s v="Severe Pulmonary htn"/>
    <x v="0"/>
    <s v="02.02.2026"/>
    <s v="04.02.2026"/>
    <n v="2"/>
    <n v="121248"/>
    <s v="February "/>
    <m/>
    <m/>
  </r>
  <r>
    <s v="AGA KHAN MOMBASA"/>
    <n v="2020047"/>
    <n v="83597"/>
    <s v="Mwanamkuu Idd"/>
    <n v="8"/>
    <x v="2"/>
    <s v="Female 0114750084"/>
    <s v="Child"/>
    <s v="SLE/Heart failure"/>
    <x v="0"/>
    <s v="10.01.2026"/>
    <s v="17.01.2026"/>
    <n v="6"/>
    <n v="298952.53000000003"/>
    <s v="January"/>
    <m/>
    <m/>
  </r>
  <r>
    <s v="AGA KHAN -KISUMU"/>
    <n v="2005358"/>
    <n v="8589"/>
    <s v="Alice Akeyo"/>
    <n v="66"/>
    <x v="0"/>
    <s v="Female"/>
    <s v="Spouse"/>
    <s v="Stroke"/>
    <x v="0"/>
    <s v="27.01.2026"/>
    <s v="02.02.2026"/>
    <n v="6"/>
    <n v="246983"/>
    <s v="February "/>
    <m/>
    <m/>
  </r>
  <r>
    <s v="THE NAIROBI HOSP"/>
    <n v="2010107"/>
    <n v="18913"/>
    <s v="Margaret Kegode"/>
    <n v="50"/>
    <x v="1"/>
    <s v="Female 0721570563"/>
    <s v="Spouse"/>
    <s v="pneumonia/ ? thromboembolism "/>
    <x v="0"/>
    <s v="15.03.2026"/>
    <s v="23.03.2026"/>
    <n v="8"/>
    <n v="761234"/>
    <s v="March"/>
    <n v="254722828789"/>
    <m/>
  </r>
  <r>
    <s v="SILOAM HOSP"/>
    <n v="2021058"/>
    <n v="58340"/>
    <s v="Mary Cheptonui"/>
    <n v="60"/>
    <x v="0"/>
    <s v="Female 0729861927"/>
    <s v="Spouse"/>
    <s v="Diabetes mellitus with hyperglycemia"/>
    <x v="1"/>
    <s v="14.03.2026"/>
    <s v="18.03.2026"/>
    <n v="4"/>
    <n v="72744.02"/>
    <s v="March"/>
    <n v="254790911593"/>
    <m/>
  </r>
  <r>
    <s v="UHSF-DFMH"/>
    <n v="2002495"/>
    <n v="18530"/>
    <s v="James Ngozi "/>
    <n v="65"/>
    <x v="0"/>
    <s v="Male 0722653915"/>
    <s v="Contributor"/>
    <s v="DKA /DM/ Anaemia/ htn/aki"/>
    <x v="1"/>
    <s v="02.01.2026 "/>
    <s v="17.03.2026"/>
    <n v="75"/>
    <n v="1151634.9099999999"/>
    <s v="March"/>
    <n v="254720133344"/>
    <m/>
  </r>
  <r>
    <s v="ST JOSEPH SHELTER"/>
    <n v="2013477"/>
    <n v="107739"/>
    <s v="Joashy Mbogholi"/>
    <n v="45"/>
    <x v="1"/>
    <s v="Male 0721625808"/>
    <s v="Contributor"/>
    <s v="DKA in newly diagnosed dm"/>
    <x v="1"/>
    <s v="23.02.2026"/>
    <s v="28.02.2026"/>
    <n v="5"/>
    <n v="141118"/>
    <s v="February "/>
    <m/>
    <m/>
  </r>
  <r>
    <s v="BLOOM HOSP"/>
    <n v="2004334"/>
    <n v="56626"/>
    <s v="Billy Kamau"/>
    <n v="67"/>
    <x v="0"/>
    <s v="Male 0720981719"/>
    <s v="Contributor"/>
    <s v="Dka/dm/hyperglycemia"/>
    <x v="1"/>
    <s v="09.03.2026"/>
    <s v="17.03.2026"/>
    <n v="8"/>
    <n v="358925"/>
    <s v="March"/>
    <n v="254715565766"/>
    <m/>
  </r>
  <r>
    <s v="UHSF-NRH"/>
    <n v="2020064"/>
    <n v="55459"/>
    <s v="Hellen Shadora"/>
    <n v="62"/>
    <x v="0"/>
    <s v="Female 0720890592"/>
    <s v="Spouse"/>
    <s v="Dm/Cellulitis rt foot"/>
    <x v="1"/>
    <s v="15.02.2026"/>
    <s v="17.03.2026"/>
    <n v="30"/>
    <n v="426456"/>
    <s v="March"/>
    <n v="254759231438"/>
    <m/>
  </r>
  <r>
    <s v="THE NAIROBI HOSP"/>
    <n v="2001578"/>
    <n v="18380"/>
    <s v="Thomas Kimuyu"/>
    <n v="62"/>
    <x v="0"/>
    <s v="Male"/>
    <s v="Contributor"/>
    <s v="Dm/Esrd"/>
    <x v="1"/>
    <s v="11.02.2026-Hosp to bill through smart"/>
    <s v="11.02.2026"/>
    <s v="Dialysis"/>
    <n v="80736"/>
    <s v="February "/>
    <m/>
    <m/>
  </r>
  <r>
    <s v="BLOOM HOSP"/>
    <n v="2008980"/>
    <n v="59457"/>
    <s v="Zeitan Jerono"/>
    <n v="65"/>
    <x v="0"/>
    <s v="Female 0723227442"/>
    <s v="Spouse"/>
    <s v="Dm/htn"/>
    <x v="1"/>
    <s v="09.01.2026"/>
    <s v="13.01.2026"/>
    <n v="4"/>
    <n v="108913"/>
    <s v="January"/>
    <m/>
    <m/>
  </r>
  <r>
    <s v="BLOOM HOSP"/>
    <n v="2012273"/>
    <n v="9967"/>
    <s v="Fredrick Gachau"/>
    <n v="67"/>
    <x v="0"/>
    <s v="Male  0742144804"/>
    <s v="Contributor"/>
    <s v="DM/HTN /chest pain"/>
    <x v="1"/>
    <s v="23.02.2026"/>
    <s v="26.02.2026"/>
    <n v="3"/>
    <n v="135746.5"/>
    <s v="February "/>
    <m/>
    <m/>
  </r>
  <r>
    <s v="UHSF-DFMH"/>
    <n v="2001273"/>
    <n v="20535"/>
    <s v="Samuel Thairu"/>
    <n v="80"/>
    <x v="0"/>
    <s v="Male 0726800511"/>
    <s v="Contributor"/>
    <s v="Dm/htn/angioedema"/>
    <x v="1"/>
    <s v="27.01.2026"/>
    <s v="31.01.2026"/>
    <n v="4"/>
    <n v="71187.899999999994"/>
    <s v="January"/>
    <m/>
    <m/>
  </r>
  <r>
    <s v="UHSF-NRH"/>
    <n v="2405040"/>
    <n v="31911"/>
    <s v="Sammy Nyanga "/>
    <n v="64"/>
    <x v="0"/>
    <s v="Male "/>
    <s v="Contributor "/>
    <s v="DM/HTN/ESRD"/>
    <x v="1"/>
    <s v="26.03.2026"/>
    <s v="26.03.2026"/>
    <s v="Dialysis "/>
    <n v="9025"/>
    <s v="March"/>
    <n v="254729953155"/>
    <m/>
  </r>
  <r>
    <s v="ST FRANCIS COMMUNITY"/>
    <n v="2007480"/>
    <n v="63926"/>
    <s v="Betty Maitha"/>
    <n v="54"/>
    <x v="0"/>
    <s v="Female 0724442391"/>
    <s v="Spouse"/>
    <s v="Dm/htn/neuropathy"/>
    <x v="1"/>
    <s v="10.01.2026"/>
    <s v="17.01.2026"/>
    <n v="6"/>
    <n v="163919"/>
    <s v="January"/>
    <m/>
    <m/>
  </r>
  <r>
    <s v="MATER HOSP"/>
    <n v="2001143"/>
    <n v="14236"/>
    <s v="Everlyne Akochi"/>
    <n v="64"/>
    <x v="0"/>
    <s v="Female 0721898644"/>
    <s v="Spouse"/>
    <s v="DM/HTN/Severe degenerative Disc  Disease"/>
    <x v="1"/>
    <s v="04.02.2026"/>
    <s v="07.02.2026"/>
    <n v="3"/>
    <n v="120908.61"/>
    <s v="February "/>
    <m/>
    <m/>
  </r>
  <r>
    <s v="UHSF -DFMH"/>
    <n v="2505089"/>
    <n v="18838"/>
    <s v="Stephen Otieno"/>
    <n v="61"/>
    <x v="0"/>
    <s v="Male"/>
    <s v="Contributor"/>
    <s v="Dm/infected gastro infection"/>
    <x v="1"/>
    <s v="05.01.2026"/>
    <s v="07.01.2026"/>
    <n v="2"/>
    <n v="73470.48"/>
    <s v="January"/>
    <m/>
    <m/>
  </r>
  <r>
    <s v="NAIROBI SOUTH HOSP"/>
    <n v="2002987"/>
    <n v="60750"/>
    <s v="Hussein Mohamed"/>
    <n v="56"/>
    <x v="0"/>
    <s v="Male 0728323604"/>
    <s v="Contributor"/>
    <s v="DM/Urosepsis//Peripheral neuropathy"/>
    <x v="1"/>
    <s v="02.02.2026"/>
    <s v="09.02.2026"/>
    <n v="7"/>
    <n v="427126.14"/>
    <s v="February "/>
    <m/>
    <m/>
  </r>
  <r>
    <s v="ELGON VIEW HOSP"/>
    <n v="2003093"/>
    <n v="103537"/>
    <s v="Hosea Bitok"/>
    <n v="66"/>
    <x v="0"/>
    <s v="Male 0720360993"/>
    <s v="Contributor"/>
    <s v="HHS/aki"/>
    <x v="1"/>
    <s v="30.01.2026"/>
    <s v="02.02.2026"/>
    <n v="3"/>
    <n v="59130"/>
    <s v="February "/>
    <m/>
    <m/>
  </r>
  <r>
    <s v="EXCEL HEALTH SERVICE"/>
    <n v="2013527"/>
    <n v="65367"/>
    <s v="Adan Gedi"/>
    <n v="62"/>
    <x v="0"/>
    <s v="Male 0759808775"/>
    <s v="Contributor"/>
    <s v="Hyperglycaemia in dm/gastritis"/>
    <x v="1"/>
    <s v="12.01.2026"/>
    <s v="13.01.2026"/>
    <n v="1"/>
    <n v="35943"/>
    <s v="January"/>
    <m/>
    <m/>
  </r>
  <r>
    <s v="OLLMH"/>
    <n v="2015275"/>
    <n v="32066"/>
    <s v="David Kamau "/>
    <n v="66"/>
    <x v="0"/>
    <s v="Male 0721293215"/>
    <s v="Contributor"/>
    <s v="Hyperglycemia in dm"/>
    <x v="1"/>
    <s v="13.03.2026"/>
    <s v="20.03.2026"/>
    <n v="6"/>
    <n v="115137"/>
    <s v="March"/>
    <n v="254720269792"/>
    <m/>
  </r>
  <r>
    <s v="ST DAMIANO"/>
    <n v="2019013"/>
    <n v="105870"/>
    <s v="Aliza Nelima"/>
    <n v="49"/>
    <x v="1"/>
    <s v="Female 0703864947"/>
    <s v="Spouse"/>
    <s v="Hyperglycemia in dm"/>
    <x v="1"/>
    <s v="25.01.2026"/>
    <s v="28.01.2026"/>
    <n v="4"/>
    <n v="50173"/>
    <s v="January"/>
    <m/>
    <m/>
  </r>
  <r>
    <s v="UHSF - NRH"/>
    <n v="2021624"/>
    <n v="55434"/>
    <s v="Jane Muthoni Muhia"/>
    <n v="55"/>
    <x v="0"/>
    <s v="Female 0712088180"/>
    <s v="Spouse"/>
    <s v="Hyperglycemia in dm/ UTI"/>
    <x v="1"/>
    <s v="01.02.2026"/>
    <s v="04.02.2026"/>
    <n v="3"/>
    <n v="85084"/>
    <s v="February "/>
    <m/>
    <m/>
  </r>
  <r>
    <s v="NAIROBI WEST HOSP"/>
    <n v="2016528"/>
    <n v="70896"/>
    <s v="Maureen Khavuka"/>
    <n v="50"/>
    <x v="1"/>
    <s v="Male 0706490622"/>
    <s v="Contributor"/>
    <s v="Hyperglycemia in known dm/htn/ckd"/>
    <x v="1"/>
    <s v="09.03.2026"/>
    <s v="15.03.2026"/>
    <n v="7"/>
    <n v="163642"/>
    <s v="March"/>
    <n v="254722262639"/>
    <m/>
  </r>
  <r>
    <s v="UHSF - NRH"/>
    <n v="2407209"/>
    <n v="58921"/>
    <s v="Eunice Njeri"/>
    <n v="44"/>
    <x v="1"/>
    <s v="Female"/>
    <s v="Spouse"/>
    <s v="Hypergylycemia in dm/htn"/>
    <x v="1"/>
    <s v="14.02.2026"/>
    <s v="14.02.2026"/>
    <n v="1"/>
    <n v="108021"/>
    <s v="February "/>
    <m/>
    <m/>
  </r>
  <r>
    <s v="ST FRANCIS COMMUNITY"/>
    <n v="2407209"/>
    <n v="58921"/>
    <s v="Eunice Njeri"/>
    <n v="44"/>
    <x v="1"/>
    <s v="Female 0797597630"/>
    <s v="Spouse"/>
    <s v="Hypergylycemia in dm/htn"/>
    <x v="1"/>
    <s v="14.02.2026"/>
    <s v="17.02.2026"/>
    <n v="3"/>
    <n v="83032"/>
    <s v="February "/>
    <m/>
    <m/>
  </r>
  <r>
    <s v="UHSF- DFMH"/>
    <n v="2001273"/>
    <n v="20535"/>
    <s v="Samuel Kamau"/>
    <n v="50"/>
    <x v="1"/>
    <s v="Male"/>
    <s v="Contributor"/>
    <s v="Hyperkalemia/dm/htn"/>
    <x v="1"/>
    <s v="26.01.2026-belated lou,Billed through smart on 31.01.26"/>
    <s v="31.01.2026"/>
    <n v="5"/>
    <n v="72187"/>
    <s v="February "/>
    <m/>
    <m/>
  </r>
  <r>
    <s v="BLOOM HOSP"/>
    <n v="2004334"/>
    <n v="56626"/>
    <s v="Billy Kamau"/>
    <n v="67"/>
    <x v="0"/>
    <s v="Male 0720981719"/>
    <s v="Contributor"/>
    <s v="Hypoglycemia in Known DM"/>
    <x v="1"/>
    <s v="26.03.2026"/>
    <s v="31.03.2026"/>
    <n v="5"/>
    <n v="93695"/>
    <s v="March"/>
    <n v="254720453324"/>
    <m/>
  </r>
  <r>
    <s v="UHSF-DFMH"/>
    <n v="2010295"/>
    <n v="100193"/>
    <s v="Betty Mulwa"/>
    <n v="63"/>
    <x v="0"/>
    <s v="Female 0722301464"/>
    <s v="Spouse"/>
    <s v="Hypoglycemia pos thyroidectomy"/>
    <x v="1"/>
    <s v="11.03.2026"/>
    <s v="13.03.2026"/>
    <n v="3"/>
    <n v="41552.06"/>
    <s v="March"/>
    <n v="254723975317"/>
    <m/>
  </r>
  <r>
    <s v="NAIROBI WEST HOSP"/>
    <n v="2002779"/>
    <n v="54318"/>
    <s v="Jonathan Simon keseri"/>
    <n v="70"/>
    <x v="0"/>
    <s v="Male 0724170718"/>
    <s v="Contributor"/>
    <s v="Hyponatremia/Hypovolemia in htn/dm"/>
    <x v="1"/>
    <s v="08.02.2026"/>
    <s v="11.02.2026"/>
    <n v="3"/>
    <n v="90023.64"/>
    <s v="February "/>
    <m/>
    <m/>
  </r>
  <r>
    <s v="MATER HOSP"/>
    <n v="2002668"/>
    <n v="17920"/>
    <s v="Robert Kariuki"/>
    <n v="66"/>
    <x v="0"/>
    <s v="Male 0729795838"/>
    <s v="Contributor"/>
    <s v="Hypothyroidism/Htn/dm/Esophageal varices/Ca Colon/heart failure"/>
    <x v="1"/>
    <s v="27.01.2026 Cover Exh"/>
    <s v="20.02.2026"/>
    <n v="24"/>
    <n v="1929520"/>
    <s v="February "/>
    <m/>
    <m/>
  </r>
  <r>
    <s v="ST FRANCIS COMMUNITY"/>
    <n v="2007480"/>
    <n v="63926"/>
    <s v="Betty Maithia "/>
    <n v="64"/>
    <x v="0"/>
    <s v="Female 0724442391"/>
    <s v="Spouse"/>
    <s v="Poorly controlled DM"/>
    <x v="1"/>
    <s v="25.03.2026"/>
    <s v="28.03.2026"/>
    <n v="2"/>
    <n v="79945"/>
    <s v="March"/>
    <n v="254715210274"/>
    <m/>
  </r>
  <r>
    <s v="DIANI BEACH HOSP"/>
    <n v="2002228"/>
    <n v="31315"/>
    <s v="John Hernesty"/>
    <n v="72"/>
    <x v="0"/>
    <s v="Male"/>
    <s v="Contributor"/>
    <s v="Type II dm/ckd"/>
    <x v="1"/>
    <s v="18.03.2026"/>
    <s v="18.03.2026"/>
    <s v="Dialysis"/>
    <n v="10650"/>
    <s v="March"/>
    <n v="254714272121"/>
    <m/>
  </r>
  <r>
    <s v="UHSF-NRH"/>
    <n v="2015037"/>
    <n v="19683"/>
    <s v="John Kilonzo"/>
    <n v="61"/>
    <x v="0"/>
    <s v="Male 0722489705"/>
    <s v="Contributor"/>
    <s v="Septic shock "/>
    <x v="2"/>
    <s v="23.01.2026-Hosp to bill through smart DECEASED"/>
    <s v="26.01.2026"/>
    <n v="3"/>
    <n v="95262"/>
    <s v="January"/>
    <m/>
    <m/>
  </r>
  <r>
    <s v="ST LUKES O&amp;T"/>
    <n v="2407491"/>
    <n v="58327"/>
    <s v="Rose Minayo"/>
    <n v="59"/>
    <x v="0"/>
    <s v="Female 0705539395"/>
    <s v="Spouse"/>
    <s v="Left total knee replacement"/>
    <x v="3"/>
    <s v="23.01.2026"/>
    <s v="27.01.2026"/>
    <n v="4"/>
    <n v="149582.6"/>
    <s v="January"/>
    <m/>
    <m/>
  </r>
  <r>
    <s v="ST LUKES O&amp;T"/>
    <n v="2013832"/>
    <n v="15912"/>
    <s v="Juliet Mjomba"/>
    <n v="61"/>
    <x v="0"/>
    <s v="Female 0721860058"/>
    <s v="Spouse"/>
    <s v="Lt knee osteoarthritis"/>
    <x v="3"/>
    <s v="13.01.2026"/>
    <s v="17.01.2026"/>
    <n v="3"/>
    <n v="467078.09"/>
    <s v="January"/>
    <m/>
    <m/>
  </r>
  <r>
    <s v="UHSF - NRH"/>
    <n v="2005177"/>
    <n v="11971"/>
    <s v="Grace Kalekye"/>
    <n v="69"/>
    <x v="0"/>
    <s v="Female 0701164415"/>
    <s v="Spouse"/>
    <s v="Osteoarthritis"/>
    <x v="3"/>
    <s v="16.02.2026-Billed through smart on 23.02.2026"/>
    <s v="24.02.2026"/>
    <n v="8"/>
    <n v="392008.13"/>
    <s v="February "/>
    <m/>
    <m/>
  </r>
  <r>
    <s v="ST LUKE O&amp;T"/>
    <n v="2602044"/>
    <n v="63333"/>
    <s v="Peter Koskey"/>
    <n v="58"/>
    <x v="0"/>
    <s v="Male 0704976159"/>
    <s v="Contributor"/>
    <s v="Osteoarthritis"/>
    <x v="3"/>
    <s v="19.02.2026 (Sha -336,000.00)"/>
    <s v="24.02.2026"/>
    <n v="5"/>
    <n v="153714"/>
    <s v="February "/>
    <m/>
    <m/>
  </r>
  <r>
    <s v="NAIROBI WEST HOSP"/>
    <n v="2016328"/>
    <n v="103314"/>
    <s v="Catherine Munee Kakundi "/>
    <n v="57"/>
    <x v="0"/>
    <s v="Female "/>
    <s v="Spouse"/>
    <s v="Osteoarthritis lt Hip/Htn"/>
    <x v="3"/>
    <s v="05.02.2026"/>
    <s v="12.02.2026"/>
    <n v="7"/>
    <n v="205497"/>
    <s v="February "/>
    <m/>
    <m/>
  </r>
  <r>
    <s v="NAIROBI SOUTH HOSP"/>
    <n v="2002605"/>
    <n v="11287"/>
    <s v="Peter Njoka "/>
    <n v="67"/>
    <x v="0"/>
    <s v="Male 0721553798"/>
    <s v="Contributor"/>
    <s v="Osteoarthritis Rt knee"/>
    <x v="3"/>
    <s v="12.02.2026"/>
    <s v="16.02.2026"/>
    <n v="4"/>
    <n v="419329.62"/>
    <s v="February "/>
    <m/>
    <m/>
  </r>
  <r>
    <s v="REALE HOSP"/>
    <n v="2011133"/>
    <n v="12331"/>
    <s v="Lily Cherono"/>
    <n v="68"/>
    <x v="0"/>
    <s v="Female 0722384086"/>
    <s v="Spouse"/>
    <s v="Right hip osteoarthritis"/>
    <x v="3"/>
    <s v="08.01.2026"/>
    <s v="12.01.2026"/>
    <n v="4"/>
    <n v="568737"/>
    <s v="January"/>
    <m/>
    <m/>
  </r>
  <r>
    <s v="PANDYA HOSP"/>
    <n v="2001514"/>
    <n v="31068"/>
    <s v="Phineas Kirimi"/>
    <n v="72"/>
    <x v="0"/>
    <s v="Male 0722725433"/>
    <s v="Contributor"/>
    <s v="Right knee osteoarthritis"/>
    <x v="3"/>
    <s v="08.01.2026"/>
    <s v="15.01.2026"/>
    <n v="7"/>
    <n v="209416"/>
    <s v="January"/>
    <m/>
    <m/>
  </r>
  <r>
    <s v="ST MARY ELEMENTAITA"/>
    <n v="2002343"/>
    <n v="7835"/>
    <s v="Abdulahi Said"/>
    <n v="70"/>
    <x v="0"/>
    <s v="Male 0721541149"/>
    <s v="Contributor"/>
    <s v="Cutaneous lesions of the penis"/>
    <x v="4"/>
    <s v="29.01.2026-Hosp to bill through smart"/>
    <s v="29.01.2026"/>
    <s v="Day case"/>
    <n v="20800"/>
    <s v="January"/>
    <m/>
    <m/>
  </r>
  <r>
    <s v="SYNERGY CLINIC"/>
    <n v="2011454"/>
    <n v="13452"/>
    <s v="Rose Akinyi "/>
    <n v="66"/>
    <x v="0"/>
    <s v="Female "/>
    <s v="Spouse"/>
    <s v="Erthrodermic Eczema"/>
    <x v="4"/>
    <s v="02.02.2026"/>
    <s v="04.02.2026"/>
    <n v="2"/>
    <n v="167703"/>
    <s v="February "/>
    <m/>
    <m/>
  </r>
  <r>
    <s v="UHSF- DFMH"/>
    <n v="2021085"/>
    <n v="18867"/>
    <s v="Kenneth Okoki"/>
    <n v="64"/>
    <x v="0"/>
    <s v="Male"/>
    <s v="Contributor"/>
    <s v="Forein body granuloma"/>
    <x v="4"/>
    <s v="10.02.2026-Hosp to bill through smart"/>
    <s v="10.02.2026"/>
    <s v="Day case"/>
    <n v="31458.02"/>
    <s v="February "/>
    <m/>
    <m/>
  </r>
  <r>
    <s v="SYNERGY CLINICS"/>
    <n v="2011454"/>
    <n v="13452"/>
    <s v="Rose Likembe"/>
    <n v="65"/>
    <x v="0"/>
    <s v="Female 0724513290"/>
    <s v="Spouse"/>
    <s v="Generalized status eczema"/>
    <x v="4"/>
    <s v="14.01.2026"/>
    <s v="19.01.2026"/>
    <n v="5"/>
    <n v="251693"/>
    <s v="January"/>
    <m/>
    <m/>
  </r>
  <r>
    <s v="ST FRANCIS COMMUNITY"/>
    <n v="2017384"/>
    <n v="53142"/>
    <s v="Crispo Kiruja"/>
    <n v="63"/>
    <x v="0"/>
    <s v="Male"/>
    <s v="Contributor"/>
    <s v="Gluteal nudules"/>
    <x v="4"/>
    <s v="09.02.2026"/>
    <s v="09.02.2026"/>
    <s v="Day case"/>
    <n v="150000"/>
    <s v="February "/>
    <m/>
    <m/>
  </r>
  <r>
    <s v="UHSF- DFMH"/>
    <n v="2023134"/>
    <n v="18670"/>
    <s v="Mercy Wakio"/>
    <n v="49"/>
    <x v="1"/>
    <s v="Female"/>
    <s v="Spouse"/>
    <s v="Ingrown toenail"/>
    <x v="4"/>
    <s v="19.02.2026"/>
    <s v="19.02.2026"/>
    <s v="Day case"/>
    <n v="21098"/>
    <s v="February "/>
    <m/>
    <m/>
  </r>
  <r>
    <s v="ST FRANCIS COMMUNITY"/>
    <n v="2010327"/>
    <n v="18565"/>
    <s v="Margaret Mutuva"/>
    <n v="60"/>
    <x v="0"/>
    <s v="Female"/>
    <s v="Spouse"/>
    <s v="Keratosis punctata"/>
    <x v="4"/>
    <s v="18.03.2026"/>
    <s v="18.03.2026"/>
    <s v="Ophthalmology"/>
    <n v="35000"/>
    <s v="March"/>
    <n v="254759486095"/>
    <m/>
  </r>
  <r>
    <s v="UHSF -DFMH"/>
    <n v="2001089"/>
    <n v="17668"/>
    <s v="Gregory Kaloki Mulunga"/>
    <n v="78"/>
    <x v="0"/>
    <s v="Male"/>
    <s v="Contributor"/>
    <s v="Multiple scalp swellings/lipoma"/>
    <x v="4"/>
    <s v="27.01.2026"/>
    <s v="27.01.2026"/>
    <s v="Day case"/>
    <n v="16237"/>
    <s v="January"/>
    <m/>
    <m/>
  </r>
  <r>
    <s v="CHERANGANY HOSP"/>
    <n v="2012902"/>
    <n v="55794"/>
    <s v="Susy Onyango "/>
    <n v="63"/>
    <x v="0"/>
    <s v="Female "/>
    <s v="Spouse"/>
    <s v="Neck lesion "/>
    <x v="5"/>
    <s v="09.02.2026"/>
    <s v="12.02.2026"/>
    <n v="3"/>
    <n v="148005"/>
    <s v="February "/>
    <m/>
    <m/>
  </r>
  <r>
    <s v="MATER HOSP"/>
    <n v="2001990"/>
    <n v="14236"/>
    <s v="Charles Bwire"/>
    <n v="70"/>
    <x v="0"/>
    <s v="Male 0721898644"/>
    <s v="Contributor"/>
    <s v="Dm/htn hyperglycemia "/>
    <x v="1"/>
    <s v="18.03.2026"/>
    <s v="24.03.2026"/>
    <n v="6"/>
    <n v="191357"/>
    <s v="March"/>
    <n v="254721681450"/>
    <m/>
  </r>
  <r>
    <s v="PANDYA HOSP"/>
    <n v="2018512"/>
    <n v="34312"/>
    <s v="Branson Mbaya"/>
    <n v="17"/>
    <x v="2"/>
    <s v="Male "/>
    <s v="Child"/>
    <s v="Gynecomastia "/>
    <x v="1"/>
    <s v="16.02.2026"/>
    <s v="17.02.2026"/>
    <n v="1"/>
    <n v="236288"/>
    <s v="February "/>
    <m/>
    <m/>
  </r>
  <r>
    <s v="PCEA CHOGORIA HOSP"/>
    <n v="2018762"/>
    <n v="64037"/>
    <s v="Fariah Qocha"/>
    <n v="16"/>
    <x v="2"/>
    <s v="Female"/>
    <s v="Child"/>
    <s v="Type 1 D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/acetonuria"/>
    <x v="1"/>
    <s v="21.02.2026 (Sha 103,650.00)"/>
    <s v="01.03.2026"/>
    <n v="8"/>
    <n v="90922.35"/>
    <s v="March"/>
    <n v="254726559225"/>
    <m/>
  </r>
  <r>
    <s v="ST MATIA MULUMBA"/>
    <n v="2503198"/>
    <n v="75071"/>
    <s v="Melchizedek Nyambane"/>
    <n v="1.25"/>
    <x v="2"/>
    <s v="Male 0724020913"/>
    <s v="Child "/>
    <s v="Acute Tonsilitis "/>
    <x v="6"/>
    <s v="04.03.2026"/>
    <s v="07.03.2026"/>
    <n v="3"/>
    <n v="15000"/>
    <s v="March"/>
    <n v="254715509227"/>
    <m/>
  </r>
  <r>
    <s v="STARKEY HEARING"/>
    <n v="2020130"/>
    <n v="102621"/>
    <s v="Anab Idris "/>
    <n v="58"/>
    <x v="0"/>
    <s v="Female "/>
    <s v="Spouse "/>
    <s v="Bilateral severe to profound mixed hearing loss "/>
    <x v="6"/>
    <s v="21.01.2026-Hosp to bill through smart"/>
    <s v="21.01.2026"/>
    <s v="Hearing Aid "/>
    <n v="164586"/>
    <s v="January"/>
    <m/>
    <m/>
  </r>
  <r>
    <s v="NAIROBI WEST HOSP"/>
    <n v="2001220"/>
    <n v="16779"/>
    <s v="Johnson Mbugua "/>
    <n v="66"/>
    <x v="0"/>
    <s v="Male"/>
    <s v="Contributor"/>
    <s v="Dysphonia "/>
    <x v="6"/>
    <s v="15.01.2026 Hospital to bill through Smart"/>
    <s v="15.01.2026"/>
    <s v="Day case"/>
    <n v="50000"/>
    <s v="January"/>
    <m/>
    <m/>
  </r>
  <r>
    <s v="AIC KIJABE"/>
    <n v="20030720"/>
    <n v="104118"/>
    <s v="Charles Kimau"/>
    <n v="66"/>
    <x v="0"/>
    <s v="Male "/>
    <s v="Contributor"/>
    <s v="Neck Abscess "/>
    <x v="6"/>
    <s v="05.02.2026 Billed as Outpatient"/>
    <s v="05.02.2026"/>
    <s v="Day case"/>
    <n v="25972.71"/>
    <s v="February "/>
    <m/>
    <m/>
  </r>
  <r>
    <s v="DAINI BEACH HOSP"/>
    <n v="2008555"/>
    <n v="61113"/>
    <s v="Swabra Bakari"/>
    <n v="12"/>
    <x v="2"/>
    <s v="Female 0723671682"/>
    <s v="Child"/>
    <s v="Septic tonsilitis/ acute nasopharyngeal "/>
    <x v="6"/>
    <s v="31.01.2026"/>
    <s v="02.02.2026"/>
    <n v="2"/>
    <n v="58263"/>
    <s v="February "/>
    <m/>
    <m/>
  </r>
  <r>
    <s v="NAIROBI WOMEN KITENGELA"/>
    <n v="2503295"/>
    <n v="62746"/>
    <s v="Sudies Abdi "/>
    <n v="12"/>
    <x v="2"/>
    <s v="Male"/>
    <s v="Child "/>
    <s v="Septic Tonsilitis/Bacterial Infection/Pneumonia  "/>
    <x v="6"/>
    <s v="05.02.2026"/>
    <s v="10.02.2026"/>
    <n v="5"/>
    <n v="145327"/>
    <s v="February "/>
    <m/>
    <m/>
  </r>
  <r>
    <s v="CHERANGANY HOSP"/>
    <n v="2001925"/>
    <n v="11055"/>
    <s v="Geoffrey Wangila "/>
    <n v="70"/>
    <x v="0"/>
    <s v="Male   0711407532"/>
    <s v="Contributor"/>
    <s v="Acute ABDOMEN intestinal obstruction "/>
    <x v="7"/>
    <s v="03.01.2026"/>
    <s v="06.01.2026"/>
    <n v="3"/>
    <n v="218615"/>
    <s v="January"/>
    <m/>
    <m/>
  </r>
  <r>
    <s v="ST FRANCIS COMMUNITY"/>
    <n v="2510126"/>
    <n v="55824"/>
    <s v="Ruth Brinna "/>
    <n v="21"/>
    <x v="1"/>
    <s v="Female"/>
    <s v="Child"/>
    <s v="Acute Gastritis "/>
    <x v="7"/>
    <s v=" 04.02.2026"/>
    <s v="06.02.2026"/>
    <s v="2 "/>
    <n v="43586"/>
    <s v="February "/>
    <m/>
    <m/>
  </r>
  <r>
    <s v="GALAXY HOSP"/>
    <n v="2408256"/>
    <n v="67446"/>
    <s v="Nimo Yakub "/>
    <n v="34"/>
    <x v="1"/>
    <s v="Female 0711301243"/>
    <s v="Spouse"/>
    <s v="Acute Gastritis with gastroenteritis "/>
    <x v="7"/>
    <s v="25.03.2026"/>
    <s v="27.03.2026"/>
    <n v="2"/>
    <n v="43180"/>
    <s v="March"/>
    <n v="254716525060"/>
    <m/>
  </r>
  <r>
    <s v="NAIROBI WEST HOSP"/>
    <n v="2020238"/>
    <n v="43253"/>
    <s v="Teresia Mbaika "/>
    <n v="62"/>
    <x v="0"/>
    <s v="Female 0722666233"/>
    <s v="Spouse"/>
    <s v="Distal CBD Stricture "/>
    <x v="7"/>
    <s v="12.02.2026 (SHA-13,440.00)"/>
    <s v="15.02.2026"/>
    <n v="3"/>
    <n v="336560"/>
    <s v="February "/>
    <m/>
    <m/>
  </r>
  <r>
    <s v="AGA KHAN -KISUMU"/>
    <n v="2014982"/>
    <n v="13660"/>
    <s v="James Oloo"/>
    <n v="67"/>
    <x v="0"/>
    <s v="Male "/>
    <s v="Contributor"/>
    <s v="Dyphagia "/>
    <x v="7"/>
    <s v="05.02.2026"/>
    <s v="05.02.2026"/>
    <s v="Day case"/>
    <n v="66499"/>
    <s v="February "/>
    <m/>
    <m/>
  </r>
  <r>
    <s v="EXCELL HEALTH SERVICE "/>
    <n v="2019818"/>
    <n v="53874"/>
    <s v="Feysarun Hussein "/>
    <n v="16"/>
    <x v="2"/>
    <s v="Female 0723299497"/>
    <s v="Contributor"/>
    <s v="Gastritis/Sepsis "/>
    <x v="7"/>
    <s v="25.03.2026"/>
    <s v="27.03.2026"/>
    <n v="2"/>
    <n v="62881.25"/>
    <s v="March"/>
    <n v="254726386129"/>
    <m/>
  </r>
  <r>
    <s v="POPE BENENDIT "/>
    <n v="2508065"/>
    <n v="33978"/>
    <s v="Veronica Lekolol"/>
    <n v="61"/>
    <x v="0"/>
    <s v="Female 0722814018"/>
    <s v="Contributor"/>
    <s v="H.pylori /gastroenteritis wit dehydration "/>
    <x v="7"/>
    <s v="21.02.2026"/>
    <s v="25.02.2026"/>
    <n v="4"/>
    <n v="89510"/>
    <s v="February "/>
    <m/>
    <m/>
  </r>
  <r>
    <s v="OLLMH"/>
    <n v="2003427"/>
    <n v="9108"/>
    <s v="Maxwel Njagi"/>
    <n v="67"/>
    <x v="0"/>
    <s v="Male 0706936595"/>
    <s v="Contributor"/>
    <s v="Obstructive jaundice "/>
    <x v="7"/>
    <s v="29.01.2026"/>
    <s v="03.02.2026"/>
    <n v="4"/>
    <n v="65236"/>
    <s v="February "/>
    <m/>
    <m/>
  </r>
  <r>
    <s v="BISHOP KIOKO HOSP"/>
    <n v="2412116"/>
    <n v="104316"/>
    <s v="Florence Mbithe "/>
    <n v="41"/>
    <x v="1"/>
    <s v="Female "/>
    <s v="Spouse"/>
    <s v="PUD/Esophageal candidiasis "/>
    <x v="7"/>
    <s v="25.03.2026 Hospital to Bill Through SMART"/>
    <s v="25.03.2026"/>
    <s v="Day case"/>
    <n v="25000"/>
    <s v="March"/>
    <n v="254722218211"/>
    <m/>
  </r>
  <r>
    <s v="JOCHAM HOSP"/>
    <n v="2020117"/>
    <n v="7872"/>
    <s v="Miriam Mwinga"/>
    <n v="60"/>
    <x v="0"/>
    <s v="Female 0792669989"/>
    <s v="Spouse"/>
    <s v="Severe acute gastritis/ prostration "/>
    <x v="7"/>
    <s v="16.01.2026"/>
    <s v="20.01.2026"/>
    <n v="4"/>
    <n v="97505.07"/>
    <s v="January"/>
    <m/>
    <m/>
  </r>
  <r>
    <s v="BLOOM HOSP"/>
    <n v="2013935"/>
    <n v="18811"/>
    <s v="Daniel Korogu"/>
    <n v="60"/>
    <x v="0"/>
    <s v="Male"/>
    <s v="Contributor"/>
    <s v="Sigmoid polyp "/>
    <x v="7"/>
    <s v="08.01.2026"/>
    <s v="08.01.2026"/>
    <s v="Day case"/>
    <n v="146477"/>
    <s v="January"/>
    <m/>
    <m/>
  </r>
  <r>
    <s v="NAIROBI SOUTH"/>
    <n v="2001375"/>
    <n v="17244"/>
    <s v="Benjamin Musembi "/>
    <n v="83"/>
    <x v="3"/>
    <s v="Male 0722708622"/>
    <s v="Contributor"/>
    <s v="Small Bowel obstruction "/>
    <x v="7"/>
    <s v="01.01.2026"/>
    <s v="08.01.2026"/>
    <n v="7"/>
    <n v="411716.34"/>
    <s v="January"/>
    <m/>
    <m/>
  </r>
  <r>
    <s v="NAIROBI WEST HOSP"/>
    <n v="2001108"/>
    <n v="21421"/>
    <s v="Pauline Wangui"/>
    <n v="44"/>
    <x v="1"/>
    <s v="Female 0721542824"/>
    <s v="Contributor "/>
    <s v="Acte abdomen/?ovarian torsion"/>
    <x v="7"/>
    <s v="08.03.2026 (Sha 253,000.00)"/>
    <s v="13.03.2026"/>
    <n v="5"/>
    <n v="450212"/>
    <s v="March"/>
    <n v="254724926757"/>
    <m/>
  </r>
  <r>
    <s v="NAIROBI SOUTH HOSP"/>
    <n v="2501067"/>
    <n v="83002"/>
    <s v="George Muithya"/>
    <n v="44"/>
    <x v="1"/>
    <s v="Male 0726508593"/>
    <s v="Contributor"/>
    <s v="Acute abdomen"/>
    <x v="7"/>
    <s v="12.03.2026"/>
    <s v="15.03.2026"/>
    <n v="1"/>
    <n v="253014.01"/>
    <s v="March"/>
    <n v="254712884054"/>
    <m/>
  </r>
  <r>
    <s v="EMBU CHILDREN"/>
    <n v="2007413"/>
    <n v="20881"/>
    <s v="Elizabeth Wanjira"/>
    <n v="64"/>
    <x v="0"/>
    <s v="Female 0708753773"/>
    <s v="Spouse"/>
    <s v="Acute abdomen"/>
    <x v="7"/>
    <s v="25.01.2026"/>
    <s v="26.01.2026"/>
    <n v="1"/>
    <n v="92025"/>
    <s v="January"/>
    <m/>
    <m/>
  </r>
  <r>
    <s v="UHSF-ERH"/>
    <n v="2005735"/>
    <n v="74055"/>
    <s v="Carringtone Okoko"/>
    <n v="17"/>
    <x v="2"/>
    <s v="Female"/>
    <s v="Child"/>
    <s v="Acute appendicitis"/>
    <x v="7"/>
    <s v="11.01.2026- Hosp to bill through smart"/>
    <s v="14.01.2026"/>
    <n v="3"/>
    <n v="115518.16"/>
    <s v="January"/>
    <m/>
    <m/>
  </r>
  <r>
    <s v="BLOOM HOSP"/>
    <n v="2001872"/>
    <n v="13663"/>
    <s v="Francis Wahome"/>
    <n v="65"/>
    <x v="0"/>
    <s v="Male 0723269114"/>
    <s v="Contributor"/>
    <s v="Acute gastritis/ge/dyspepsia"/>
    <x v="7"/>
    <s v="16.01.2026"/>
    <s v="19.01.2026"/>
    <n v="3"/>
    <n v="88268"/>
    <s v="January"/>
    <m/>
    <m/>
  </r>
  <r>
    <s v="PANDYA HOSP"/>
    <n v="2010544"/>
    <n v="34067"/>
    <s v="Eva Rose Anyango"/>
    <n v="49"/>
    <x v="1"/>
    <s v="Female"/>
    <s v="Spouse"/>
    <s v="Acute gastritis/gerd"/>
    <x v="7"/>
    <s v="04.02.2026"/>
    <s v="06.02.2026"/>
    <n v="2"/>
    <n v="182497"/>
    <s v="February "/>
    <m/>
    <m/>
  </r>
  <r>
    <s v="ST CLARES KAPLONG"/>
    <n v="2017741"/>
    <n v="68899"/>
    <s v="Jane Chepkirui Marwa"/>
    <n v="67"/>
    <x v="0"/>
    <s v="Male 0722961245"/>
    <s v="Spouse"/>
    <s v="Acute gastritis/sepsis in dm/htn"/>
    <x v="7"/>
    <s v="12.03.2026"/>
    <s v="14.03.2026"/>
    <n v="2"/>
    <n v="62500"/>
    <s v="March"/>
    <n v="254726087358"/>
    <m/>
  </r>
  <r>
    <s v="ST ELIZABETH MUKUMU"/>
    <n v="2003965"/>
    <n v="101523"/>
    <s v="Charles Mayabi"/>
    <n v="68"/>
    <x v="0"/>
    <s v="Male 0724559663"/>
    <s v="Contributor"/>
    <s v="Acute gastritis/suspected malaria/dm/ckd"/>
    <x v="7"/>
    <s v="18.01.2026"/>
    <s v="20.01.2026"/>
    <n v="2"/>
    <n v="13795"/>
    <s v="January"/>
    <m/>
    <m/>
  </r>
  <r>
    <s v="ST MARYS ELEMENTAITA"/>
    <n v="2009707"/>
    <n v="14326"/>
    <s v="Julia Wambui"/>
    <n v="68"/>
    <x v="0"/>
    <s v="Female 0713092310"/>
    <s v="Spouse"/>
    <s v="Acute GE/dehydration"/>
    <x v="7"/>
    <s v="05.03.2026"/>
    <s v="08.03.2026"/>
    <n v="3"/>
    <n v="30440"/>
    <s v="March"/>
    <n v="254711511665"/>
    <m/>
  </r>
  <r>
    <s v="NAIROBI WOMEN-MERU"/>
    <n v="2013074"/>
    <n v="101343"/>
    <s v="Monica Kanana "/>
    <n v="68"/>
    <x v="0"/>
    <s v="Female 0715252471"/>
    <s v="Spouse"/>
    <s v="Acute GE/Electrolyte imbalance/Hemorrhagic stroke"/>
    <x v="7"/>
    <s v="02.02.2026"/>
    <s v="11.02.2026"/>
    <n v="9"/>
    <n v="196082.8"/>
    <s v="February "/>
    <m/>
    <m/>
  </r>
  <r>
    <s v="NAIROBI WOMEN-NAKURU"/>
    <n v="2008670"/>
    <n v="77163"/>
    <s v="Vidic Chege"/>
    <n v="17"/>
    <x v="2"/>
    <s v="Male 0722790272"/>
    <s v="Child"/>
    <s v="Acute GE/Heamorrhoids"/>
    <x v="7"/>
    <s v="19.02.2026"/>
    <s v="23.02.2026"/>
    <n v="4"/>
    <n v="143756.5"/>
    <s v="February "/>
    <m/>
    <m/>
  </r>
  <r>
    <s v="ST LUKES O&amp;T"/>
    <n v="2002534"/>
    <n v="9231"/>
    <s v="Simon Kirwa "/>
    <n v="69"/>
    <x v="0"/>
    <s v="Male 0722348407"/>
    <s v="Contributor"/>
    <s v="Acute GE/HTN/ CVA/chronic leg ulcer"/>
    <x v="7"/>
    <s v="03.03.2026"/>
    <s v="16.03.2026"/>
    <n v="14"/>
    <n v="413618.4"/>
    <s v="March"/>
    <n v="254759231438"/>
    <m/>
  </r>
  <r>
    <s v="St Matia Mulimba"/>
    <n v="2017813"/>
    <n v="59159"/>
    <s v="Saverio Henry"/>
    <n v="64"/>
    <x v="0"/>
    <s v="Male"/>
    <s v="Contributor"/>
    <s v="Anal fissure"/>
    <x v="7"/>
    <s v="30.01.2026"/>
    <s v="30.01.2026"/>
    <s v="Day case"/>
    <n v="53333"/>
    <s v="January"/>
    <m/>
    <m/>
  </r>
  <r>
    <s v="MEPHI HEALTH"/>
    <n v="2021999"/>
    <n v="57902"/>
    <s v="Samuel Bahati"/>
    <n v="9"/>
    <x v="2"/>
    <s v="Male 0726252700"/>
    <s v="Child"/>
    <s v="Aphthous ulcers"/>
    <x v="7"/>
    <s v="12.01.2026"/>
    <s v="14.01.2026"/>
    <n v="2"/>
    <n v="56125"/>
    <s v="January"/>
    <m/>
    <m/>
  </r>
  <r>
    <s v="NAIROBI WEST HOSP"/>
    <n v="2014783"/>
    <n v="100701"/>
    <s v="Felista Itumbi"/>
    <n v="61"/>
    <x v="0"/>
    <s v="Female 0722775410"/>
    <s v="Spouse"/>
    <s v="Cholelithiasis"/>
    <x v="7"/>
    <s v="17.02.2026"/>
    <s v="20.02.2026"/>
    <n v="3"/>
    <n v="84812.43"/>
    <s v="February "/>
    <m/>
    <m/>
  </r>
  <r>
    <s v="NANYUKI COTTAGE"/>
    <n v="2009883"/>
    <n v="7601"/>
    <s v="Bishar Ali Hassan"/>
    <n v="69"/>
    <x v="0"/>
    <s v="Male"/>
    <s v="Contributor"/>
    <s v="Chronic constipation /htn/dm/hypertensive heart disease"/>
    <x v="7"/>
    <s v="22.01.2026"/>
    <s v="26.01.2026"/>
    <n v="4"/>
    <n v="178761"/>
    <s v="January"/>
    <m/>
    <m/>
  </r>
  <r>
    <s v="ST FRANCIS COMMUNITY"/>
    <n v="2008457"/>
    <n v="107319"/>
    <s v="Mitchelle Wambui"/>
    <n v="20"/>
    <x v="2"/>
    <s v="Female"/>
    <s v="Child"/>
    <s v="Chronic gastritis"/>
    <x v="7"/>
    <s v="22.01.2026"/>
    <s v="22.01.2026"/>
    <s v="Day case"/>
    <n v="30000"/>
    <s v="January"/>
    <m/>
    <m/>
  </r>
  <r>
    <s v="NANYUKI HOSP "/>
    <n v="2005067"/>
    <n v="74710"/>
    <s v="Maimuna Hassan "/>
    <n v="29"/>
    <x v="1"/>
    <s v="Female "/>
    <s v="Spouse"/>
    <s v="Chronic gastritis /GERD"/>
    <x v="7"/>
    <s v="27.03.2026"/>
    <s v="27.03.2026"/>
    <s v="Day case "/>
    <n v="25000"/>
    <s v="March"/>
    <n v="254720981719"/>
    <m/>
  </r>
  <r>
    <s v="AGA KHAN -KISUMU"/>
    <n v="2019609"/>
    <n v="61525"/>
    <s v="Irene Akinyi Oballa"/>
    <n v="48"/>
    <x v="1"/>
    <s v="Female"/>
    <s v="Spouse"/>
    <s v="Chronic liver disease/AKI"/>
    <x v="7"/>
    <s v="09.02.2026 Deceased"/>
    <s v="10.02.2026"/>
    <n v="1"/>
    <n v="359993"/>
    <s v="February "/>
    <m/>
    <m/>
  </r>
  <r>
    <s v="AGA KAHN KISUMU"/>
    <n v="2011489"/>
    <n v="4799"/>
    <s v="Jane Owiti"/>
    <n v="64"/>
    <x v="0"/>
    <s v="Female 0722505895"/>
    <s v="Spose"/>
    <s v="Colitis/gastritis/dm"/>
    <x v="7"/>
    <s v="11.03.2026"/>
    <s v="13.03.2026"/>
    <n v="2"/>
    <n v="91618"/>
    <s v="March"/>
    <n v="254723747130"/>
    <m/>
  </r>
  <r>
    <s v="UHSF- DFMH"/>
    <n v="2003008"/>
    <n v="53413"/>
    <s v="George Mutinda "/>
    <n v="64"/>
    <x v="0"/>
    <s v="Male"/>
    <s v="Contributor"/>
    <s v="Colonic polyp/Dyspepsia/GERG"/>
    <x v="7"/>
    <s v="17.02.2026"/>
    <s v="17.02.2026"/>
    <s v="Day case"/>
    <n v="43474"/>
    <s v="February "/>
    <m/>
    <m/>
  </r>
  <r>
    <s v="THE NAIROBI HOSP"/>
    <n v="2009247"/>
    <n v="17293"/>
    <s v="Hadija Asif"/>
    <n v="68"/>
    <x v="0"/>
    <s v="Female"/>
    <s v="Spouse"/>
    <s v="Diverticular /PR Bleeding"/>
    <x v="7"/>
    <s v="14.01.2026"/>
    <s v="14.01.2026"/>
    <s v="Day case"/>
    <n v="196302"/>
    <s v="January"/>
    <m/>
    <m/>
  </r>
  <r>
    <s v="THE NAIROBI HOSP"/>
    <n v="2009449"/>
    <n v="17555"/>
    <s v="Fidelis Sassia"/>
    <n v="67"/>
    <x v="0"/>
    <s v="Female 0722658569"/>
    <s v="Spouse"/>
    <s v="Dsychezia/DM/Azheimers disease"/>
    <x v="7"/>
    <s v="23.03.2026"/>
    <s v="26.03.2026"/>
    <n v="3"/>
    <n v="248222.88"/>
    <s v="March"/>
    <n v="254720659401"/>
    <m/>
  </r>
  <r>
    <s v="ST FRANCIS COMMUNITY"/>
    <n v="2002439"/>
    <n v="55156"/>
    <s v="George Gichimu"/>
    <n v="75"/>
    <x v="0"/>
    <s v="Male"/>
    <s v="Contributor"/>
    <s v="Dyspepsia"/>
    <x v="7"/>
    <s v="01.03.2026"/>
    <s v="01.03.2026"/>
    <s v="Day case"/>
    <n v="62818"/>
    <s v="March"/>
    <n v="254722274662"/>
    <m/>
  </r>
  <r>
    <s v="UHSF- DFMH"/>
    <n v="2507394"/>
    <n v="60168"/>
    <s v="Maurice Omoro "/>
    <n v="60"/>
    <x v="0"/>
    <s v="Male"/>
    <s v="Contributor"/>
    <s v="Dyspepsia"/>
    <x v="7"/>
    <s v="17.02.2026"/>
    <s v="17.02.2026"/>
    <s v="Day case"/>
    <n v="34317"/>
    <s v="February "/>
    <m/>
    <m/>
  </r>
  <r>
    <s v="KIJABE HOSP"/>
    <n v="2407093"/>
    <n v="56843"/>
    <s v="Fatuma Salla"/>
    <n v="61"/>
    <x v="0"/>
    <s v="Female"/>
    <s v="Spouse"/>
    <s v="Dyspepsia"/>
    <x v="7"/>
    <s v="26.02.2026"/>
    <s v="26.02.2026"/>
    <s v="Day case"/>
    <n v="36643"/>
    <s v="February "/>
    <m/>
    <m/>
  </r>
  <r>
    <s v="KUTRRH"/>
    <n v="2003427"/>
    <n v="9108"/>
    <s v="Maxwel Ngagi"/>
    <n v="68"/>
    <x v="0"/>
    <s v="Male"/>
    <s v="Contributor"/>
    <s v="Gall bladder mass/obstructive jaundice"/>
    <x v="7"/>
    <s v="03.02.2026 Deceased-Hosp to bill through smart"/>
    <s v="08.02.2026"/>
    <n v="5"/>
    <n v="104991"/>
    <s v="February "/>
    <m/>
    <m/>
  </r>
  <r>
    <s v="NAIROBI SOUTH HOSP"/>
    <n v="2001872"/>
    <n v="13663"/>
    <s v="Francis Wahome"/>
    <n v="65"/>
    <x v="0"/>
    <s v="Male "/>
    <s v="Contributor"/>
    <s v="Gall bladder tumor with obstruction"/>
    <x v="7"/>
    <s v="28.01.2026"/>
    <s v="17.02.2026"/>
    <n v="20"/>
    <n v="1398370.77"/>
    <s v="February "/>
    <m/>
    <m/>
  </r>
  <r>
    <s v="AGA KAHN KISUMU"/>
    <n v="2014982"/>
    <n v="13660"/>
    <s v="James Aggrey"/>
    <n v="66"/>
    <x v="0"/>
    <s v="Male 0722341101"/>
    <s v="Contributor"/>
    <s v="Gastric adenoma"/>
    <x v="7"/>
    <s v="20.03.2026"/>
    <s v="20.03.2026"/>
    <s v="Oncology"/>
    <n v="160850"/>
    <s v="March"/>
    <n v="721156854"/>
    <m/>
  </r>
  <r>
    <s v="BLOOM HOSP"/>
    <n v="2011543"/>
    <n v="9552"/>
    <s v="David Otieno  Onyango"/>
    <n v="20"/>
    <x v="2"/>
    <s v="Male"/>
    <s v="Child "/>
    <s v="Gastrities/GI Bleeding in PUD"/>
    <x v="7"/>
    <s v="05.02.2026"/>
    <s v="07.02.2026"/>
    <n v="1"/>
    <n v="62290"/>
    <s v="February "/>
    <m/>
    <m/>
  </r>
  <r>
    <s v="NANYUKI COTTAGE"/>
    <n v="2003890"/>
    <n v="15129"/>
    <s v="Leonard Mbugua"/>
    <n v="65"/>
    <x v="0"/>
    <s v="Male"/>
    <s v="Contributor"/>
    <s v="Gastritis"/>
    <x v="7"/>
    <s v="09.01.2026-Hosp to bill through smart"/>
    <s v="09.01.2026"/>
    <s v="Day case"/>
    <n v="30000"/>
    <s v="January"/>
    <m/>
    <m/>
  </r>
  <r>
    <s v="NAIROBI WOMENS KITENGELA"/>
    <n v="2018319"/>
    <n v="101582"/>
    <s v="Agnetta Mbithe"/>
    <n v="49"/>
    <x v="1"/>
    <s v="Female"/>
    <s v="Spouse"/>
    <s v="Gastritis"/>
    <x v="7"/>
    <s v="13.01.2026"/>
    <s v="13.01.2026"/>
    <s v="Day case"/>
    <n v="60000"/>
    <s v="January"/>
    <m/>
    <m/>
  </r>
  <r>
    <s v="THE KAREN HOSP"/>
    <n v="2006072"/>
    <n v="17405"/>
    <s v="Margaret Njoroge"/>
    <n v="75"/>
    <x v="0"/>
    <s v="Female"/>
    <s v="Spouse"/>
    <s v="Gastritis"/>
    <x v="7"/>
    <s v="26.01.2026-Hosp to bill through smart"/>
    <s v="26.01.2026"/>
    <s v="Day case"/>
    <n v="120000"/>
    <s v="January"/>
    <m/>
    <m/>
  </r>
  <r>
    <s v="THE NAIROBI HOSP"/>
    <n v="2009475"/>
    <n v="20552"/>
    <s v="Karen Anyika"/>
    <n v="70"/>
    <x v="0"/>
    <s v="Female"/>
    <s v="Spouse"/>
    <s v="Gastritis ?"/>
    <x v="7"/>
    <s v="12.03.2026"/>
    <s v="12.03.2026"/>
    <s v="Day case"/>
    <n v="130469"/>
    <s v="March"/>
    <n v="254722700491"/>
    <m/>
  </r>
  <r>
    <s v="METROPOLITAN HOSP"/>
    <n v="2004601"/>
    <n v="69278"/>
    <s v="Grace Wanjiru"/>
    <n v="46"/>
    <x v="1"/>
    <s v="Female"/>
    <s v="Spouse"/>
    <s v="Gastritis in htn"/>
    <x v="7"/>
    <s v="13.03.2026"/>
    <s v="15.03.2026"/>
    <n v="2"/>
    <n v="64175"/>
    <s v="March"/>
    <n v="254722864285"/>
    <m/>
  </r>
  <r>
    <s v="METROPOLITAN HOSP"/>
    <n v="2004601"/>
    <n v="69278"/>
    <s v="Grace Wanjiru"/>
    <n v="46"/>
    <x v="1"/>
    <s v="Female 0721929930"/>
    <s v="Spouse"/>
    <s v="Gastritis in htn"/>
    <x v="7"/>
    <s v="15.03.2026"/>
    <s v="16.03.2026"/>
    <n v="2"/>
    <n v="16015"/>
    <s v="March"/>
    <n v="254721714802"/>
    <m/>
  </r>
  <r>
    <s v="Bloom Hosp"/>
    <n v="2005059"/>
    <n v="18820"/>
    <s v="Anna Wambui"/>
    <n v="55"/>
    <x v="0"/>
    <s v="Female 0726979175"/>
    <s v="Spouse"/>
    <s v="Gastritis in htn/sciatica disease/disc compression"/>
    <x v="7"/>
    <s v="25.01.2026"/>
    <s v="30.01.2026"/>
    <n v="5"/>
    <n v="225061"/>
    <s v="January"/>
    <m/>
    <m/>
  </r>
  <r>
    <s v="ST THERESA KIIRUA"/>
    <n v="2013052"/>
    <n v="60038"/>
    <s v="Catherine Karwirwa"/>
    <n v="54"/>
    <x v="0"/>
    <s v="Female"/>
    <s v="Spouse"/>
    <s v="Gastritis r/o gastritis ulcer"/>
    <x v="7"/>
    <s v="15.01.2026 Billed as Outpatient"/>
    <s v="15.01.2026"/>
    <s v="Day case"/>
    <n v="20000"/>
    <s v="January"/>
    <m/>
    <m/>
  </r>
  <r>
    <s v="TALA HOSP"/>
    <n v="2013670"/>
    <n v="11644"/>
    <s v="Susan Mutuku"/>
    <n v="64"/>
    <x v="0"/>
    <s v="Female-728066319"/>
    <s v="Spouse"/>
    <s v="Gastritis/htn"/>
    <x v="7"/>
    <s v="16.03.2026-Hosp billed as outpatient"/>
    <s v="19.03.2026"/>
    <n v="3"/>
    <n v="33655"/>
    <s v="March"/>
    <n v="254722111751"/>
    <m/>
  </r>
  <r>
    <s v="BLOOM HOSP"/>
    <n v="2001872"/>
    <n v="13663"/>
    <s v="Francis Wahome"/>
    <n v="65"/>
    <x v="0"/>
    <s v="Male 0723269114"/>
    <s v="Contributor"/>
    <s v="Gastritis/jaundice ?cause"/>
    <x v="7"/>
    <s v="27.01.2026"/>
    <s v="28.01.2026"/>
    <n v="2"/>
    <n v="111665"/>
    <s v="January"/>
    <m/>
    <m/>
  </r>
  <r>
    <s v="BAMA HOSP"/>
    <n v="2011774"/>
    <n v="31235"/>
    <s v="Josephine Ongor"/>
    <n v="64"/>
    <x v="0"/>
    <s v="Female 0720574402"/>
    <s v="Spouse"/>
    <s v="Gastritis/Malaria/GE"/>
    <x v="7"/>
    <s v="14.02.2026"/>
    <s v="19.02.2026"/>
    <n v="5"/>
    <n v="79385"/>
    <s v="February "/>
    <m/>
    <m/>
  </r>
  <r>
    <s v="ST LUKES O&amp;T"/>
    <n v="2005658"/>
    <n v="54643"/>
    <s v="Leonida Jepchumba"/>
    <n v="60"/>
    <x v="0"/>
    <s v="Female"/>
    <s v="Spouse"/>
    <s v="Gastritis/upper GI bleeding"/>
    <x v="7"/>
    <s v="12.03.2026"/>
    <s v="12.03.2026"/>
    <s v="Day case"/>
    <n v="12000"/>
    <s v="March"/>
    <n v="254715509227"/>
    <m/>
  </r>
  <r>
    <s v="UHSF- DFMH"/>
    <n v="2007595"/>
    <n v="17708"/>
    <s v="Nancy Njeri"/>
    <n v="65"/>
    <x v="0"/>
    <s v="Female 0711994280"/>
    <s v="Spouse"/>
    <s v="Gastroenteritis/gastritis"/>
    <x v="7"/>
    <s v="20.02.2026"/>
    <s v="23.02.2026"/>
    <n v="3"/>
    <n v="68426"/>
    <s v="February "/>
    <m/>
    <m/>
  </r>
  <r>
    <s v="UHSF- DFMH"/>
    <n v="2002477"/>
    <n v="18273"/>
    <s v="Tom Cheruiyot"/>
    <n v="68"/>
    <x v="0"/>
    <s v="Male"/>
    <s v="Contributor"/>
    <s v="Gastroesophageal/reflux GERD"/>
    <x v="7"/>
    <s v="11.02.2026"/>
    <s v="11.02.2026"/>
    <s v="Day case"/>
    <n v="37779.4"/>
    <s v="February "/>
    <m/>
    <m/>
  </r>
  <r>
    <s v="NAIROBI SOUTH HOSP"/>
    <n v="2006553"/>
    <n v="100752"/>
    <s v="Beatrice Njoki"/>
    <n v="63"/>
    <x v="0"/>
    <s v="Female 0725844177"/>
    <s v="Spouse"/>
    <s v="GE /? Cellulitis /LL Oedema"/>
    <x v="7"/>
    <s v="14.02.2026"/>
    <s v="28.02.2026"/>
    <n v="14"/>
    <n v="772980"/>
    <s v="February "/>
    <m/>
    <m/>
  </r>
  <r>
    <s v="DIANI BEACH HOSP"/>
    <n v="20160971"/>
    <n v="35049"/>
    <s v="Joyce Odhiambo"/>
    <n v="9"/>
    <x v="2"/>
    <s v="Female"/>
    <s v="Child"/>
    <s v="Ge/Colitis/Gastritis"/>
    <x v="7"/>
    <s v="27.03.2026"/>
    <s v="29.03.2026"/>
    <n v="2"/>
    <n v="68562"/>
    <s v="March"/>
    <n v="254707717806"/>
    <m/>
  </r>
  <r>
    <s v="UNISON MEDICAL CENTRE"/>
    <n v="2602004"/>
    <n v="62092"/>
    <s v="Nkaani Lelegwe"/>
    <n v="59"/>
    <x v="0"/>
    <s v="Male 0717992592"/>
    <s v="Contributor"/>
    <s v="GE/Gastritis"/>
    <x v="7"/>
    <s v="03.02.2026"/>
    <s v="07.02.2026"/>
    <n v="4"/>
    <n v="114734"/>
    <s v="February "/>
    <m/>
    <m/>
  </r>
  <r>
    <s v="NAIROBI WEST HOSP"/>
    <n v="2006553"/>
    <n v="100752"/>
    <s v="Beatrice Njoki"/>
    <n v="63"/>
    <x v="0"/>
    <s v="Female"/>
    <s v="Spouse"/>
    <s v="GERD/"/>
    <x v="7"/>
    <s v="11.02.2026"/>
    <s v="11.02.2026"/>
    <s v="Day case"/>
    <n v="70000"/>
    <s v="February "/>
    <m/>
    <m/>
  </r>
  <r>
    <s v="ST THERESIA KIIRUA"/>
    <n v="2022238"/>
    <n v="60548"/>
    <s v="Shadrick Nkunja"/>
    <n v="62"/>
    <x v="0"/>
    <s v="Male 0720376755"/>
    <s v="Contributor"/>
    <s v="GI Bleeding/ Hypovolemic shock/ anaemia"/>
    <x v="7"/>
    <s v="06.03.2026 (Deceased) Hosp to bill through smart"/>
    <s v="08.03.2026"/>
    <n v="3"/>
    <n v="289814.13"/>
    <s v="March"/>
    <n v="254722845819"/>
    <m/>
  </r>
  <r>
    <s v="ST LUKE O&amp;T"/>
    <n v="2502095"/>
    <n v="21102"/>
    <s v="John Koskei"/>
    <n v="57"/>
    <x v="0"/>
    <s v="Male"/>
    <s v="Contributor"/>
    <s v="Haemorrhoids/GE"/>
    <x v="7"/>
    <s v="23.02.2026"/>
    <s v="23.02.2026"/>
    <s v="Dialysis"/>
    <n v="11500"/>
    <s v="February "/>
    <m/>
    <m/>
  </r>
  <r>
    <s v="NAIROBI WEST HOSP"/>
    <n v="2016327"/>
    <n v="103314"/>
    <s v="Samuel Kakundi"/>
    <n v="64"/>
    <x v="0"/>
    <s v="Male"/>
    <s v="Contributor"/>
    <s v="Hematochezia ?cause"/>
    <x v="7"/>
    <s v="31.03.2026"/>
    <s v="31.03.2026"/>
    <s v="Day case"/>
    <n v="50000"/>
    <s v="March"/>
    <n v="254725661357"/>
    <m/>
  </r>
  <r>
    <s v="OLLMH"/>
    <n v="2003427"/>
    <n v="9108"/>
    <s v="Maxwel Njagi"/>
    <n v="68"/>
    <x v="0"/>
    <s v="Male 0706936595"/>
    <s v="Contributor"/>
    <s v="Hepatomegaly ?cause"/>
    <x v="7"/>
    <s v="23.01.2026"/>
    <s v="27.01.2026"/>
    <n v="4"/>
    <n v="62800"/>
    <s v="January"/>
    <m/>
    <m/>
  </r>
  <r>
    <s v="CONSOLATA NKUBU"/>
    <n v="2017885"/>
    <n v="55503"/>
    <s v="Julius Kathia"/>
    <n v="62"/>
    <x v="0"/>
    <s v="Male"/>
    <s v="Contributor"/>
    <s v="IBS"/>
    <x v="7"/>
    <s v="05.03.2026"/>
    <s v="05.03.2026"/>
    <s v="Day case"/>
    <n v="40093"/>
    <s v="March"/>
    <n v="254713092310"/>
    <m/>
  </r>
  <r>
    <s v="NAIROBI SOUTH HOSP"/>
    <n v="2001375"/>
    <n v="17244"/>
    <s v="Benjamin Musembi"/>
    <n v="83"/>
    <x v="3"/>
    <s v="Male 0722708622"/>
    <s v="Contributor"/>
    <s v="Ileal gangrene Post Emergency Laparotomy"/>
    <x v="7"/>
    <s v="08.02.2026 Cover Exh deceased, (Sha 336,000.00)Hosp to bill through smart"/>
    <s v="01.03.2026"/>
    <n v="20"/>
    <n v="1580000"/>
    <s v="March"/>
    <n v="254710645680"/>
    <m/>
  </r>
  <r>
    <s v="NYANGENA HOSP"/>
    <n v="2021140"/>
    <n v="15630"/>
    <s v="Margaret Bonareri"/>
    <n v="54"/>
    <x v="0"/>
    <s v="Female"/>
    <s v="Spouse"/>
    <s v="Incarcetated umbilical hernia"/>
    <x v="7"/>
    <s v="30.01.2026-Hosp to bill through smart"/>
    <s v="02.02.2026"/>
    <n v="3"/>
    <n v="253940"/>
    <s v="February "/>
    <m/>
    <m/>
  </r>
  <r>
    <s v="ST DAMIANO"/>
    <n v="2003346"/>
    <n v="11127"/>
    <s v="Aggrey Barasa"/>
    <n v="68"/>
    <x v="0"/>
    <s v="Male 0712319288"/>
    <s v="Contributor"/>
    <s v="Left Inguinal hernia"/>
    <x v="7"/>
    <s v="12.01.2026"/>
    <s v="16.01.2026"/>
    <n v="4"/>
    <n v="201643"/>
    <s v="January"/>
    <m/>
    <m/>
  </r>
  <r>
    <s v="AGA KAHN KISUMU"/>
    <n v="2013818"/>
    <n v="14250"/>
    <s v="Hilda Anyango"/>
    <n v="63"/>
    <x v="0"/>
    <s v="Female "/>
    <s v="Spouse"/>
    <s v="Mild gastritis"/>
    <x v="7"/>
    <s v="16.03.2026"/>
    <s v="16.03.2026"/>
    <s v="Day case"/>
    <n v="109445"/>
    <s v="March"/>
    <n v="254724125679"/>
    <m/>
  </r>
  <r>
    <s v="UHSF-DFMH"/>
    <n v="2602004"/>
    <n v="62092"/>
    <s v="Nkaani Lelegwe"/>
    <n v="59"/>
    <x v="0"/>
    <s v="Male 0717992592"/>
    <s v="Contributor"/>
    <s v="Obstructive jaundice /GE/Gastritis"/>
    <x v="7"/>
    <s v="08.02.2026"/>
    <s v="10.03.2026"/>
    <n v="30"/>
    <n v="533761"/>
    <s v="March"/>
    <n v="254721293215"/>
    <m/>
  </r>
  <r>
    <s v="THE KAREN HOSP"/>
    <n v="2602004"/>
    <n v="62092"/>
    <s v="Nkaani Lelegwe"/>
    <n v="59"/>
    <x v="0"/>
    <s v="Male 0717992592"/>
    <s v="Contributor"/>
    <s v="Obstructive jaundice /GE/Gastritis"/>
    <x v="7"/>
    <s v="10.03.2026"/>
    <s v="14.03.2026"/>
    <n v="3"/>
    <n v="237918"/>
    <s v="March"/>
    <n v="254722422235"/>
    <m/>
  </r>
  <r>
    <s v="ST LUKE O&amp;T"/>
    <n v="2001461"/>
    <n v="18779"/>
    <s v="Samuel Chebos"/>
    <n v="71"/>
    <x v="0"/>
    <s v="Male"/>
    <s v="Contributor"/>
    <s v="Per rectal bleeding"/>
    <x v="7"/>
    <s v="04.02.2026"/>
    <s v="04.02.2026"/>
    <s v="Day case"/>
    <n v="25282"/>
    <s v="February "/>
    <m/>
    <m/>
  </r>
  <r>
    <s v="EXCELL HEALTH SERVICE "/>
    <n v="2004863"/>
    <n v="104510"/>
    <s v="Lathan Hassan"/>
    <n v="40"/>
    <x v="1"/>
    <s v="Female 0712738710"/>
    <s v="Spouse "/>
    <s v="PUD/Ge/sepsis"/>
    <x v="7"/>
    <s v="08.03.2026"/>
    <s v="11.03.2026"/>
    <n v="4"/>
    <n v="73167.5"/>
    <s v="March"/>
    <n v="254722720356"/>
    <m/>
  </r>
  <r>
    <s v="KNH"/>
    <n v="2002987"/>
    <n v="60750"/>
    <s v="Hussein Mohammed"/>
    <n v="51"/>
    <x v="0"/>
    <s v="Male 0728323604"/>
    <s v="Contributor"/>
    <s v="Rectal sigmoid polyp"/>
    <x v="7"/>
    <s v="28.02.2026"/>
    <s v="03.03.2026"/>
    <n v="3"/>
    <n v="109828"/>
    <s v="March"/>
    <n v="254722881608"/>
    <m/>
  </r>
  <r>
    <s v="UHSF - NRH"/>
    <n v="2020509"/>
    <n v="104396"/>
    <s v="Nancy Njeri"/>
    <n v="57"/>
    <x v="0"/>
    <s v="Female 0722228738"/>
    <s v="Spouse"/>
    <s v="Sever Gastritis/Chronic Headaches/Cervical Spondylosis"/>
    <x v="7"/>
    <s v="30.01.2026"/>
    <s v="07.02.2026"/>
    <n v="8"/>
    <n v="117459.09"/>
    <s v="February "/>
    <m/>
    <m/>
  </r>
  <r>
    <s v="NYANGENA HOSP"/>
    <n v="2001061"/>
    <n v="2067"/>
    <s v="Samuel Orucho"/>
    <n v="79"/>
    <x v="0"/>
    <s v="Male 0712055104"/>
    <s v="Contributor"/>
    <s v="Severe gastritis /cystitis /congestive cardiac failur"/>
    <x v="7"/>
    <s v="09.03.2026"/>
    <s v="15.03.2026"/>
    <s v=" 7"/>
    <n v="95988"/>
    <s v="March"/>
    <n v="254722613828"/>
    <m/>
  </r>
  <r>
    <s v="NANYUKI HOSP"/>
    <n v="2004386"/>
    <n v="13390"/>
    <s v="Sebastia Karugu"/>
    <n v="65"/>
    <x v="0"/>
    <s v="Male 0720838602"/>
    <s v="Contributor"/>
    <s v="Severe gastritis /htn/dm"/>
    <x v="7"/>
    <s v="21.02.2026"/>
    <s v="24.02.2026"/>
    <n v="3"/>
    <n v="61539"/>
    <s v="February "/>
    <m/>
    <m/>
  </r>
  <r>
    <s v="THE NAIROBI HOSP"/>
    <n v="2007704"/>
    <n v="100569"/>
    <s v="Jane Mackenzie"/>
    <n v="64"/>
    <x v="0"/>
    <s v="Female 0710295621"/>
    <s v="Contributor"/>
    <s v="Severe gastritis/ge/left sided numbness"/>
    <x v="7"/>
    <s v="12.01.2026"/>
    <s v="17.01.2026"/>
    <n v="4"/>
    <n v="384200"/>
    <s v="January"/>
    <m/>
    <m/>
  </r>
  <r>
    <s v="MEDINA HOSP"/>
    <n v="2023383"/>
    <n v="63571"/>
    <s v="Addulla Dubat"/>
    <n v="8"/>
    <x v="2"/>
    <s v="Male 0715210274"/>
    <s v="Child"/>
    <s v="Severe gastritis/pneumonia"/>
    <x v="7"/>
    <s v="10.03.2026"/>
    <s v="12.03.2026"/>
    <n v="2"/>
    <n v="104300"/>
    <s v="March"/>
    <n v="254720223134"/>
    <m/>
  </r>
  <r>
    <s v="MATER HOSP"/>
    <n v="2007413"/>
    <n v="20881"/>
    <s v="Elizabeth Wanjira"/>
    <n v="64"/>
    <x v="0"/>
    <s v="Female 0708753773"/>
    <s v="Spouse"/>
    <s v="Strangulated umbilical hernia/ perforated duodenal ulcer"/>
    <x v="7"/>
    <s v="26.01.2026"/>
    <s v="06.02.2026"/>
    <n v="11"/>
    <n v="887876"/>
    <s v="February "/>
    <m/>
    <m/>
  </r>
  <r>
    <s v="ST LUKES O&amp;T"/>
    <n v="2501189"/>
    <n v="60947"/>
    <s v="Betty Chepkoech"/>
    <n v="54"/>
    <x v="0"/>
    <s v="Female 0724248587"/>
    <s v="Spouse"/>
    <s v="Symptomatic choldithiasis"/>
    <x v="7"/>
    <s v="22.01.2026"/>
    <s v="24.01.2026"/>
    <n v="2"/>
    <n v="340763"/>
    <s v="January"/>
    <m/>
    <m/>
  </r>
  <r>
    <s v="UHSF- DFMH"/>
    <n v="2017426"/>
    <n v="103194"/>
    <s v="Hannah Wambui Njuguna"/>
    <n v="57"/>
    <x v="0"/>
    <s v="Female 0726055534"/>
    <s v="Spouse"/>
    <s v="Umbilical hernia"/>
    <x v="7"/>
    <s v="03.02.2026"/>
    <s v="07.02.2026"/>
    <n v="4"/>
    <n v="154345.79"/>
    <s v="February "/>
    <m/>
    <m/>
  </r>
  <r>
    <s v="ST FRANCIS COMMUNITY"/>
    <n v="2502191"/>
    <n v="80863"/>
    <s v="Evans Mwangombe"/>
    <n v="38"/>
    <x v="1"/>
    <s v="Male"/>
    <s v="Contributor"/>
    <s v="4th degree haemorrhoids ,ingrown toe nail"/>
    <x v="7"/>
    <s v="14.03.2026"/>
    <s v="14.03.2026"/>
    <s v="Day case"/>
    <n v="130000"/>
    <s v="March"/>
    <n v="254721554732"/>
    <m/>
  </r>
  <r>
    <s v="HOPKINS CRESENT"/>
    <n v="2003199"/>
    <n v="20996"/>
    <s v="Geoffrey Wanyama"/>
    <n v="61"/>
    <x v="0"/>
    <s v="Male 0722739849"/>
    <s v="Contributor"/>
    <s v="Acute coronary syndrome/Gastritis "/>
    <x v="7"/>
    <s v="25.03.2026 6,720.00"/>
    <s v="27.03.2026"/>
    <n v="2"/>
    <n v="33977"/>
    <s v="March"/>
    <n v="254722124363"/>
    <m/>
  </r>
  <r>
    <s v="CONSOLATA MATHARI"/>
    <n v="2504092"/>
    <n v="62534"/>
    <s v="Amos Kibunga"/>
    <n v="58"/>
    <x v="0"/>
    <s v="Male"/>
    <s v="Contributor"/>
    <s v="Gastric Ca "/>
    <x v="7"/>
    <s v="06.02.2026- Belated lou billed through smart on 05.02.26"/>
    <s v="06.02.2026"/>
    <s v="Oncology"/>
    <n v="40072"/>
    <s v="February "/>
    <m/>
    <m/>
  </r>
  <r>
    <s v="NAIROBI WEST HOSP"/>
    <n v="2006375"/>
    <n v="68552"/>
    <s v="Joy mutie"/>
    <m/>
    <x v="2"/>
    <s v="Female "/>
    <s v="Child "/>
    <s v="Gastritis "/>
    <x v="7"/>
    <s v="07.03.2026"/>
    <s v="07.03.2026"/>
    <s v="Day case"/>
    <n v="30000"/>
    <s v="March"/>
    <n v="254722420871"/>
    <m/>
  </r>
  <r>
    <s v="NAIROBI SOUTH HOSP"/>
    <n v="2005441"/>
    <n v="13962"/>
    <s v="Rosemary  Ndida"/>
    <n v="65"/>
    <x v="0"/>
    <s v="Female  0724712619"/>
    <s v="Spouse"/>
    <s v="Gastritis "/>
    <x v="7"/>
    <s v="25.03.2026"/>
    <s v="26.03.2026"/>
    <n v="1"/>
    <n v="43757.85"/>
    <s v="March"/>
    <n v="254722459249"/>
    <m/>
  </r>
  <r>
    <s v="NANYUKI HOSP "/>
    <n v="2004081"/>
    <n v="74710"/>
    <s v="Adanoor Hassan"/>
    <n v="42"/>
    <x v="1"/>
    <s v="Male "/>
    <s v="Contributor "/>
    <s v="Gastritis/ Hiatus hernia "/>
    <x v="7"/>
    <s v="27.03.2026"/>
    <s v="27.03.2026"/>
    <s v="Day Case"/>
    <n v="20000"/>
    <s v="March"/>
    <n v="254720890592"/>
    <m/>
  </r>
  <r>
    <s v="NAIROBI WOMEN-NAKURU"/>
    <n v="2011543"/>
    <n v="9552"/>
    <s v="David otieno Onyango "/>
    <n v="21"/>
    <x v="1"/>
    <s v="Male 0743669137"/>
    <s v="Son"/>
    <s v="Gastritis/Lower abdominal Bleeding "/>
    <x v="7"/>
    <s v="02.02.2026"/>
    <s v="05.02.2026"/>
    <n v="3"/>
    <n v="56677"/>
    <s v="February "/>
    <m/>
    <m/>
  </r>
  <r>
    <s v="PANDYA HOSP"/>
    <n v="2014910"/>
    <n v="31110"/>
    <s v="Jane Njeri"/>
    <n v="59"/>
    <x v="0"/>
    <s v="Female 0722713089"/>
    <s v="Spouse"/>
    <s v="Epigastric Hernia "/>
    <x v="8"/>
    <s v="17.03.2026"/>
    <s v="19.03.2026"/>
    <n v="2"/>
    <n v="228856"/>
    <s v="March"/>
    <n v="254710202545"/>
    <m/>
  </r>
  <r>
    <s v="POPE BENEDICT"/>
    <n v="2003623"/>
    <n v="10135"/>
    <s v="Duncan Kinyanjui"/>
    <n v="60"/>
    <x v="0"/>
    <s v="Male 0721352863"/>
    <s v="Contributor"/>
    <s v="Reducible Inguinal Hernia "/>
    <x v="8"/>
    <s v="01.01.2026"/>
    <s v="04.01.2026"/>
    <n v="3"/>
    <n v="100000"/>
    <s v="January"/>
    <m/>
    <m/>
  </r>
  <r>
    <s v="REALE HOSP"/>
    <n v="2018243"/>
    <n v="62659"/>
    <s v="Kimani Njuguna"/>
    <n v="59"/>
    <x v="0"/>
    <s v="Male 0727511340"/>
    <s v="Contributor"/>
    <s v="Acute Kidney Injury/RVD/Pancreatitis"/>
    <x v="9"/>
    <s v="13.01.2026"/>
    <s v="23.01.2026"/>
    <n v="10"/>
    <n v="320187"/>
    <s v="January"/>
    <m/>
    <m/>
  </r>
  <r>
    <s v="DAINI BEACH HOSP"/>
    <n v="2020728"/>
    <n v="55582"/>
    <s v="Mwinyi Kombo"/>
    <n v="62"/>
    <x v="0"/>
    <s v="Male 0720369765"/>
    <s v="Contributor"/>
    <s v="Acute Urinary retention/bph"/>
    <x v="9"/>
    <s v="29.01.2026"/>
    <s v="01.02.2026"/>
    <n v="3"/>
    <n v="75372"/>
    <s v="February "/>
    <m/>
    <m/>
  </r>
  <r>
    <s v="UHSF-NRH"/>
    <n v="2013704"/>
    <n v="12933"/>
    <s v="George Kimani"/>
    <n v="11"/>
    <x v="2"/>
    <s v="Female 0722420871"/>
    <s v="Child"/>
    <s v="Acute UTI"/>
    <x v="9"/>
    <s v="26.03.2026-Hosp to bill through smart"/>
    <s v="28.03.2026"/>
    <n v="1"/>
    <n v="8739"/>
    <s v="March"/>
    <n v="254729953155"/>
    <m/>
  </r>
  <r>
    <s v="CHERANGANY HOSP"/>
    <n v="2002525"/>
    <n v="10337"/>
    <s v="Jamin Manana"/>
    <n v="69"/>
    <x v="0"/>
    <s v="Male 0720813497"/>
    <s v="Contributor"/>
    <s v="AKI/AAA/severe acute asthma"/>
    <x v="9"/>
    <s v="16.01.2026"/>
    <s v="22.01.2026"/>
    <n v="6"/>
    <n v="180225"/>
    <s v="January"/>
    <m/>
    <m/>
  </r>
  <r>
    <s v="AGA KHAN UNIVERSITY"/>
    <n v="2001511"/>
    <n v="18974"/>
    <s v="Abdikadir Mohammed"/>
    <n v="56"/>
    <x v="0"/>
    <s v="Male 0721255998"/>
    <s v="Contributor"/>
    <s v="Bilateral varicoceles"/>
    <x v="9"/>
    <s v="01.02.2026 Hospital to Bill Through Smart"/>
    <s v="04.02.2026"/>
    <n v="3"/>
    <n v="636441.79"/>
    <s v="February "/>
    <m/>
    <m/>
  </r>
  <r>
    <s v="NORTHERN SPECIALISTS"/>
    <n v="2022970"/>
    <n v="59899"/>
    <s v="Mohamud Abikar Arale"/>
    <n v="63"/>
    <x v="0"/>
    <s v="Male 0725661357"/>
    <s v="Contributor"/>
    <s v="Bladder outlet obstruction"/>
    <x v="9"/>
    <s v="26.02.2026"/>
    <s v="03.03.2026"/>
    <n v="5"/>
    <n v="260100"/>
    <s v="March"/>
    <n v="254722722182"/>
    <m/>
  </r>
  <r>
    <s v="NANYUKI HOSP"/>
    <n v="2003111"/>
    <n v="53272"/>
    <s v="Godfrey Gitonga"/>
    <n v="67"/>
    <x v="0"/>
    <s v="Male"/>
    <s v="Contributor"/>
    <s v="Bladder outlet obstruction"/>
    <x v="9"/>
    <s v="24.01.2026"/>
    <s v="25.01.2026"/>
    <n v="1"/>
    <n v="68575"/>
    <s v="January"/>
    <m/>
    <m/>
  </r>
  <r>
    <s v="NANYUKI HOSP"/>
    <n v="2020764"/>
    <n v="42528"/>
    <s v="James Mbugua"/>
    <n v="64"/>
    <x v="0"/>
    <s v="Male 0701368360"/>
    <s v="Contributor"/>
    <s v="Bladder outlet obstruction/prostate enlargement"/>
    <x v="9"/>
    <s v="17.02.2026"/>
    <s v="21.02.2026"/>
    <n v="3"/>
    <n v="404929"/>
    <s v="February "/>
    <m/>
    <m/>
  </r>
  <r>
    <s v="OUTSPAN HOSP"/>
    <n v="2003111"/>
    <n v="53272"/>
    <s v="Godfrey Gitonga"/>
    <n v="67"/>
    <x v="0"/>
    <s v="Male 0721963084"/>
    <s v="Contributor"/>
    <s v="Bladder outlet obstruction/upper urinary tract rupture"/>
    <x v="9"/>
    <s v="26.01.2026"/>
    <s v="03.02.2026"/>
    <n v="8"/>
    <n v="487614"/>
    <s v="February "/>
    <m/>
    <m/>
  </r>
  <r>
    <s v="KNH"/>
    <n v="2012481"/>
    <n v="10103"/>
    <s v="Joseph Musili"/>
    <n v="63"/>
    <x v="0"/>
    <s v="Male"/>
    <s v="Contributor"/>
    <s v="BPH"/>
    <x v="9"/>
    <s v="06.03.2026"/>
    <s v="06.03.2026"/>
    <s v="Day case"/>
    <n v="84040"/>
    <s v="March"/>
    <n v="254726559225"/>
    <m/>
  </r>
  <r>
    <s v="AGA KHAN -MOMBASA"/>
    <n v="2406083"/>
    <n v="54863"/>
    <s v="Derick Maganga"/>
    <n v="63"/>
    <x v="0"/>
    <s v="Male 0721479471"/>
    <s v="Contributor"/>
    <s v="BPH"/>
    <x v="9"/>
    <s v="04.02.2026"/>
    <s v="08.02.2026"/>
    <n v="4"/>
    <n v="321578"/>
    <s v="February "/>
    <m/>
    <m/>
  </r>
  <r>
    <s v="BLOOM HOSP"/>
    <n v="2010997"/>
    <n v="13144"/>
    <s v="Alois Gachau"/>
    <n v="73"/>
    <x v="0"/>
    <s v="Male"/>
    <s v="Contributor"/>
    <s v="Bph"/>
    <x v="9"/>
    <s v="09.02.2026"/>
    <s v="14.02.2026"/>
    <n v="4"/>
    <n v="366866.1"/>
    <s v="February "/>
    <m/>
    <m/>
  </r>
  <r>
    <s v="REALE HOSP"/>
    <n v="2016320"/>
    <n v="13287"/>
    <s v="Jackson Kisire"/>
    <n v="64"/>
    <x v="0"/>
    <s v="Male"/>
    <s v="Contributor"/>
    <s v="BPH"/>
    <x v="9"/>
    <s v="18.02.2026"/>
    <s v="18.02.2026"/>
    <s v="Day case"/>
    <n v="41520"/>
    <s v="February "/>
    <m/>
    <m/>
  </r>
  <r>
    <s v="KIMININI COTTAGE"/>
    <n v="2019370"/>
    <n v="60236"/>
    <s v="Wafula Walumoli"/>
    <n v="60"/>
    <x v="0"/>
    <s v="Male 0721250193"/>
    <s v="Contributor"/>
    <s v="BPH"/>
    <x v="9"/>
    <s v="11.03.2026"/>
    <s v="19.03.2026"/>
    <n v="8"/>
    <n v="197385"/>
    <s v="March"/>
    <n v="254720242011"/>
    <m/>
  </r>
  <r>
    <s v="OUTSPAN HOSP"/>
    <n v="2002069"/>
    <n v="16836"/>
    <s v="John Kariuki"/>
    <n v="68"/>
    <x v="0"/>
    <s v="Male 0720677687"/>
    <s v="Contributor"/>
    <s v="BPH"/>
    <x v="9"/>
    <s v="12.01.2026"/>
    <s v="22.01.2026"/>
    <n v="10"/>
    <n v="273389.63"/>
    <s v="January"/>
    <m/>
    <m/>
  </r>
  <r>
    <s v="MEPHI HEALTH"/>
    <n v="2407508"/>
    <n v="57704"/>
    <s v="Kalume Katana"/>
    <n v="61"/>
    <x v="0"/>
    <s v="Male 0722124363"/>
    <s v="Contributor"/>
    <s v="BPH"/>
    <x v="9"/>
    <s v="24.01.2026"/>
    <s v="27.01.2026"/>
    <n v="3"/>
    <n v="266375"/>
    <s v="January"/>
    <m/>
    <m/>
  </r>
  <r>
    <s v="Jordan Hosp"/>
    <n v="2019239"/>
    <n v="16425"/>
    <s v="Alexander Ngugi"/>
    <n v="63"/>
    <x v="0"/>
    <s v="Male"/>
    <s v="Contributor"/>
    <s v="Bph"/>
    <x v="9"/>
    <s v="26.01.2026"/>
    <s v="30.01.2026"/>
    <n v="4"/>
    <n v="337550"/>
    <s v="January"/>
    <m/>
    <m/>
  </r>
  <r>
    <s v="PCEA CHOGORIA HOSP"/>
    <n v="2006695"/>
    <n v="100802"/>
    <s v="Joram Arithi "/>
    <n v="66"/>
    <x v="0"/>
    <s v="Male 0721681450"/>
    <s v="Contributor"/>
    <s v="Bph for TURP"/>
    <x v="9"/>
    <s v="03.03.2026"/>
    <s v="07.03.2026"/>
    <n v="4"/>
    <n v="111522"/>
    <s v="March"/>
    <n v="254727502382"/>
    <m/>
  </r>
  <r>
    <s v="ST LUKES O&amp;T"/>
    <n v="2017014"/>
    <n v="59161"/>
    <s v="David Kipchoge"/>
    <n v="61"/>
    <x v="0"/>
    <s v="Male 0722459249"/>
    <s v="Contributor"/>
    <s v="BPH for TURP"/>
    <x v="9"/>
    <s v="05.03.2026"/>
    <s v="09.03.2026"/>
    <n v="4"/>
    <n v="363704.8"/>
    <s v="March"/>
    <n v="254722680420"/>
    <m/>
  </r>
  <r>
    <s v="AGA KAHN KISUMU"/>
    <n v="2001355"/>
    <n v="4799"/>
    <s v="Jethro Odero"/>
    <n v="78"/>
    <x v="0"/>
    <s v="Male 0704150060"/>
    <s v="Contributor"/>
    <s v="BPH/CKD/Hyperukemia with severe Mal"/>
    <x v="9"/>
    <s v="23.03.2026"/>
    <s v="27.03.2026"/>
    <n v="4"/>
    <n v="173509"/>
    <s v="March"/>
    <n v="254722301464"/>
    <m/>
  </r>
  <r>
    <s v="KISUMU SPECIALIST"/>
    <n v="2012328"/>
    <n v="101557"/>
    <s v="Yofas Amugongo"/>
    <n v="67"/>
    <x v="0"/>
    <s v="Male 0733824822"/>
    <s v="Contributor"/>
    <s v="Bph/dm/urosepsis/asthma"/>
    <x v="9"/>
    <s v="12.01.2026"/>
    <s v="16.01.2026"/>
    <n v="4"/>
    <n v="173896"/>
    <s v="January"/>
    <m/>
    <m/>
  </r>
  <r>
    <s v="DAINI BEACH HOSP"/>
    <n v="2020728"/>
    <n v="55582"/>
    <s v="Mwingi Kombo"/>
    <n v="62"/>
    <x v="0"/>
    <s v="Male 0720369765"/>
    <s v="Contributor"/>
    <s v="BPH/Urine retention"/>
    <x v="9"/>
    <s v="08.02.2026"/>
    <s v="10.02.2026"/>
    <n v="2"/>
    <n v="343972"/>
    <s v="February "/>
    <m/>
    <m/>
  </r>
  <r>
    <s v="ST LUKES O&amp;T"/>
    <n v="2004283"/>
    <n v="13839"/>
    <s v="Humphrey Kipkeror"/>
    <n v="67"/>
    <x v="0"/>
    <s v="Male "/>
    <s v="Contributor"/>
    <s v="CKD"/>
    <x v="9"/>
    <s v="02.01.2026"/>
    <s v="02.01.2026"/>
    <s v="Dialysis"/>
    <n v="11500"/>
    <s v="January"/>
    <m/>
    <m/>
  </r>
  <r>
    <s v="ST LUKES O&amp;T"/>
    <n v="2003958"/>
    <n v="31482"/>
    <s v="Cornelius Makokha "/>
    <n v="66"/>
    <x v="0"/>
    <s v="Male "/>
    <s v="Contributor"/>
    <s v="CKD"/>
    <x v="9"/>
    <s v="02.01.2026"/>
    <s v="02.01.2026"/>
    <s v="Dialysis"/>
    <n v="11500"/>
    <s v="January"/>
    <m/>
    <m/>
  </r>
  <r>
    <s v="UHSF-IRH"/>
    <n v="2010871"/>
    <n v="56685"/>
    <s v="Robert Mbaya "/>
    <n v="63"/>
    <x v="0"/>
    <s v="Male "/>
    <s v="Contributor"/>
    <s v="CKD"/>
    <x v="9"/>
    <s v="02.01.2026"/>
    <s v="02.01.2026"/>
    <s v="Dialysis"/>
    <n v="9025"/>
    <s v="January"/>
    <m/>
    <m/>
  </r>
  <r>
    <s v="TANAKA NURSING"/>
    <n v="2012620"/>
    <n v="102835"/>
    <s v="Beatrice Nafula"/>
    <n v="63"/>
    <x v="0"/>
    <s v="Female "/>
    <s v="Spouse"/>
    <s v="CKD"/>
    <x v="9"/>
    <s v="02.01.2026"/>
    <s v="02.01.2026"/>
    <s v="Dialysis"/>
    <n v="10650"/>
    <s v="January"/>
    <m/>
    <m/>
  </r>
  <r>
    <s v="BRISTAL PARK HOSP"/>
    <n v="2001823"/>
    <n v="10576"/>
    <s v="Alex Mutiso "/>
    <n v="72"/>
    <x v="0"/>
    <s v="Male "/>
    <s v="Contributor"/>
    <s v="CKD"/>
    <x v="9"/>
    <s v="03.03.2026"/>
    <s v="03.03.2026"/>
    <s v="Dialysis"/>
    <n v="10500"/>
    <s v="March"/>
    <n v="254722348407"/>
    <m/>
  </r>
  <r>
    <s v="UHSF - LRH"/>
    <n v="2003444"/>
    <n v="18642"/>
    <s v="David Gikera"/>
    <n v="63"/>
    <x v="0"/>
    <s v="Male"/>
    <s v="Contributor"/>
    <s v="CKD"/>
    <x v="9"/>
    <s v="06.03.2026"/>
    <s v="06.03.2026"/>
    <s v="Dialysis"/>
    <n v="9025"/>
    <s v="March"/>
    <n v="254710209301"/>
    <m/>
  </r>
  <r>
    <s v="DIANI BEACH"/>
    <n v="2002228"/>
    <n v="31315"/>
    <s v="John Henrsty"/>
    <n v="70"/>
    <x v="0"/>
    <s v="Male"/>
    <s v="Contributor"/>
    <s v="CKD"/>
    <x v="9"/>
    <s v="07.01.2026"/>
    <s v="07.01.2026"/>
    <s v="Dialysis"/>
    <n v="10650"/>
    <s v="January"/>
    <m/>
    <m/>
  </r>
  <r>
    <s v="TAWFIQ HOSP"/>
    <n v="2001402"/>
    <n v="37163"/>
    <s v="Seif Sheyumbe"/>
    <n v="63"/>
    <x v="0"/>
    <s v="Male"/>
    <s v="Contributor"/>
    <s v="CKD"/>
    <x v="9"/>
    <s v="07.02.2026"/>
    <s v="07.02.2026"/>
    <s v="Dialysis"/>
    <n v="13000"/>
    <s v="February "/>
    <m/>
    <m/>
  </r>
  <r>
    <s v="THE KAREN HOSP"/>
    <n v="2012620"/>
    <n v="102835"/>
    <s v="Beatrice Juma"/>
    <n v="64"/>
    <x v="0"/>
    <s v="Female"/>
    <s v="Spouse"/>
    <s v="CKD"/>
    <x v="9"/>
    <s v="07.02.2026"/>
    <s v="07.02.2026"/>
    <s v="Dialysis"/>
    <n v="9500"/>
    <s v="February "/>
    <m/>
    <m/>
  </r>
  <r>
    <s v="TAWFIQ HOSP"/>
    <n v="2001404"/>
    <n v="37163"/>
    <s v="Seif Sheyumbe"/>
    <n v="63"/>
    <x v="0"/>
    <s v="Male "/>
    <s v="Contributor"/>
    <s v="CKD"/>
    <x v="9"/>
    <s v="07.03.2026"/>
    <s v="07.03.2026"/>
    <s v="Dialysis"/>
    <n v="13000"/>
    <s v="March"/>
    <n v="254715509227"/>
    <m/>
  </r>
  <r>
    <s v="THE KAREN HOSP"/>
    <n v="2012620"/>
    <n v="102835"/>
    <s v="Beatrice Juma"/>
    <n v="64"/>
    <x v="0"/>
    <s v="Female "/>
    <s v="Spouse "/>
    <s v="CKD"/>
    <x v="9"/>
    <s v="07.03.2026Hosp billed as out patient"/>
    <s v="07.03.2026"/>
    <s v="Dialysis"/>
    <n v="9500"/>
    <s v="March"/>
    <n v="254759231438"/>
    <m/>
  </r>
  <r>
    <s v="UHSF -DFMH"/>
    <n v="2017742"/>
    <n v="37239"/>
    <s v="James Macharia"/>
    <n v="63"/>
    <x v="0"/>
    <s v="Male"/>
    <s v="Contributor"/>
    <s v="CKD"/>
    <x v="9"/>
    <s v="09.01.2026-Hosp billed as Outpatient"/>
    <s v="09.01.2026"/>
    <s v="Dialysis"/>
    <n v="9025"/>
    <s v="January"/>
    <m/>
    <m/>
  </r>
  <r>
    <s v="TANAKA NURSING"/>
    <n v="2012620"/>
    <n v="102835"/>
    <s v="Beatrice Nafula"/>
    <n v="64"/>
    <x v="0"/>
    <s v="Female"/>
    <s v="Spouse"/>
    <s v="CKD"/>
    <x v="9"/>
    <s v="09.01.2026"/>
    <s v="09.01.2026"/>
    <s v="Dialysis"/>
    <n v="10650"/>
    <s v="January"/>
    <m/>
    <m/>
  </r>
  <r>
    <s v="ST LUKES O&amp;T"/>
    <n v="2004283"/>
    <n v="13839"/>
    <s v="Humphrey Chelelgo"/>
    <n v="68"/>
    <x v="0"/>
    <s v="Male"/>
    <s v="Contributor"/>
    <s v="CKD"/>
    <x v="9"/>
    <s v="10.01.2026"/>
    <s v="10.01.2026"/>
    <s v="Dialysis"/>
    <n v="11500"/>
    <s v="January"/>
    <m/>
    <m/>
  </r>
  <r>
    <s v="THE KAREN HOSP"/>
    <n v="2012620"/>
    <n v="102835"/>
    <s v="Beatrice Nafula"/>
    <n v="64"/>
    <x v="0"/>
    <s v="Female"/>
    <s v="Spouse"/>
    <s v="CKD"/>
    <x v="9"/>
    <s v="11.02.2026"/>
    <s v="11.02.2026"/>
    <s v="Dialysis"/>
    <n v="9500"/>
    <s v="February "/>
    <m/>
    <m/>
  </r>
  <r>
    <s v="THE KAREN HOSP"/>
    <n v="2012620"/>
    <n v="102835"/>
    <s v="Beatrice Juma"/>
    <n v="63"/>
    <x v="0"/>
    <s v="Female"/>
    <s v="Spouse"/>
    <s v="CKD"/>
    <x v="9"/>
    <s v="11.03.2026"/>
    <s v="11.03.2026"/>
    <s v="Dialysis"/>
    <n v="9500"/>
    <s v="March"/>
    <n v="254759231438"/>
    <m/>
  </r>
  <r>
    <s v="MTRH"/>
    <n v="2001033"/>
    <n v="5326"/>
    <s v="Tyler Mukhwana"/>
    <n v="18"/>
    <x v="2"/>
    <s v="Male"/>
    <s v="Child"/>
    <s v="CKD"/>
    <x v="9"/>
    <s v="12.01.2026-Hosp to bill through smart"/>
    <s v="12.01.2026"/>
    <s v="Dialysis"/>
    <n v="8129.66"/>
    <s v="January"/>
    <m/>
    <m/>
  </r>
  <r>
    <s v="TANAKA NURSING"/>
    <n v="2012620"/>
    <n v="102835"/>
    <s v="Beatrice Juma"/>
    <n v="64"/>
    <x v="0"/>
    <s v="Female"/>
    <s v="Spouse"/>
    <s v="CKD"/>
    <x v="9"/>
    <s v="13.01.2026"/>
    <s v="13.01.2026"/>
    <s v="Dialysis"/>
    <n v="10650"/>
    <s v="January"/>
    <m/>
    <m/>
  </r>
  <r>
    <s v="TAWFIQ HOSP"/>
    <n v="2001404"/>
    <n v="37163"/>
    <s v="Seif Sheyumbe "/>
    <n v="63"/>
    <x v="0"/>
    <s v="Male"/>
    <s v="Contributor"/>
    <s v="CKD"/>
    <x v="9"/>
    <s v="13.02.2026-SHA (26,000.00)"/>
    <s v="13.02.2026"/>
    <s v="Dialysis"/>
    <n v="13000"/>
    <s v="February "/>
    <m/>
    <m/>
  </r>
  <r>
    <s v="UHSF-IRH"/>
    <n v="2010871"/>
    <n v="56685"/>
    <s v="Robert Mbaya "/>
    <n v="63"/>
    <x v="0"/>
    <s v="Male"/>
    <s v="Contributor"/>
    <s v="CKD"/>
    <x v="9"/>
    <s v="13.02.2026"/>
    <s v="13.02.2026"/>
    <s v="Dialysis"/>
    <n v="9025"/>
    <s v="February "/>
    <m/>
    <m/>
  </r>
  <r>
    <s v="UHSF - LRH"/>
    <n v="2003444"/>
    <n v="18642"/>
    <s v="David Gikera"/>
    <n v="63"/>
    <x v="0"/>
    <s v="Male"/>
    <s v="Contributor"/>
    <s v="CKD"/>
    <x v="9"/>
    <s v="13.03.2026Hosp to request LOU"/>
    <s v="13.03.2026"/>
    <s v="Dialysis"/>
    <n v="9025"/>
    <s v="March"/>
    <n v="254722505895"/>
    <m/>
  </r>
  <r>
    <s v="TAWFIQ HOSP"/>
    <n v="2001404"/>
    <n v="37163"/>
    <s v="Seif Sheyumbe"/>
    <n v="63"/>
    <x v="0"/>
    <s v="Male"/>
    <s v="Contributor"/>
    <s v="CKD"/>
    <x v="9"/>
    <s v="14.03.2026"/>
    <s v="14.03.2026"/>
    <s v="Dialysis"/>
    <n v="13000"/>
    <s v="March"/>
    <n v="254715509227"/>
    <m/>
  </r>
  <r>
    <s v="TANAKA NURSING"/>
    <n v="2012620"/>
    <n v="102835"/>
    <s v="Beatrice Juma"/>
    <n v="64"/>
    <x v="0"/>
    <s v="Female"/>
    <s v="Spouse"/>
    <s v="CKD"/>
    <x v="9"/>
    <s v="16.01.2026"/>
    <s v="16.01.2026"/>
    <s v="Dialysis"/>
    <n v="10650"/>
    <s v="January"/>
    <m/>
    <m/>
  </r>
  <r>
    <s v="THE KAREN HOSP"/>
    <n v="2012620"/>
    <n v="102835"/>
    <s v="Beatrice Juma"/>
    <n v="64"/>
    <x v="0"/>
    <s v="Female"/>
    <s v="Spouse"/>
    <s v="CKD"/>
    <x v="9"/>
    <s v="17.02.2026"/>
    <s v="17.02.2026"/>
    <s v="Dialysis"/>
    <n v="9500"/>
    <s v="February "/>
    <m/>
    <m/>
  </r>
  <r>
    <s v="DAINI BEACH HOSP"/>
    <n v="2002228"/>
    <n v="31315"/>
    <s v="John Hernesty"/>
    <n v="72"/>
    <x v="0"/>
    <s v="Male"/>
    <s v="Contributor"/>
    <s v="CKD"/>
    <x v="9"/>
    <s v="18.02.2026"/>
    <s v="18.02.2026"/>
    <s v="Dialysis"/>
    <n v="10650"/>
    <s v="February "/>
    <m/>
    <m/>
  </r>
  <r>
    <s v="UHSF- DFMH"/>
    <n v="2511271"/>
    <n v="62552"/>
    <s v="Timothy Karugui"/>
    <n v="14"/>
    <x v="2"/>
    <s v="Male"/>
    <s v="Child"/>
    <s v="CKD"/>
    <x v="9"/>
    <s v="18.02.2026-Hosp billed as out patient"/>
    <s v="18.02.2026"/>
    <s v="Dialysis"/>
    <n v="9025"/>
    <s v="February "/>
    <m/>
    <m/>
  </r>
  <r>
    <s v="UHSF-NRH"/>
    <n v="2405040"/>
    <n v="31911"/>
    <s v="Sammy Nyagah"/>
    <n v="63"/>
    <x v="0"/>
    <s v="Male"/>
    <s v="Contributor"/>
    <s v="CKD"/>
    <x v="9"/>
    <s v="20.01.2026"/>
    <s v="20.01.2026"/>
    <s v="Dialysis"/>
    <n v="9025"/>
    <s v="January"/>
    <m/>
    <m/>
  </r>
  <r>
    <s v="UHSF-NRH"/>
    <n v="2407151"/>
    <n v="60104"/>
    <s v="Fredrick Mburu"/>
    <n v="59"/>
    <x v="0"/>
    <s v="Male"/>
    <s v="Contributor"/>
    <s v="CKD"/>
    <x v="9"/>
    <s v="20.01.2026"/>
    <s v="20.01.2026"/>
    <s v="Dialysis"/>
    <n v="9025"/>
    <s v="January"/>
    <m/>
    <m/>
  </r>
  <r>
    <s v="TANAKA NURSING"/>
    <n v="2012620"/>
    <n v="102835"/>
    <s v="Beatrice Nafula"/>
    <n v="64"/>
    <x v="0"/>
    <s v="Female"/>
    <s v="Spouse"/>
    <s v="CKD"/>
    <x v="9"/>
    <s v="20.01.2026"/>
    <s v="20.01.2026"/>
    <s v="Dialysis"/>
    <n v="10650"/>
    <s v="January"/>
    <m/>
    <m/>
  </r>
  <r>
    <s v="UHSF - NRH"/>
    <n v="2002754"/>
    <n v="11467"/>
    <s v="Bute Halake"/>
    <n v="73"/>
    <x v="0"/>
    <s v="Male"/>
    <s v="Contributor"/>
    <s v="CKD"/>
    <x v="9"/>
    <s v="26.02.2026"/>
    <s v="26.02.2026"/>
    <s v="Dialysis"/>
    <n v="9025"/>
    <s v="February "/>
    <m/>
    <m/>
  </r>
  <r>
    <s v="TANAKA NURSING"/>
    <n v="2012620"/>
    <n v="102835"/>
    <s v="Beatrice Nafula"/>
    <n v="64"/>
    <x v="0"/>
    <s v="Female"/>
    <s v="Spouse"/>
    <s v="CKD"/>
    <x v="9"/>
    <s v="27.01.2026"/>
    <s v="27.01.2026"/>
    <s v="Dialysis"/>
    <n v="10650"/>
    <s v="January"/>
    <m/>
    <m/>
  </r>
  <r>
    <s v="UHSF-IRH"/>
    <n v="2010871"/>
    <n v="56685"/>
    <s v="Robert Arimi"/>
    <n v="64"/>
    <x v="0"/>
    <s v="Male"/>
    <s v="Contributor"/>
    <s v="CKD"/>
    <x v="9"/>
    <s v="27.02.2026"/>
    <s v="27.02.2026"/>
    <s v="Dialysis"/>
    <n v="9025"/>
    <s v="February "/>
    <m/>
    <m/>
  </r>
  <r>
    <s v="UHSF-NRH"/>
    <n v="2405040"/>
    <n v="31911"/>
    <s v="Sammy Nyagah"/>
    <n v="63"/>
    <x v="0"/>
    <s v="Male"/>
    <s v="Contributor"/>
    <s v="CKD"/>
    <x v="9"/>
    <s v="29.01.2026"/>
    <s v="29.01.20"/>
    <s v="Dialysis"/>
    <n v="9025"/>
    <s v="January"/>
    <m/>
    <m/>
  </r>
  <r>
    <s v="DIANI BEACH"/>
    <n v="2002228"/>
    <n v="31315"/>
    <s v="John Marwa"/>
    <n v="70"/>
    <x v="0"/>
    <s v="Male"/>
    <s v="Contributor"/>
    <s v="CKD/DM"/>
    <x v="9"/>
    <s v="14.01.2026"/>
    <s v="14.01.2026"/>
    <s v="Dialysis"/>
    <n v="10650"/>
    <s v="January"/>
    <m/>
    <m/>
  </r>
  <r>
    <s v="THE KAREN HOSP"/>
    <n v="2001034"/>
    <n v="20567"/>
    <s v="Etychus Waithaka"/>
    <n v="76"/>
    <x v="0"/>
    <s v="Male"/>
    <s v="Contributor"/>
    <s v="CKD/dm"/>
    <x v="9"/>
    <s v="26.01.2026-Hosp billed as out patient"/>
    <s v="26.01.2026"/>
    <s v="Dialysis"/>
    <n v="12150"/>
    <s v="January"/>
    <m/>
    <m/>
  </r>
  <r>
    <s v="PREMIER HOSP"/>
    <n v="2017509"/>
    <n v="19309"/>
    <s v="Muhammad Shukry "/>
    <n v="64"/>
    <x v="0"/>
    <s v="Male "/>
    <s v="Contributor"/>
    <s v="CKD/ESRD"/>
    <x v="9"/>
    <s v="25.03.2026"/>
    <s v="25.03.2026"/>
    <s v="Dialysis"/>
    <n v="8500"/>
    <s v="March"/>
    <n v="254722271315"/>
    <m/>
  </r>
  <r>
    <s v="UHSF - LRH"/>
    <n v="2003444"/>
    <n v="18642"/>
    <s v="David Gikera"/>
    <n v="64"/>
    <x v="0"/>
    <s v="Male"/>
    <s v="Contributor"/>
    <s v="CKD/Essential htn"/>
    <x v="9"/>
    <s v="03.02.2026"/>
    <s v="02.02.2026"/>
    <n v="1"/>
    <n v="82225"/>
    <s v="February "/>
    <m/>
    <m/>
  </r>
  <r>
    <s v="UHSF - LRH"/>
    <n v="2003444"/>
    <n v="18642"/>
    <s v="David Gikera"/>
    <n v="63"/>
    <x v="0"/>
    <s v="Male"/>
    <s v="Contributor"/>
    <s v="CKD/Essential htn"/>
    <x v="9"/>
    <s v="11.02.2026"/>
    <s v="11.02.2026"/>
    <s v="Dialysis"/>
    <n v="9025"/>
    <s v="February "/>
    <m/>
    <m/>
  </r>
  <r>
    <s v="REALE HOSP"/>
    <n v="2021242"/>
    <n v="60266"/>
    <s v="Peter Wanjala"/>
    <n v="61"/>
    <x v="0"/>
    <s v="Male"/>
    <s v="Contributor"/>
    <s v="CKD/HTN/dm"/>
    <x v="9"/>
    <s v="09.01.2026"/>
    <s v="11.01.2026"/>
    <n v="1"/>
    <n v="64286"/>
    <s v="January"/>
    <m/>
    <m/>
  </r>
  <r>
    <s v="TAWFIQ HOSP"/>
    <n v="2001404"/>
    <n v="37163"/>
    <s v="Seif Sheyumbe"/>
    <n v="63"/>
    <x v="0"/>
    <s v="Male 0729953155"/>
    <s v="Contributor"/>
    <s v="CKD/Sepsis"/>
    <x v="9"/>
    <s v="16.02.2026 (sha 26,880.00)"/>
    <s v="21.02.2026"/>
    <n v="4"/>
    <n v="184739"/>
    <s v="February "/>
    <m/>
    <m/>
  </r>
  <r>
    <s v="ST LUKES O&amp;T"/>
    <n v="2003958"/>
    <n v="31482"/>
    <s v="Cornelius Wegulo"/>
    <n v="67"/>
    <x v="0"/>
    <s v="Male"/>
    <s v="Contributor"/>
    <s v="CKF/DM/HTN"/>
    <x v="9"/>
    <s v="09.01.2026"/>
    <s v="09.01.2026"/>
    <s v="Dialysis"/>
    <n v="11500"/>
    <s v="January"/>
    <m/>
    <m/>
  </r>
  <r>
    <s v="ST FRANCIS COMMUNITY"/>
    <n v="2006586"/>
    <n v="9088"/>
    <s v="Agnes Muthama"/>
    <n v="70"/>
    <x v="0"/>
    <s v="Female 0719469132"/>
    <s v="Spouse"/>
    <s v="Cystocele urethrocele"/>
    <x v="9"/>
    <s v="19.02.2026"/>
    <s v="21.02.2026"/>
    <n v="1"/>
    <n v="215893"/>
    <s v="February "/>
    <m/>
    <m/>
  </r>
  <r>
    <s v="NAKURU SPECIALIST"/>
    <n v="2016894"/>
    <n v="57521"/>
    <s v="Magdaline Wanjiru"/>
    <n v="65"/>
    <x v="0"/>
    <s v="Female"/>
    <s v="Spouse"/>
    <s v="Cytocele &amp;rectocele"/>
    <x v="9"/>
    <s v="20.02.2026"/>
    <s v="21.02.2026"/>
    <n v="1"/>
    <n v="296910"/>
    <s v="February "/>
    <m/>
    <m/>
  </r>
  <r>
    <s v="THE KAREN HOSP"/>
    <n v="2012620"/>
    <n v="102835"/>
    <s v="Beatrice Juma"/>
    <n v="64"/>
    <x v="0"/>
    <s v="Female"/>
    <s v="Spouse"/>
    <s v="Dialysis"/>
    <x v="9"/>
    <s v="18.03.2026"/>
    <s v="18.03.2026"/>
    <s v="Dialysis"/>
    <n v="9500"/>
    <s v="March"/>
    <n v="254728775531"/>
    <m/>
  </r>
  <r>
    <s v="Nairobi South"/>
    <n v="2012118"/>
    <n v="18259"/>
    <s v="Scholastica Nzisa"/>
    <n v="63"/>
    <x v="0"/>
    <s v="Female"/>
    <s v="Spouse"/>
    <s v="DJ-Stent removal"/>
    <x v="9"/>
    <s v="31.01.2026"/>
    <s v="31.01.2026"/>
    <s v="Day case"/>
    <n v="127093"/>
    <s v="January"/>
    <m/>
    <m/>
  </r>
  <r>
    <s v="UHSF-IRH"/>
    <n v="2015712"/>
    <n v="13892"/>
    <s v="Amina Ibrahim"/>
    <n v="58"/>
    <x v="0"/>
    <s v="Female 0791050789"/>
    <s v="Spouse"/>
    <s v="Endometrial hyperplasia"/>
    <x v="9"/>
    <s v="12.01.2026"/>
    <s v="17.01.2026"/>
    <n v="5"/>
    <n v="139283"/>
    <s v="January"/>
    <m/>
    <m/>
  </r>
  <r>
    <s v="ST LUKES O&amp;T"/>
    <n v="2005052"/>
    <n v="13711"/>
    <s v="Esther Chepkosgei"/>
    <n v="57"/>
    <x v="0"/>
    <s v="Female 0726588831"/>
    <s v="Spouse"/>
    <s v="Endometrial hyperplasis"/>
    <x v="9"/>
    <s v="13.01.2026"/>
    <s v="17.01.2026"/>
    <n v="3"/>
    <n v="286504.59999999998"/>
    <s v="January"/>
    <m/>
    <m/>
  </r>
  <r>
    <s v="UHSF-DFMH"/>
    <n v="2020636"/>
    <n v="18572"/>
    <s v="Joseph Asuna"/>
    <n v="63"/>
    <x v="0"/>
    <s v="Male 0727944027"/>
    <s v="Contributor"/>
    <s v="Enlarged Prostate/ Cholecystitis/ Obstructive Jaundice/ Hepatic Encephalopathy"/>
    <x v="9"/>
    <s v="09.02.2026 Deceased"/>
    <s v="04.03.2026"/>
    <n v="23"/>
    <n v="405877.22"/>
    <s v="March"/>
    <n v="254720718885"/>
    <m/>
  </r>
  <r>
    <s v="UHSF - NRH"/>
    <n v="2020636"/>
    <n v="18572"/>
    <s v="Joseph Asuna"/>
    <n v="63"/>
    <x v="0"/>
    <s v="Male 0727944027"/>
    <s v="Contributor"/>
    <s v="Enlarged prostate/cholecystitis/ obstructive jaundice"/>
    <x v="9"/>
    <s v="06.02.2026            -Belated,Hosp ti bill through smart"/>
    <s v="10.02.2026"/>
    <n v="4"/>
    <n v="127240"/>
    <s v="February "/>
    <m/>
    <m/>
  </r>
  <r>
    <s v="BLOOM HOSP"/>
    <n v="2020636"/>
    <n v="18572"/>
    <s v="Joseph Asuna"/>
    <n v="63"/>
    <x v="0"/>
    <s v="Male 0727944027"/>
    <s v="Contributor"/>
    <s v="Enlarged prostate/hematuria"/>
    <x v="9"/>
    <s v="29.01.2026"/>
    <s v="07.02.2026"/>
    <n v="6"/>
    <n v="316061"/>
    <s v="February "/>
    <m/>
    <m/>
  </r>
  <r>
    <s v="UHSF - LRH"/>
    <n v="2020636"/>
    <n v="18572"/>
    <s v="Joseph Asuna"/>
    <n v="63"/>
    <x v="0"/>
    <s v="Male 0727944027"/>
    <s v="Contributor"/>
    <s v="Enlarged prostate/hematuria"/>
    <x v="9"/>
    <s v="06.02.2026"/>
    <s v="09.02.2026"/>
    <n v="3"/>
    <n v="127240"/>
    <s v="February "/>
    <m/>
    <m/>
  </r>
  <r>
    <s v="UHSF-LRH"/>
    <n v="2003444"/>
    <n v="18642"/>
    <s v="David Gikera"/>
    <n v="64"/>
    <x v="0"/>
    <s v="Male "/>
    <s v="Contributor"/>
    <s v="ESRD"/>
    <x v="9"/>
    <s v="01.01.2026"/>
    <s v="01.01.2026"/>
    <s v="Dialysis"/>
    <n v="9025"/>
    <s v="January"/>
    <m/>
    <m/>
  </r>
  <r>
    <s v="BRISTOL PARK"/>
    <n v="2019634"/>
    <n v="42684"/>
    <s v="Simon Nzyoka"/>
    <n v="68"/>
    <x v="0"/>
    <s v="Male"/>
    <s v="Spouse"/>
    <s v="ESRD"/>
    <x v="9"/>
    <s v="02.01.2026"/>
    <s v="02.01.2026"/>
    <s v="Dialysis"/>
    <n v="10650"/>
    <s v="January"/>
    <m/>
    <m/>
  </r>
  <r>
    <s v="ST LUKE O&amp;T"/>
    <n v="2502095"/>
    <n v="21102"/>
    <s v="John Koskei"/>
    <n v="57"/>
    <x v="0"/>
    <s v="Male"/>
    <s v="Contributor"/>
    <s v="ESRD"/>
    <x v="9"/>
    <s v="02.02.2026"/>
    <s v="02.02.2026"/>
    <s v="Dialysis"/>
    <n v="11500"/>
    <s v="February "/>
    <m/>
    <m/>
  </r>
  <r>
    <s v="ST LUKES O&amp;T"/>
    <n v="2502095"/>
    <n v="21102"/>
    <s v="John Koskei "/>
    <n v="63"/>
    <x v="0"/>
    <s v="Male"/>
    <s v="Contributor"/>
    <s v="ESRD"/>
    <x v="9"/>
    <s v="25.02.2026"/>
    <s v="02.03.2026"/>
    <s v="Dialysis"/>
    <n v="11500"/>
    <s v="March"/>
    <n v="254715509227"/>
    <m/>
  </r>
  <r>
    <s v="OLLMH"/>
    <n v="2014318"/>
    <n v="61208"/>
    <s v="Paul Waweru"/>
    <n v="63"/>
    <x v="0"/>
    <s v="Male"/>
    <s v="Contributor"/>
    <s v="ESRD"/>
    <x v="9"/>
    <s v="02.03.2026"/>
    <s v="02.03.2026"/>
    <s v="Dialysis"/>
    <n v="9500"/>
    <s v="March"/>
    <n v="254722679315"/>
    <m/>
  </r>
  <r>
    <s v="BRISTOL PARK HOSP"/>
    <n v="2001823"/>
    <n v="10576"/>
    <s v="Alex Ndambuki"/>
    <n v="71"/>
    <x v="0"/>
    <s v="Male"/>
    <s v="Contributor"/>
    <s v="ESRD"/>
    <x v="9"/>
    <s v="03.02.2026"/>
    <s v="03.02.2026"/>
    <s v="Dialysis"/>
    <n v="10650"/>
    <s v="February "/>
    <m/>
    <m/>
  </r>
  <r>
    <s v="BLOOM HOSP"/>
    <n v="2003444"/>
    <n v="18642"/>
    <s v="David Gikera"/>
    <n v="64"/>
    <x v="0"/>
    <s v="Male"/>
    <s v="Contributor"/>
    <s v="ESRD"/>
    <x v="9"/>
    <s v="03.02.2026"/>
    <s v="03.02.2026"/>
    <s v="Dialysis"/>
    <n v="14260"/>
    <s v="February "/>
    <m/>
    <m/>
  </r>
  <r>
    <s v="UHSF- DFMH"/>
    <n v="2407253"/>
    <n v="18992"/>
    <s v="Kimutai Kimei"/>
    <n v="57"/>
    <x v="0"/>
    <s v="Male"/>
    <s v="Contributor"/>
    <s v="ESRD"/>
    <x v="9"/>
    <s v="03.02.2026-Hosp billed as out patient"/>
    <s v="03.02.2026"/>
    <s v="Dialysis"/>
    <n v="9025"/>
    <s v="February "/>
    <m/>
    <m/>
  </r>
  <r>
    <s v="BRISTOL PARK HOSP"/>
    <n v="2019634"/>
    <n v="42684"/>
    <s v="Simon Nzyoka"/>
    <n v="69"/>
    <x v="0"/>
    <s v="Male"/>
    <s v="Spouse"/>
    <s v="ESRD"/>
    <x v="9"/>
    <s v="03.02.2026"/>
    <s v="03.02.2026"/>
    <s v="Dialysis"/>
    <n v="10650"/>
    <s v="February "/>
    <m/>
    <m/>
  </r>
  <r>
    <s v="BRISTAL PARK HOSP"/>
    <n v="2019634"/>
    <n v="42684"/>
    <s v="Simon Nzioka "/>
    <n v="69"/>
    <x v="0"/>
    <s v="Male "/>
    <s v="Contributor"/>
    <s v="Esrd"/>
    <x v="9"/>
    <s v="03.03.2026"/>
    <s v="03.03.2026"/>
    <s v="Dialysis"/>
    <n v="10650"/>
    <s v="March"/>
    <n v="254703352923"/>
    <m/>
  </r>
  <r>
    <s v="BISHOP KIOKO"/>
    <n v="2001893"/>
    <n v="9046"/>
    <s v="Joram Muthini"/>
    <n v="69"/>
    <x v="0"/>
    <s v="Male"/>
    <s v="Contributor"/>
    <s v="ESRD"/>
    <x v="9"/>
    <s v="04.02.2026"/>
    <s v="04.02.2026"/>
    <s v="Dialysis"/>
    <n v="9500"/>
    <s v="February "/>
    <m/>
    <m/>
  </r>
  <r>
    <s v="BISHOP KIOKO HOSP"/>
    <n v="201893"/>
    <n v="9046"/>
    <s v="Joram Muthini"/>
    <n v="69"/>
    <x v="0"/>
    <s v="Male "/>
    <s v="Contributor "/>
    <s v="ESRD"/>
    <x v="9"/>
    <s v="04.03.2026"/>
    <s v="04.03.2026"/>
    <s v="Dialysis"/>
    <n v="9500"/>
    <s v="March"/>
    <n v="254720766049"/>
    <m/>
  </r>
  <r>
    <s v="PREMIER HOSP"/>
    <n v="20175091"/>
    <n v="19309"/>
    <s v="Muhammed shukry"/>
    <n v="63"/>
    <x v="0"/>
    <s v="Male"/>
    <s v="Contributor"/>
    <s v="ESRD"/>
    <x v="9"/>
    <s v="04.03.2026"/>
    <s v="04.03.2026"/>
    <s v="Dialysis"/>
    <n v="8500"/>
    <s v="March"/>
    <n v="254726788384"/>
    <m/>
  </r>
  <r>
    <s v="UHSF-DFMH"/>
    <n v="2017742"/>
    <n v="37239"/>
    <s v="James Munyua"/>
    <n v="58"/>
    <x v="0"/>
    <s v="Male "/>
    <s v="Contributor "/>
    <s v="ESRD"/>
    <x v="9"/>
    <s v="04.03.2026"/>
    <s v="04.03.2026"/>
    <s v="Dialysis"/>
    <n v="9025"/>
    <s v="March"/>
    <n v="254720659401"/>
    <m/>
  </r>
  <r>
    <s v="THE KAREN HOSP"/>
    <n v="212620"/>
    <n v="102835"/>
    <s v="Beatrice  nafula "/>
    <n v="63"/>
    <x v="0"/>
    <s v="Female "/>
    <s v="Spouse "/>
    <s v="ESRD"/>
    <x v="9"/>
    <s v="04.03.2026"/>
    <s v="04.03.2026"/>
    <s v="Dialysis"/>
    <n v="9500"/>
    <s v="March"/>
    <n v="254710918163"/>
    <m/>
  </r>
  <r>
    <s v="MTRH"/>
    <n v="2005037"/>
    <n v="5326"/>
    <s v="Tyler Tumwa "/>
    <n v="18"/>
    <x v="2"/>
    <s v="Male "/>
    <s v="Child "/>
    <s v="ESRD"/>
    <x v="9"/>
    <s v="05.01.2026"/>
    <s v="05.01.2026"/>
    <s v="Dialysis"/>
    <n v="8185"/>
    <s v="January"/>
    <m/>
    <m/>
  </r>
  <r>
    <s v="OLLMH"/>
    <n v="2014318"/>
    <n v="61208"/>
    <s v="Paul Waweru "/>
    <n v="61"/>
    <x v="0"/>
    <s v="Female"/>
    <s v="Spouse"/>
    <s v="ESRD"/>
    <x v="9"/>
    <s v="05.01.2026"/>
    <s v="05.01.2026"/>
    <s v="Dialysis"/>
    <n v="9500"/>
    <s v="January"/>
    <m/>
    <m/>
  </r>
  <r>
    <s v="BRISTOL PARK HOSP"/>
    <n v="2019634"/>
    <n v="42684"/>
    <s v="Simon Nzyoka "/>
    <n v="68"/>
    <x v="0"/>
    <s v="Male"/>
    <s v="Spouse"/>
    <s v="esrd"/>
    <x v="9"/>
    <s v="05.02.2026 Hospital to bill through SMART"/>
    <s v="05.02.2026"/>
    <s v="Dialysis"/>
    <n v="10650"/>
    <s v="February "/>
    <m/>
    <m/>
  </r>
  <r>
    <s v="UHSF-DFMH"/>
    <n v="2511271"/>
    <n v="62552"/>
    <s v="Timothy Karugu"/>
    <n v="14"/>
    <x v="2"/>
    <s v="Male"/>
    <s v="Child"/>
    <s v="ESRD"/>
    <x v="9"/>
    <s v="05.03.2026Hosp billed as outpatient"/>
    <s v="05.03.2026"/>
    <s v="Dialysis"/>
    <n v="9025"/>
    <s v="March"/>
    <n v="254713738247"/>
    <m/>
  </r>
  <r>
    <s v="BRISTOL PARK"/>
    <n v="2001823"/>
    <n v="10576"/>
    <s v="Alex Ndambuki"/>
    <n v="71"/>
    <x v="0"/>
    <s v="Male"/>
    <s v="Contributor"/>
    <s v="ESRD"/>
    <x v="9"/>
    <s v="06.01.2026"/>
    <s v="06.01.2026"/>
    <s v="Dialysis"/>
    <n v="10650"/>
    <s v="January"/>
    <m/>
    <m/>
  </r>
  <r>
    <s v="ST LUKES O&amp;T"/>
    <n v="200958"/>
    <n v="31482"/>
    <s v="Cornelius Wegulo"/>
    <n v="67"/>
    <x v="0"/>
    <s v="Male"/>
    <s v="Contributor"/>
    <s v="ESRD"/>
    <x v="9"/>
    <s v="06.01.2026"/>
    <s v="06.01.2026"/>
    <s v="Dialysis"/>
    <n v="11500"/>
    <s v="January"/>
    <m/>
    <m/>
  </r>
  <r>
    <s v="BRISTOL PARK"/>
    <n v="2019634"/>
    <n v="42684"/>
    <s v="Simon Nzyoka "/>
    <n v="69"/>
    <x v="0"/>
    <s v="Male"/>
    <s v="Spouse"/>
    <s v="ESRD"/>
    <x v="9"/>
    <s v="06.01.2026"/>
    <s v="06.01.2026"/>
    <s v="Dialysis"/>
    <n v="10650"/>
    <s v="January"/>
    <m/>
    <m/>
  </r>
  <r>
    <s v="TANAKA NURSING"/>
    <n v="2011620"/>
    <n v="102835"/>
    <s v="Beatrice Nafula "/>
    <n v="64"/>
    <x v="0"/>
    <s v="Feamle "/>
    <s v="Spouse"/>
    <s v="ESRD"/>
    <x v="9"/>
    <s v="06.01.2026"/>
    <s v="06.01.2026"/>
    <s v="Dialysis"/>
    <n v="10650"/>
    <s v="January"/>
    <m/>
    <m/>
  </r>
  <r>
    <s v="BRISTOL PARK HOSP"/>
    <n v="2007823"/>
    <n v="10576"/>
    <s v="Alex Ndambuki "/>
    <n v="72"/>
    <x v="0"/>
    <s v="Male "/>
    <s v="Contributor"/>
    <s v="ESRD"/>
    <x v="9"/>
    <s v="06.02.2026"/>
    <s v="06.02.2026"/>
    <s v="Dialysis"/>
    <n v="10650"/>
    <s v="February "/>
    <m/>
    <m/>
  </r>
  <r>
    <s v="BRISTOL PARK HOSP"/>
    <n v="2019634"/>
    <n v="42684"/>
    <s v="Symon Nzyoka"/>
    <n v="68"/>
    <x v="0"/>
    <s v="Male"/>
    <s v="Spouse"/>
    <s v="ESRD"/>
    <x v="9"/>
    <s v="06.02.2026"/>
    <s v="06.02.2026"/>
    <s v="Dialysis"/>
    <n v="10650"/>
    <s v="February "/>
    <m/>
    <m/>
  </r>
  <r>
    <s v="BRISTAL PARK HOSP"/>
    <n v="2001823"/>
    <n v="10576"/>
    <s v="Alex Ndambuki"/>
    <n v="72"/>
    <x v="0"/>
    <s v="Male"/>
    <s v="Contributor"/>
    <s v="ESRD"/>
    <x v="9"/>
    <s v="06.03.2026"/>
    <s v="06.03.2026"/>
    <s v="Dialysis"/>
    <n v="10650"/>
    <s v="March"/>
    <n v="254722828789"/>
    <m/>
  </r>
  <r>
    <s v="BRISTAL PARK HOSP"/>
    <n v="2019634"/>
    <n v="42684"/>
    <s v="Simon Nzyoka"/>
    <n v="69"/>
    <x v="0"/>
    <s v="Male "/>
    <s v="Spouse "/>
    <s v="ESRD"/>
    <x v="9"/>
    <s v="06.03.2026"/>
    <s v="06.03.2026"/>
    <s v="Dialysis"/>
    <n v="10650"/>
    <s v="March"/>
    <n v="254722828789"/>
    <m/>
  </r>
  <r>
    <s v="UHSF-NRH"/>
    <n v="2010871"/>
    <n v="56685"/>
    <s v="Robert Mbaya"/>
    <n v="63"/>
    <x v="0"/>
    <s v="Male"/>
    <s v="Contributor"/>
    <s v="ESRD"/>
    <x v="9"/>
    <s v="06.03.2026"/>
    <s v="06.03.2026"/>
    <s v="Dialysis"/>
    <n v="9025"/>
    <s v="March"/>
    <n v="254704150060"/>
    <m/>
  </r>
  <r>
    <s v="BISHOP KIOKO"/>
    <n v="2001893"/>
    <n v="9046"/>
    <s v="Joram Muthini Musomba"/>
    <n v="69"/>
    <x v="0"/>
    <s v="Male"/>
    <s v="Contributor"/>
    <s v="ESRD"/>
    <x v="9"/>
    <s v="07.01.2026"/>
    <s v="07.01.2026"/>
    <s v="Dialysis"/>
    <n v="9500"/>
    <s v="January"/>
    <m/>
    <m/>
  </r>
  <r>
    <s v="PREMIER HOSP"/>
    <n v="2017509"/>
    <n v="19309"/>
    <s v="Muhammad Shukry"/>
    <n v="63"/>
    <x v="0"/>
    <s v="Male"/>
    <s v="Contributor"/>
    <s v="ESRD"/>
    <x v="9"/>
    <s v="07.01.2026"/>
    <s v="07.01.2026"/>
    <s v="Dialysis"/>
    <n v="8500"/>
    <s v="January"/>
    <m/>
    <m/>
  </r>
  <r>
    <s v="BISHOP KIOKO HOSP"/>
    <n v="2001893"/>
    <n v="9046"/>
    <s v="Joram Muthini"/>
    <n v="69"/>
    <x v="0"/>
    <s v="Male "/>
    <s v="Contributor "/>
    <s v="ESRD"/>
    <x v="9"/>
    <s v="07.03.2026"/>
    <s v="07.03.2026"/>
    <s v="Dialysis"/>
    <n v="9500"/>
    <s v="March"/>
    <n v="254721369143"/>
    <m/>
  </r>
  <r>
    <s v="MTRH"/>
    <n v="2005037"/>
    <n v="5326"/>
    <s v="Tyler Mukhwana"/>
    <n v="18"/>
    <x v="2"/>
    <s v="Male"/>
    <s v="Child"/>
    <s v="ESRD"/>
    <x v="9"/>
    <s v="08.01.2026"/>
    <s v="08.01.2026"/>
    <s v="Dialysis"/>
    <n v="5640"/>
    <s v="January"/>
    <m/>
    <m/>
  </r>
  <r>
    <s v="BRISTOL PARK"/>
    <n v="2001853"/>
    <n v="10576"/>
    <s v="Alex Ndambuki"/>
    <n v="71"/>
    <x v="0"/>
    <s v="Male"/>
    <s v="Contributor"/>
    <s v="ESRD"/>
    <x v="9"/>
    <s v="09.01.2026"/>
    <s v="09.01.2026"/>
    <s v="Dialysis"/>
    <n v="10650"/>
    <s v="January"/>
    <m/>
    <m/>
  </r>
  <r>
    <s v="BRISTOL PARK"/>
    <n v="2001634"/>
    <n v="42684"/>
    <s v="Simon Nzyoka"/>
    <n v="68"/>
    <x v="0"/>
    <s v="Male"/>
    <s v="Spouse"/>
    <s v="ESRD"/>
    <x v="9"/>
    <s v="09.01.2026"/>
    <s v="09.01.2026"/>
    <s v="Dialysis"/>
    <n v="10650"/>
    <s v="January"/>
    <m/>
    <m/>
  </r>
  <r>
    <s v="ST LUKE O&amp;T"/>
    <n v="2002095"/>
    <n v="21102"/>
    <s v="John Koskei"/>
    <n v="57"/>
    <x v="0"/>
    <s v="Male"/>
    <s v="Contributor"/>
    <s v="ESRD"/>
    <x v="9"/>
    <s v="09.02.2026"/>
    <s v="09.02.2026"/>
    <s v="Dialysis"/>
    <n v="11500"/>
    <s v="February "/>
    <m/>
    <m/>
  </r>
  <r>
    <s v="OLLMH"/>
    <n v="2014318"/>
    <n v="61208"/>
    <s v="Paul Waweru Muthui"/>
    <n v="63"/>
    <x v="0"/>
    <s v="Male"/>
    <s v="Contributor"/>
    <s v="ESRD"/>
    <x v="9"/>
    <s v="09.02.2026"/>
    <s v="09.02.2026"/>
    <s v="Dialysis"/>
    <n v="9500"/>
    <s v="February "/>
    <m/>
    <m/>
  </r>
  <r>
    <s v="ST LUKES O&amp;T"/>
    <n v="2502095"/>
    <n v="21102"/>
    <s v="John Kosgei"/>
    <m/>
    <x v="2"/>
    <s v="Male"/>
    <s v="Contributor"/>
    <s v="ESRD"/>
    <x v="9"/>
    <s v="09.03.2026"/>
    <s v="09.03.2026"/>
    <s v="Dialysis"/>
    <n v="11500"/>
    <s v="March"/>
    <n v="254715509227"/>
    <m/>
  </r>
  <r>
    <s v="BISHOP KIOKO"/>
    <n v="2001893"/>
    <n v="9046"/>
    <s v="Joram Muthini"/>
    <n v="69"/>
    <x v="0"/>
    <s v="Male"/>
    <s v="Contributor"/>
    <s v="ESRD"/>
    <x v="9"/>
    <s v="10.01.2026"/>
    <s v="10.01.2026"/>
    <s v="Dialysis"/>
    <n v="9500"/>
    <s v="January"/>
    <m/>
    <m/>
  </r>
  <r>
    <s v="BRISTOL PARK HOSP"/>
    <n v="2001823"/>
    <n v="10576"/>
    <s v="Alex Ndambuki"/>
    <n v="72"/>
    <x v="0"/>
    <s v="Male"/>
    <s v="Contributor"/>
    <s v="ESRD"/>
    <x v="9"/>
    <s v="10.02.2026"/>
    <s v="10.02.2026"/>
    <s v="Dialysis"/>
    <n v="10650"/>
    <s v="February "/>
    <m/>
    <m/>
  </r>
  <r>
    <s v="BRISTOL PARK HOSP"/>
    <n v="2019634"/>
    <n v="42684"/>
    <s v="Simon Nzioka"/>
    <n v="68"/>
    <x v="0"/>
    <s v="Male"/>
    <s v="Spouse"/>
    <s v="ESRD"/>
    <x v="9"/>
    <s v="10.02.2026"/>
    <s v="10.02.2026"/>
    <s v="Dialysis"/>
    <n v="10650"/>
    <s v="February "/>
    <m/>
    <m/>
  </r>
  <r>
    <s v="BISHOP KIOKO"/>
    <n v="2001893"/>
    <n v="9046"/>
    <s v="Joram Muthini"/>
    <n v="69"/>
    <x v="0"/>
    <s v="Male"/>
    <s v="Contributor"/>
    <s v="ESRD"/>
    <x v="9"/>
    <s v="11.02.2026"/>
    <s v="11.02.2026"/>
    <s v="Dialysis"/>
    <n v="9500"/>
    <s v="February "/>
    <m/>
    <m/>
  </r>
  <r>
    <s v="DAINI BEACH HOSP"/>
    <n v="2002228"/>
    <n v="31315"/>
    <s v="John Marwa"/>
    <n v="72"/>
    <x v="0"/>
    <s v="Male"/>
    <s v="Contributor"/>
    <s v="ESRD"/>
    <x v="9"/>
    <s v="11.02.2026"/>
    <s v="11.02.2026"/>
    <s v="Dialysis"/>
    <n v="10650"/>
    <s v="February "/>
    <m/>
    <m/>
  </r>
  <r>
    <s v="UHSF- DFMH"/>
    <n v="2017742"/>
    <n v="37239"/>
    <s v="James Munyau"/>
    <n v="58"/>
    <x v="0"/>
    <s v="Male"/>
    <s v="Contributor"/>
    <s v="ESRD"/>
    <x v="9"/>
    <s v="11.02.2026-Hosp billed as Out patient"/>
    <s v="11.02.2026"/>
    <s v="Dialysis"/>
    <n v="9726"/>
    <s v="February "/>
    <m/>
    <m/>
  </r>
  <r>
    <s v="BISHOP KIOKO HOSP"/>
    <n v="2001893"/>
    <n v="9046"/>
    <s v="Joram Muthini"/>
    <n v="69"/>
    <x v="0"/>
    <s v="Male"/>
    <s v="Contributor"/>
    <s v="ESRD"/>
    <x v="9"/>
    <s v="11.03.2026"/>
    <s v="11.03.2026"/>
    <s v="Dialysis"/>
    <n v="9500"/>
    <s v="March"/>
    <n v="254759231438"/>
    <m/>
  </r>
  <r>
    <s v="BRISTAL PARK HOSP"/>
    <n v="2001823"/>
    <n v="10576"/>
    <s v="Alex Ndambuki"/>
    <n v="72"/>
    <x v="0"/>
    <s v="Male"/>
    <s v="Contributor"/>
    <s v="ESRD"/>
    <x v="9"/>
    <s v="11.03.2026Billed on smart 10.03.2026"/>
    <s v="11.03.2026"/>
    <s v="Dialysis"/>
    <n v="10650"/>
    <s v="March"/>
    <n v="254722828789"/>
    <m/>
  </r>
  <r>
    <s v="ST JOSEPH SHELTER OF HOPE"/>
    <n v="2001198"/>
    <n v="18587"/>
    <s v="Michael Kiluu"/>
    <n v="75"/>
    <x v="0"/>
    <s v="Male"/>
    <s v="Contributor"/>
    <s v="ESRD"/>
    <x v="9"/>
    <s v="11.03.2026Hosp billed as outpatient"/>
    <s v="11.03.2026"/>
    <s v="Dialysis"/>
    <n v="11500"/>
    <s v="March"/>
    <n v="254715509227"/>
    <m/>
  </r>
  <r>
    <s v="PREMIER HOSP"/>
    <n v="20175091"/>
    <n v="19309"/>
    <s v="Muhammed shukry"/>
    <n v="63"/>
    <x v="0"/>
    <s v="Male"/>
    <s v="Contributor"/>
    <s v="ESRD"/>
    <x v="9"/>
    <s v="11.03.2026"/>
    <s v="11.03.2026"/>
    <s v="Dialysis"/>
    <n v="8500"/>
    <s v="March"/>
    <n v="254726788384"/>
    <m/>
  </r>
  <r>
    <s v="DIANI BEACH HOSP"/>
    <n v="2002228"/>
    <n v="31315"/>
    <s v="John Hernesty"/>
    <n v="72"/>
    <x v="0"/>
    <s v="Male"/>
    <s v="Contributor"/>
    <s v="ESRD"/>
    <x v="9"/>
    <s v="11.03.2026"/>
    <s v="11.03.2026"/>
    <s v="Dialysis"/>
    <n v="10650"/>
    <s v="March"/>
    <n v="254720133344"/>
    <m/>
  </r>
  <r>
    <s v="OLLMH"/>
    <n v="2014318"/>
    <n v="61208"/>
    <s v="Paul Waweru"/>
    <n v="62"/>
    <x v="0"/>
    <s v="Male"/>
    <s v="Contributor"/>
    <s v="ESRD"/>
    <x v="9"/>
    <s v="12.01.2026"/>
    <s v="12.01.2026"/>
    <s v="Dialysis"/>
    <n v="9500"/>
    <s v="January"/>
    <m/>
    <m/>
  </r>
  <r>
    <s v="BRISTAL PARK HOSP"/>
    <n v="2019634"/>
    <n v="42684"/>
    <s v="Simon Nzyoka"/>
    <n v="69"/>
    <x v="0"/>
    <s v="Male"/>
    <s v="Spouse"/>
    <s v="ESRD"/>
    <x v="9"/>
    <s v="12.03.2026Hosp to bill through smart"/>
    <s v="12.03.2026"/>
    <s v="Dialysis"/>
    <n v="10650"/>
    <s v="March"/>
    <n v="254720133344"/>
    <m/>
  </r>
  <r>
    <s v="MTRH"/>
    <n v="2005037"/>
    <n v="5326"/>
    <s v="Tyler Mukhwana"/>
    <n v="18"/>
    <x v="2"/>
    <s v="Male"/>
    <s v="Child "/>
    <s v="ESRD"/>
    <x v="9"/>
    <s v="13.01.2026-Cleared with less amount on smart"/>
    <s v="13.01.2026"/>
    <s v="Dialysis"/>
    <n v="9757.18"/>
    <s v="January"/>
    <m/>
    <m/>
  </r>
  <r>
    <s v="BRISTOL PARK"/>
    <n v="2001853"/>
    <n v="10576"/>
    <s v="Alex Ndambuki"/>
    <n v="72"/>
    <x v="0"/>
    <s v="Male"/>
    <s v="Contributor"/>
    <s v="ESRD"/>
    <x v="9"/>
    <s v="13.01.2026"/>
    <s v="13.01.2026"/>
    <s v="Dialysis"/>
    <n v="10650"/>
    <s v="January"/>
    <m/>
    <m/>
  </r>
  <r>
    <s v="BRISTOL PARK"/>
    <n v="2019634"/>
    <n v="42684"/>
    <s v="Simon Nzyoka"/>
    <n v="68"/>
    <x v="0"/>
    <s v="Male"/>
    <s v="Spouse"/>
    <s v="ESRD"/>
    <x v="9"/>
    <s v="13.01.2026"/>
    <s v="13.01.2026"/>
    <s v="Dialysis"/>
    <n v="10650"/>
    <s v="January"/>
    <m/>
    <m/>
  </r>
  <r>
    <s v="BRISTOL PARK HOSP"/>
    <n v="2001823"/>
    <n v="10576"/>
    <s v="Alex Ndambuki"/>
    <n v="72"/>
    <x v="0"/>
    <s v="Male"/>
    <s v="Contributor"/>
    <s v="ESRD"/>
    <x v="9"/>
    <s v="13.02.2026"/>
    <s v="13.02.2026"/>
    <s v="Dialysis"/>
    <n v="10650"/>
    <s v="February "/>
    <m/>
    <m/>
  </r>
  <r>
    <s v="BRISTOL PARK HOSP"/>
    <n v="2019634"/>
    <n v="42684"/>
    <s v="Simon nzyoka "/>
    <n v="72"/>
    <x v="0"/>
    <s v="Male"/>
    <s v="Spouse"/>
    <s v="ESRD"/>
    <x v="9"/>
    <s v="13.02.2026"/>
    <s v="13.02.2026"/>
    <s v="Dialysis"/>
    <n v="10650"/>
    <s v="February "/>
    <m/>
    <m/>
  </r>
  <r>
    <s v="BRISTAL PARK HOSP"/>
    <n v="2001823"/>
    <n v="10576"/>
    <s v="Alex Mutiso"/>
    <n v="72"/>
    <x v="0"/>
    <s v="Male"/>
    <s v="Contributor"/>
    <s v="ESRD"/>
    <x v="9"/>
    <s v="13.03.2026"/>
    <s v="13.03.2026"/>
    <s v="Dialysis"/>
    <n v="10650"/>
    <s v="March"/>
    <n v="254721872105"/>
    <m/>
  </r>
  <r>
    <s v="UHSF-DFMH"/>
    <n v="2017742"/>
    <n v="37239"/>
    <s v="James Macharia"/>
    <n v="57"/>
    <x v="0"/>
    <s v="Male"/>
    <s v="Contributor"/>
    <s v="ESRD"/>
    <x v="9"/>
    <s v="13.03.2026Hosp billed as out patient"/>
    <s v="13.03.2026"/>
    <s v="Dialysis"/>
    <n v="9025"/>
    <s v="March"/>
    <n v="254715565766"/>
    <m/>
  </r>
  <r>
    <s v="BRISTAL PARK HOSP"/>
    <n v="2019634"/>
    <n v="42684"/>
    <s v="Simon Nzyoki"/>
    <n v="69"/>
    <x v="0"/>
    <s v="Male"/>
    <s v="Spouse"/>
    <s v="ESRD"/>
    <x v="9"/>
    <s v="13.03.2026"/>
    <s v="13.03.2026"/>
    <s v="Dialysis"/>
    <n v="10650"/>
    <s v="March"/>
    <n v="254729562568"/>
    <m/>
  </r>
  <r>
    <s v="MTRH"/>
    <n v="2005037"/>
    <n v="5326"/>
    <s v="Tyler Mukhwana"/>
    <n v="18"/>
    <x v="2"/>
    <s v="Male"/>
    <s v="Child"/>
    <s v="ESRD"/>
    <x v="9"/>
    <s v="14.01.2026-Hosp to bill through smart"/>
    <s v="14.01.2026"/>
    <s v="Dialysis"/>
    <n v="5639.71"/>
    <s v="January"/>
    <m/>
    <m/>
  </r>
  <r>
    <s v="BISHOP KIOKO"/>
    <n v="2001893"/>
    <n v="9046"/>
    <s v="Joram Musomba"/>
    <n v="69"/>
    <x v="0"/>
    <s v="Male"/>
    <s v="Contributor"/>
    <s v="ESRD"/>
    <x v="9"/>
    <s v="14.01.2026"/>
    <s v="14.01.2026"/>
    <s v="Dialysis"/>
    <n v="9500"/>
    <s v="January"/>
    <m/>
    <m/>
  </r>
  <r>
    <s v="PREMIER HOSP"/>
    <n v="2017509"/>
    <n v="19309"/>
    <s v="Muhammad Shukry"/>
    <n v="63"/>
    <x v="0"/>
    <s v="Male"/>
    <s v="Contributor"/>
    <s v="ESRD"/>
    <x v="9"/>
    <s v="14.01.2026"/>
    <s v="14.01.2026"/>
    <s v="Dialysis"/>
    <n v="8500"/>
    <s v="January"/>
    <m/>
    <m/>
  </r>
  <r>
    <s v="UHSF -DFMH"/>
    <n v="2017742"/>
    <n v="37239"/>
    <s v="James Macharia"/>
    <n v="60"/>
    <x v="0"/>
    <s v="Male"/>
    <s v="Contributor"/>
    <s v="ESRD"/>
    <x v="9"/>
    <s v="14.01.2026- Hosp  billed as outpatient"/>
    <s v="14.01.2026"/>
    <s v="Dialysis"/>
    <n v="9025"/>
    <s v="January"/>
    <m/>
    <m/>
  </r>
  <r>
    <s v="BISHOP KIOKO"/>
    <n v="2001893"/>
    <n v="9046"/>
    <s v="Joram Muthini"/>
    <n v="69"/>
    <x v="0"/>
    <s v="Male"/>
    <s v="Contributor"/>
    <s v="ESRD"/>
    <x v="9"/>
    <s v="14.02.2026"/>
    <s v="14.02.2026"/>
    <s v="Dialysis"/>
    <n v="9500"/>
    <s v="February "/>
    <m/>
    <m/>
  </r>
  <r>
    <s v="THE KAREN HOSP"/>
    <n v="2012620"/>
    <n v="102835"/>
    <s v="Beatrice Nafula"/>
    <n v="64"/>
    <x v="0"/>
    <s v="Female"/>
    <s v="Spouse"/>
    <s v="ESRD"/>
    <x v="9"/>
    <s v="14.02.2026"/>
    <s v="14.02.2026"/>
    <s v="Dialysis"/>
    <n v="9500"/>
    <s v="February "/>
    <m/>
    <m/>
  </r>
  <r>
    <s v="OLLMH"/>
    <n v="2014318"/>
    <n v="61208"/>
    <s v="Paul Waweru"/>
    <n v="64"/>
    <x v="0"/>
    <s v="Male"/>
    <s v="Contributor"/>
    <s v="ESRD"/>
    <x v="9"/>
    <s v="14.03.2026Hosp to bill through smart"/>
    <s v="14.03.2026"/>
    <s v="Dialysis"/>
    <n v="9500"/>
    <s v="March"/>
    <n v="254759231438"/>
    <m/>
  </r>
  <r>
    <s v="THE KAREN HOSP"/>
    <n v="2012620"/>
    <n v="102835"/>
    <s v="Beatrice Nafula"/>
    <n v="64"/>
    <x v="0"/>
    <s v="Female"/>
    <s v="Spouse"/>
    <s v="ESRD"/>
    <x v="9"/>
    <s v="14.03.2026"/>
    <s v="14.03.2026"/>
    <s v="Dialysis"/>
    <n v="9500"/>
    <s v="March"/>
    <n v="254759231438"/>
    <m/>
  </r>
  <r>
    <s v="MTRH"/>
    <n v="2005037"/>
    <n v="5326"/>
    <s v="Tyler Mukhwana"/>
    <n v="18"/>
    <x v="2"/>
    <s v="Male"/>
    <s v="Child"/>
    <s v="ESRD"/>
    <x v="9"/>
    <s v="15.01.2026 Hospital to bill through Smart"/>
    <s v="15.01.2026"/>
    <s v="Dialysis"/>
    <n v="7899.37"/>
    <s v="January"/>
    <m/>
    <m/>
  </r>
  <r>
    <s v="UHSF -DFMH"/>
    <n v="202754"/>
    <n v="11467"/>
    <s v="Bute Halakhe "/>
    <n v="74"/>
    <x v="0"/>
    <s v="Male"/>
    <s v="Contributor"/>
    <s v="ESRD"/>
    <x v="9"/>
    <s v="15.01.2026 Billed as Outpatient"/>
    <s v="15.01.2026"/>
    <s v="Dialysis"/>
    <n v="22469"/>
    <s v="January"/>
    <m/>
    <m/>
  </r>
  <r>
    <s v="THE NAIROBI HOSP"/>
    <n v="2011198"/>
    <n v="18587"/>
    <s v="Michael Mungata"/>
    <n v="75"/>
    <x v="0"/>
    <s v="Male"/>
    <s v="Contributor"/>
    <s v="ESRD"/>
    <x v="9"/>
    <s v="15.01.2026 Billed as outpatient"/>
    <s v="15.01.2026"/>
    <s v="Dialysis"/>
    <n v="33140"/>
    <s v="January"/>
    <m/>
    <m/>
  </r>
  <r>
    <s v="BRISTOL PARK"/>
    <n v="2001823"/>
    <n v="10576"/>
    <s v="Alex Ndambuki"/>
    <n v="72"/>
    <x v="0"/>
    <s v="Male"/>
    <s v="Contributor"/>
    <s v="ESRD"/>
    <x v="9"/>
    <s v="16.01.2026"/>
    <s v="16.01.2026"/>
    <s v="Dialysis"/>
    <n v="10650"/>
    <s v="January"/>
    <m/>
    <m/>
  </r>
  <r>
    <s v="BRISTOL PARK"/>
    <n v="2019634"/>
    <n v="42684"/>
    <s v="Simon Nzyoka"/>
    <n v="69"/>
    <x v="0"/>
    <s v="Male"/>
    <s v="Spouse"/>
    <s v="ESRD"/>
    <x v="9"/>
    <s v="16.01.2026"/>
    <s v="16.01.2026"/>
    <s v="Dialysis"/>
    <n v="10650"/>
    <s v="January"/>
    <m/>
    <m/>
  </r>
  <r>
    <s v="UHSF-IRH"/>
    <n v="2010871"/>
    <n v="56685"/>
    <s v="Robert Mbaya"/>
    <n v="63"/>
    <x v="0"/>
    <s v="Male"/>
    <s v="Contributor"/>
    <s v="ESRD"/>
    <x v="9"/>
    <s v="16.01.2026"/>
    <s v="16.01.2026"/>
    <s v="Dialysis"/>
    <n v="9025"/>
    <s v="January"/>
    <m/>
    <m/>
  </r>
  <r>
    <s v="OLLMH"/>
    <n v="2014318"/>
    <n v="61208"/>
    <s v="Paul Waweru"/>
    <n v="62"/>
    <x v="0"/>
    <s v="Female"/>
    <s v="Contributor"/>
    <s v="ESRD"/>
    <x v="9"/>
    <s v="16.02.2026"/>
    <s v="16.02.2026"/>
    <s v="Dialysis"/>
    <n v="9500"/>
    <s v="February "/>
    <m/>
    <m/>
  </r>
  <r>
    <s v="BISHOP KIOKO"/>
    <n v="2001893"/>
    <n v="9046"/>
    <s v="Joram Muthini"/>
    <n v="69"/>
    <x v="0"/>
    <s v="Male"/>
    <s v="Contributor"/>
    <s v="ESRD"/>
    <x v="9"/>
    <s v="17.01.2026"/>
    <s v="17.01.2026"/>
    <s v="Dialysis"/>
    <n v="9500"/>
    <s v="January"/>
    <m/>
    <m/>
  </r>
  <r>
    <s v="NAIROBI WEST HOSP"/>
    <n v="2020238"/>
    <n v="43253"/>
    <s v="Teresia Wekesa"/>
    <n v="65"/>
    <x v="0"/>
    <s v="Female"/>
    <s v="Spouse"/>
    <s v="ESRD"/>
    <x v="9"/>
    <s v="17.01.2026-Hosp to bill through smart"/>
    <s v="17.01.2026"/>
    <s v="Dialysis"/>
    <n v="7000"/>
    <s v="January"/>
    <m/>
    <m/>
  </r>
  <r>
    <s v="BRISTOL PARK HOSP"/>
    <n v="2001823"/>
    <n v="10576"/>
    <s v="Alex Ndambuki"/>
    <n v="72"/>
    <x v="0"/>
    <s v="Male"/>
    <s v="Contributor"/>
    <s v="ESRD"/>
    <x v="9"/>
    <s v="17.02.2026"/>
    <s v="17.02.2026"/>
    <s v="Dialysis"/>
    <n v="10650"/>
    <s v="February "/>
    <m/>
    <m/>
  </r>
  <r>
    <s v="REALE HOSP"/>
    <n v="2002953"/>
    <n v="18654"/>
    <s v="Fredrick Wanga"/>
    <n v="63"/>
    <x v="0"/>
    <s v="Male"/>
    <s v="Contributor"/>
    <s v="ESRD"/>
    <x v="9"/>
    <s v="17.02.2026"/>
    <s v="17.02.2026"/>
    <s v="Dialysis"/>
    <n v="11974"/>
    <s v="February "/>
    <m/>
    <m/>
  </r>
  <r>
    <s v="ST LUKE O&amp;T"/>
    <n v="2502095"/>
    <n v="21102"/>
    <s v="John Koskei"/>
    <n v="57"/>
    <x v="0"/>
    <s v="Male"/>
    <s v="Contributor"/>
    <s v="ESRD"/>
    <x v="9"/>
    <s v="17.02.2026-Billed through smart on 16.02.26"/>
    <s v="17.02.2026"/>
    <s v="Dialysis"/>
    <n v="11500"/>
    <s v="February "/>
    <m/>
    <m/>
  </r>
  <r>
    <s v="BRISTOL PARK HOSP"/>
    <n v="2019634"/>
    <n v="42684"/>
    <s v="Simon Nzyoka"/>
    <n v="69"/>
    <x v="0"/>
    <s v="Male"/>
    <s v="Spouse"/>
    <s v="ESRD"/>
    <x v="9"/>
    <s v="17.02.2026"/>
    <s v="17.02.2026"/>
    <s v="Dialysis"/>
    <n v="10650"/>
    <s v="February "/>
    <m/>
    <m/>
  </r>
  <r>
    <s v="BISHOP KIOKO HOSP"/>
    <n v="2001893"/>
    <n v="9046"/>
    <s v="Joram Muthui"/>
    <n v="69"/>
    <x v="0"/>
    <s v="Male"/>
    <s v="Contributor"/>
    <s v="ESRD"/>
    <x v="9"/>
    <s v="17.03.2026 Hospital to Bill through SMART"/>
    <s v="17.03.2026"/>
    <s v="Dialysis"/>
    <n v="9500"/>
    <s v="March"/>
    <n v="254722849332"/>
    <m/>
  </r>
  <r>
    <s v="BRISTAL PARK HOSP"/>
    <n v="2001823"/>
    <n v="10576"/>
    <s v="Alex Ndambuki"/>
    <n v="72"/>
    <x v="0"/>
    <s v="Male"/>
    <s v="Contributor"/>
    <s v="ESRD"/>
    <x v="9"/>
    <s v="17.03.2026"/>
    <s v="17.03.2026"/>
    <s v="Dialysis"/>
    <n v="10650"/>
    <s v="March"/>
    <n v="254714272121"/>
    <m/>
  </r>
  <r>
    <s v="BRISTAL PARK HOSP"/>
    <n v="2019634"/>
    <n v="42684"/>
    <s v="Simon Nzyoka"/>
    <n v="69"/>
    <x v="0"/>
    <s v="Male"/>
    <s v="Spouse"/>
    <s v="ESRD"/>
    <x v="9"/>
    <s v="17.03.2026"/>
    <s v="17.03.2026"/>
    <s v="Dialysis"/>
    <n v="10650"/>
    <s v="March"/>
    <n v="254714272121"/>
    <m/>
  </r>
  <r>
    <s v="BISHOP KIOKO"/>
    <n v="2001893"/>
    <n v="9046"/>
    <s v="Joram Muthini"/>
    <n v="69"/>
    <x v="0"/>
    <s v="Male"/>
    <s v="Contributor"/>
    <s v="ESRD"/>
    <x v="9"/>
    <s v="18.02.2026"/>
    <s v="18.02.2026"/>
    <s v="Dialysis"/>
    <n v="9500"/>
    <s v="February "/>
    <m/>
    <m/>
  </r>
  <r>
    <s v="BISHOP KIOKO"/>
    <n v="2001893"/>
    <n v="9046"/>
    <s v="Joram Muthini"/>
    <n v="69"/>
    <x v="0"/>
    <s v="Male"/>
    <s v="Contributor"/>
    <s v="ESRD"/>
    <x v="9"/>
    <s v="18.02.2026"/>
    <s v="18.02.2026"/>
    <s v="Dialysis"/>
    <n v="9500"/>
    <s v="February "/>
    <m/>
    <m/>
  </r>
  <r>
    <s v="PREMIER HOSP"/>
    <n v="2017509"/>
    <n v="19309"/>
    <s v="Mohammed Shukry"/>
    <n v="63"/>
    <x v="0"/>
    <s v="Male"/>
    <s v="Contributor"/>
    <s v="ESRD"/>
    <x v="9"/>
    <s v="18.02.2026"/>
    <s v="18.02.2026"/>
    <s v="Dialysis"/>
    <n v="8500"/>
    <s v="February "/>
    <m/>
    <m/>
  </r>
  <r>
    <s v="PREMIER HOSP"/>
    <n v="2017509"/>
    <n v="19309"/>
    <s v="Muhammed Shukry"/>
    <n v="63"/>
    <x v="0"/>
    <s v="Male"/>
    <s v="Contributor"/>
    <s v="ESRD"/>
    <x v="9"/>
    <s v="18.03.2026"/>
    <s v="18.03.2026"/>
    <s v="Dialysis"/>
    <n v="8500"/>
    <s v="March"/>
    <n v="254722271315"/>
    <m/>
  </r>
  <r>
    <s v="THE KAREN HOSP"/>
    <n v="2003908"/>
    <n v="15158"/>
    <s v="Richard Musembei"/>
    <n v="65"/>
    <x v="0"/>
    <s v="Male"/>
    <s v="Contributor"/>
    <s v="ESRD"/>
    <x v="9"/>
    <s v="19.01.2026-Hosp to bill through smart"/>
    <s v="19.01.2026"/>
    <s v="Dialysis"/>
    <n v="268400"/>
    <s v="January"/>
    <m/>
    <m/>
  </r>
  <r>
    <s v="ST LUKES O&amp;T"/>
    <n v="2502095"/>
    <n v="21102"/>
    <s v="John Koskei"/>
    <n v="57"/>
    <x v="0"/>
    <s v="Male"/>
    <s v="Contributor"/>
    <s v="ESRD"/>
    <x v="9"/>
    <s v="19.01.2026-"/>
    <s v="19.01.2026"/>
    <s v="Dialysis"/>
    <n v="11500"/>
    <s v="January"/>
    <m/>
    <m/>
  </r>
  <r>
    <s v="OLLMH"/>
    <n v="2014318"/>
    <n v="61208"/>
    <s v="Paul Waweru"/>
    <n v="60"/>
    <x v="0"/>
    <s v="Male"/>
    <s v="Contributor"/>
    <s v="ESRD"/>
    <x v="9"/>
    <s v="19.01.2026"/>
    <s v="19.01.2026"/>
    <s v="Dialysis"/>
    <n v="9500"/>
    <s v="January"/>
    <m/>
    <m/>
  </r>
  <r>
    <s v="BRISTOL PARK"/>
    <n v="2001823"/>
    <n v="10576"/>
    <s v="Alex Ndambuki"/>
    <n v="72"/>
    <x v="0"/>
    <s v="Male"/>
    <s v="Contributor"/>
    <s v="ESRD"/>
    <x v="9"/>
    <s v="20.01.2026"/>
    <s v="20.01.2026"/>
    <s v="Dialysis"/>
    <n v="10650"/>
    <s v="January"/>
    <m/>
    <m/>
  </r>
  <r>
    <s v="BRISTOL PARK"/>
    <n v="209634"/>
    <n v="42684"/>
    <s v="Simon Nzyoka"/>
    <n v="69"/>
    <x v="0"/>
    <s v="Male"/>
    <s v="Spouse"/>
    <s v="ESRD"/>
    <x v="9"/>
    <s v="20.01.2026"/>
    <s v="20.01.2026"/>
    <s v="Dialysis"/>
    <n v="10650"/>
    <s v="January"/>
    <m/>
    <m/>
  </r>
  <r>
    <s v="BRISTOL PARK HOSP"/>
    <n v="2001823"/>
    <n v="10576"/>
    <s v="Alex Ndambuki"/>
    <n v="71"/>
    <x v="0"/>
    <s v="Male"/>
    <s v="Contributor"/>
    <s v="Esrd"/>
    <x v="9"/>
    <s v="20.02.2026"/>
    <s v="20.02.2026"/>
    <s v="Dialysis"/>
    <n v="10650"/>
    <s v="February "/>
    <m/>
    <m/>
  </r>
  <r>
    <s v="BRISTOL PARK HOSP"/>
    <n v="2019634"/>
    <n v="42684"/>
    <s v="Simon Nzyoka"/>
    <n v="68"/>
    <x v="0"/>
    <s v="Male"/>
    <s v="Spouse"/>
    <s v="Esrd"/>
    <x v="9"/>
    <s v="20.02.2026"/>
    <s v="20.02.2026"/>
    <s v="Dialysis"/>
    <n v="10650"/>
    <s v="February "/>
    <m/>
    <m/>
  </r>
  <r>
    <s v="UHSF-IRH"/>
    <n v="2010871"/>
    <n v="56685"/>
    <s v="Robert Arimi"/>
    <n v="64"/>
    <x v="0"/>
    <s v="Male"/>
    <s v="Contributor"/>
    <s v="ESRD"/>
    <x v="9"/>
    <s v="20.02.2026"/>
    <s v="20.02.2026"/>
    <s v="Dialysis"/>
    <n v="9025"/>
    <s v="February "/>
    <m/>
    <m/>
  </r>
  <r>
    <s v="BRISTAL PARK HOSP"/>
    <n v="2001823"/>
    <n v="10576"/>
    <s v="Alex Ndambuki"/>
    <n v="71"/>
    <x v="0"/>
    <s v="Male 0715509227"/>
    <s v="Contributor"/>
    <s v="ESRD"/>
    <x v="9"/>
    <s v="20.03.2026"/>
    <s v="20.03.2026"/>
    <s v="Dialysis"/>
    <n v="10650"/>
    <s v="March"/>
    <n v="254714272121"/>
    <m/>
  </r>
  <r>
    <s v="BRISTAL PARK HOSP"/>
    <n v="2019634"/>
    <n v="42684"/>
    <s v="Simon Nzyoka"/>
    <n v="69"/>
    <x v="0"/>
    <s v="Male 0714272121"/>
    <s v="Spouse"/>
    <s v="ESRD"/>
    <x v="9"/>
    <s v="20.03.2026"/>
    <s v="20.03.2026"/>
    <s v="Dialysis"/>
    <n v="10650"/>
    <s v="March"/>
    <n v="254714272121"/>
    <m/>
  </r>
  <r>
    <s v="BISHOP KIOKO"/>
    <n v="2001893"/>
    <n v="9046"/>
    <s v="Joram Muthini"/>
    <n v="69"/>
    <x v="0"/>
    <s v="Male "/>
    <s v="Contributor "/>
    <s v="ESRD"/>
    <x v="9"/>
    <s v="21.01.2026"/>
    <s v="21.01.2026"/>
    <s v="Dialysis "/>
    <n v="9500"/>
    <s v="January"/>
    <m/>
    <m/>
  </r>
  <r>
    <s v="PREMIER HOSP"/>
    <n v="2017509"/>
    <n v="19309"/>
    <s v="Mohamed Shukry "/>
    <n v="63"/>
    <x v="0"/>
    <s v="Male "/>
    <s v="Contributor "/>
    <s v="ESRD"/>
    <x v="9"/>
    <s v="21.01.2026"/>
    <s v="21.01.2026"/>
    <s v="Dialysis "/>
    <n v="8500"/>
    <s v="January"/>
    <m/>
    <m/>
  </r>
  <r>
    <s v="UHSF-NRH"/>
    <n v="2021278"/>
    <n v="56896"/>
    <s v="Hellen Nanjala "/>
    <n v="54"/>
    <x v="0"/>
    <s v="Male "/>
    <s v="Contributor "/>
    <s v="ESRD"/>
    <x v="9"/>
    <s v="21.01.2026"/>
    <s v="21.01.2026"/>
    <s v="Daycare "/>
    <n v="43051.64"/>
    <s v="January"/>
    <m/>
    <m/>
  </r>
  <r>
    <s v="UHSF - NRH"/>
    <n v="2405040"/>
    <n v="31911"/>
    <s v="Sammy Nyagah"/>
    <n v="63"/>
    <x v="0"/>
    <s v="Male"/>
    <s v="Contributor"/>
    <s v="ESRD"/>
    <x v="9"/>
    <s v="21.02.2026"/>
    <s v="21.02.2026"/>
    <s v="Dialysis"/>
    <n v="12321"/>
    <s v="February "/>
    <m/>
    <m/>
  </r>
  <r>
    <s v="THE KAREN HOSP"/>
    <n v="2012620"/>
    <n v="102835"/>
    <s v="Beatrice Nafula "/>
    <n v="64"/>
    <x v="0"/>
    <s v="Female"/>
    <s v="Spouse"/>
    <s v="Esrd"/>
    <x v="9"/>
    <s v="21.02.2026"/>
    <s v="21.02.2026"/>
    <s v="Dialysis"/>
    <n v="22544"/>
    <s v="February "/>
    <m/>
    <m/>
  </r>
  <r>
    <s v="BRISTOL PARK"/>
    <n v="2001823"/>
    <n v="10576"/>
    <s v="Alex Ndambuki"/>
    <n v="72"/>
    <x v="0"/>
    <s v="Male"/>
    <s v="Spouse"/>
    <s v="ESRD"/>
    <x v="9"/>
    <s v="23.01.2026"/>
    <s v="23.01.2026"/>
    <s v="Dialysis"/>
    <n v="10650"/>
    <s v="January"/>
    <m/>
    <m/>
  </r>
  <r>
    <s v="THE NAIROBI HOSP"/>
    <n v="2001198"/>
    <n v="18587"/>
    <s v="Micheal Kiilu"/>
    <n v="76"/>
    <x v="0"/>
    <s v="Male 0721554732"/>
    <s v="Contributor"/>
    <s v="ESRD"/>
    <x v="9"/>
    <s v="15.01.2026"/>
    <s v="23.01.2026"/>
    <n v="8"/>
    <n v="768485"/>
    <s v="January"/>
    <m/>
    <m/>
  </r>
  <r>
    <s v="BRISTOL PARK"/>
    <n v="2001823"/>
    <n v="42684"/>
    <s v="Simon Nzyoka"/>
    <n v="69"/>
    <x v="0"/>
    <s v="Male"/>
    <s v="Spouse"/>
    <s v="ESRD"/>
    <x v="9"/>
    <s v="23.01.2026"/>
    <s v="23.01.2026"/>
    <s v="Dialysis"/>
    <n v="10650"/>
    <s v="January"/>
    <m/>
    <m/>
  </r>
  <r>
    <s v="UHSF-IRH"/>
    <n v="2010871"/>
    <n v="56685"/>
    <s v="Robert Mbaya"/>
    <n v="63"/>
    <x v="0"/>
    <s v="Male"/>
    <s v="Contributor"/>
    <s v="ESRD"/>
    <x v="9"/>
    <s v="23.01.2026"/>
    <s v="23.01.2026"/>
    <s v="Dialysis"/>
    <n v="9025"/>
    <s v="January"/>
    <m/>
    <m/>
  </r>
  <r>
    <s v="TANAKA NURSING"/>
    <n v="2012620"/>
    <n v="102835"/>
    <s v="Beatrice Nafula"/>
    <n v="64"/>
    <x v="0"/>
    <s v="Female"/>
    <s v="Spouse"/>
    <s v="ESRD"/>
    <x v="9"/>
    <s v="23.01.2026"/>
    <s v="23.01.2026"/>
    <s v="Dialysis"/>
    <n v="10650"/>
    <s v="January"/>
    <m/>
    <m/>
  </r>
  <r>
    <s v="ST LUKES O&amp;T"/>
    <n v="2502095"/>
    <n v="21102"/>
    <s v="John Koskei"/>
    <n v="56"/>
    <x v="0"/>
    <s v="Male"/>
    <s v="Contributor"/>
    <s v="ESRD"/>
    <x v="9"/>
    <s v="23.03.2026"/>
    <s v="23.03.2026"/>
    <s v="Dialysis"/>
    <n v="11500"/>
    <s v="March"/>
    <n v="254721642629"/>
    <m/>
  </r>
  <r>
    <s v="TAWFIQ HOSP"/>
    <n v="2001404"/>
    <n v="37163"/>
    <s v="Seif Sheyube"/>
    <n v="62"/>
    <x v="0"/>
    <s v="Male"/>
    <s v="Contributor"/>
    <s v="ESRD"/>
    <x v="9"/>
    <s v="23.03.2026-Billed through smart on 21.03.2026"/>
    <s v="23.03.2026"/>
    <s v="Dialysis"/>
    <n v="13000"/>
    <s v="March"/>
    <n v="254728114821"/>
    <m/>
  </r>
  <r>
    <s v="REALE HOSP"/>
    <n v="2002953"/>
    <n v="18654"/>
    <s v="Fredrick Wanga"/>
    <n v="60"/>
    <x v="0"/>
    <s v="Male"/>
    <s v="Contributor"/>
    <s v="ESRD"/>
    <x v="9"/>
    <s v="24.01.2026"/>
    <s v="24.01.2026"/>
    <s v="Dialysis"/>
    <n v="10899"/>
    <s v="January"/>
    <m/>
    <m/>
  </r>
  <r>
    <s v="REALE HOSP"/>
    <n v="2002953"/>
    <n v="18654"/>
    <s v="Fredrick Wanga"/>
    <n v="60"/>
    <x v="0"/>
    <s v="Male"/>
    <s v="Contributor"/>
    <s v="ESRD"/>
    <x v="9"/>
    <s v="24.01.2026-Belated LOU"/>
    <s v="24.01.2026"/>
    <s v="Dialysis"/>
    <n v="12349"/>
    <s v="January"/>
    <m/>
    <m/>
  </r>
  <r>
    <s v="TAWFIQ HOSP"/>
    <n v="2001404"/>
    <n v="37163"/>
    <s v="Seif Sheyumbe"/>
    <n v="63"/>
    <x v="0"/>
    <s v="Male"/>
    <s v="Contributor"/>
    <s v="ESRD"/>
    <x v="9"/>
    <s v="24.01.2026"/>
    <s v="24.01.2026"/>
    <s v="Dialysis"/>
    <n v="13000"/>
    <s v="January"/>
    <m/>
    <m/>
  </r>
  <r>
    <s v="NAIROBI WEST HOSP"/>
    <n v="2020238"/>
    <n v="43253"/>
    <s v="Teresia Mbaika"/>
    <n v="65"/>
    <x v="0"/>
    <s v="Female"/>
    <s v="Spouse"/>
    <s v="ESRD"/>
    <x v="9"/>
    <s v="24.01.2026"/>
    <s v="24.01.2026"/>
    <s v="Dialysis"/>
    <n v="7000"/>
    <s v="January"/>
    <m/>
    <m/>
  </r>
  <r>
    <s v="BRISTOL PARK HOSP"/>
    <n v="2001823"/>
    <n v="10576"/>
    <s v="Alex Ndambuki"/>
    <n v="72"/>
    <x v="0"/>
    <s v="Male"/>
    <s v="Contributor"/>
    <s v="ESRD"/>
    <x v="9"/>
    <s v="24.02.2026"/>
    <s v="24.02.2026"/>
    <s v="Dialysis"/>
    <n v="10650"/>
    <s v="February "/>
    <m/>
    <m/>
  </r>
  <r>
    <s v="BRISTOL PARK HOSP"/>
    <n v="2019634"/>
    <n v="42684"/>
    <s v="Simon Nzyoka"/>
    <n v="69"/>
    <x v="0"/>
    <s v="Male"/>
    <s v="Spouse"/>
    <s v="ESRD"/>
    <x v="9"/>
    <s v="24.02.2026"/>
    <s v="24.02.2026"/>
    <s v="Dialysis"/>
    <n v="10650"/>
    <s v="February "/>
    <m/>
    <m/>
  </r>
  <r>
    <s v="BRISTAL PARK HOSP"/>
    <n v="2001823"/>
    <n v="10576"/>
    <s v="Alex Ndambuki "/>
    <n v="71"/>
    <x v="0"/>
    <s v="Male "/>
    <s v="Contributor"/>
    <s v="ESRD"/>
    <x v="9"/>
    <s v="24.03.2026"/>
    <s v="24.03.2026"/>
    <s v="Dialysis"/>
    <n v="10650"/>
    <s v="March"/>
    <n v="254714272121"/>
    <m/>
  </r>
  <r>
    <s v="UHSF- NRH"/>
    <n v="2405040"/>
    <n v="31911"/>
    <s v="Sammy Nyagah"/>
    <n v="63"/>
    <x v="0"/>
    <s v="Male "/>
    <s v="Contributor"/>
    <s v="ESRD"/>
    <x v="9"/>
    <s v="24.03.2026"/>
    <s v="24.03.2026"/>
    <s v="Dialysis"/>
    <n v="25510"/>
    <s v="March"/>
    <n v="254720981719"/>
    <m/>
  </r>
  <r>
    <s v="BRISTAL PARK HOSP"/>
    <n v="2019634"/>
    <n v="42684"/>
    <s v="Simon Nzioki"/>
    <n v="68"/>
    <x v="0"/>
    <s v="Male "/>
    <s v="Contributor"/>
    <s v="ESRD"/>
    <x v="9"/>
    <s v="24.03.2026"/>
    <s v="24.03.2026"/>
    <s v="Dialysis"/>
    <n v="10650"/>
    <s v="March"/>
    <n v="254714272121"/>
    <m/>
  </r>
  <r>
    <s v="UHSF- NRH"/>
    <n v="2407751"/>
    <n v="60104"/>
    <s v="Fredrick Kinyumu"/>
    <n v="59"/>
    <x v="0"/>
    <s v="Male "/>
    <s v="Contributor"/>
    <s v="ESRD"/>
    <x v="9"/>
    <s v="24.03.2026"/>
    <s v="24.03.2026"/>
    <s v="Dialysis"/>
    <n v="36051.56"/>
    <s v="March"/>
    <n v="254719718741"/>
    <m/>
  </r>
  <r>
    <s v="BISHOP KIOKO"/>
    <n v="2001893"/>
    <n v="9046"/>
    <s v="Joram Muthini"/>
    <n v="69"/>
    <x v="0"/>
    <s v="Male"/>
    <s v="Contributor"/>
    <s v="ESRD"/>
    <x v="9"/>
    <s v="25.02.2026"/>
    <s v="25.02.2026"/>
    <s v="Dialysis"/>
    <n v="9500"/>
    <s v="February "/>
    <m/>
    <m/>
  </r>
  <r>
    <s v="PREMIER HOSP"/>
    <n v="2017509"/>
    <n v="19209"/>
    <s v="Mohammed Shukry"/>
    <n v="63"/>
    <x v="0"/>
    <s v="Male"/>
    <s v="Contributor"/>
    <s v="ESRD"/>
    <x v="9"/>
    <s v="25.02.2026"/>
    <s v="25.02.2026"/>
    <s v="Dialysis"/>
    <n v="8500"/>
    <s v="February "/>
    <m/>
    <m/>
  </r>
  <r>
    <s v="BISHOP KIOKO HOSP"/>
    <n v="2001898"/>
    <n v="9046"/>
    <s v="Joram  Muthuni"/>
    <n v="69"/>
    <x v="0"/>
    <s v="Male "/>
    <s v="Contributor"/>
    <s v="ESRD"/>
    <x v="9"/>
    <s v="25.03.2026"/>
    <s v="25.03.2026"/>
    <s v="Dialysis"/>
    <n v="9000"/>
    <s v="March"/>
    <n v="254729953155"/>
    <m/>
  </r>
  <r>
    <s v="BRISTAL PARK HOSP"/>
    <n v="2019634"/>
    <n v="42684"/>
    <s v="Simon Nzyoka "/>
    <n v="68"/>
    <x v="0"/>
    <s v="Male"/>
    <s v="Spouse"/>
    <s v="ESRD"/>
    <x v="9"/>
    <s v="25.03.2026"/>
    <s v="25.03.2026"/>
    <s v="Dialysis"/>
    <n v="10650"/>
    <s v="March"/>
    <n v="254722360657"/>
    <m/>
  </r>
  <r>
    <s v="OLLMH"/>
    <n v="2014318"/>
    <n v="61208"/>
    <s v="Paul Waweru"/>
    <n v="61"/>
    <x v="0"/>
    <s v="Male "/>
    <s v="Contributor"/>
    <s v="ESRD"/>
    <x v="9"/>
    <s v="25.03.2026 Hospital to Bill Through SMART"/>
    <s v="25.03.2026"/>
    <s v="Dialysis"/>
    <n v="9500"/>
    <s v="March"/>
    <n v="254714272121"/>
    <m/>
  </r>
  <r>
    <s v="BISHOP KIOKO"/>
    <n v="2001893"/>
    <n v="9046"/>
    <s v="Joram Muthini"/>
    <n v="69"/>
    <x v="0"/>
    <s v="Male"/>
    <s v="Contributor"/>
    <s v="ESRD"/>
    <x v="9"/>
    <s v="26.01.2026-Belated LOU billed on 24.01.26"/>
    <s v="26.01.2026"/>
    <s v="Dialysis"/>
    <n v="9500"/>
    <s v="January"/>
    <m/>
    <m/>
  </r>
  <r>
    <s v="ST LUKES O&amp;T"/>
    <n v="2502095"/>
    <n v="21102"/>
    <s v="John Koskei"/>
    <n v="57"/>
    <x v="0"/>
    <s v="Male"/>
    <s v="Contributor"/>
    <s v="ESRD"/>
    <x v="9"/>
    <s v="26.01.2026"/>
    <s v="26.01.2026"/>
    <s v="Dialysis"/>
    <n v="11500"/>
    <s v="January"/>
    <m/>
    <m/>
  </r>
  <r>
    <s v="OLLMH"/>
    <n v="2014318"/>
    <n v="61208"/>
    <s v="Paul Waweru"/>
    <n v="62"/>
    <x v="0"/>
    <s v="Male"/>
    <s v="Contributor"/>
    <s v="ESRD"/>
    <x v="9"/>
    <s v="26.01.2026"/>
    <s v="26.01.2026"/>
    <s v="Dialysis"/>
    <n v="9500"/>
    <s v="January"/>
    <m/>
    <m/>
  </r>
  <r>
    <s v="DIANI BEACH HOSP"/>
    <n v="2002228"/>
    <n v="31315"/>
    <s v="John  Henesty "/>
    <n v="72"/>
    <x v="0"/>
    <s v="Male "/>
    <s v="Contributor "/>
    <s v="ESRD"/>
    <x v="9"/>
    <s v="26.03.2026"/>
    <s v="26.03.2026"/>
    <s v="Dialysis "/>
    <n v="10650"/>
    <s v="March"/>
    <n v="254723124386"/>
    <m/>
  </r>
  <r>
    <s v="BRISTOL PARK"/>
    <n v="2001823"/>
    <n v="10576"/>
    <s v="Alex Ndambuki"/>
    <n v="70"/>
    <x v="0"/>
    <s v="Male"/>
    <s v="Contributor"/>
    <s v="ESRD"/>
    <x v="9"/>
    <s v="27.01.2026"/>
    <s v="27.01.2026"/>
    <s v="Dialysis"/>
    <n v="10650"/>
    <s v="January"/>
    <m/>
    <m/>
  </r>
  <r>
    <s v="MATER HOSP"/>
    <n v="2002754"/>
    <n v="11467"/>
    <s v="Bute Halake"/>
    <n v="74"/>
    <x v="0"/>
    <s v="Male"/>
    <s v="Contributor"/>
    <s v="ESRD"/>
    <x v="9"/>
    <s v="27.01.2026-Hosp to bill through smart"/>
    <s v="27.01.2026"/>
    <s v="Dialysis"/>
    <n v="10500"/>
    <s v="January"/>
    <m/>
    <m/>
  </r>
  <r>
    <s v="UHSF-LRH"/>
    <n v="2003444"/>
    <n v="18642"/>
    <s v="David Gikera"/>
    <n v="63"/>
    <x v="0"/>
    <s v="Male"/>
    <s v="Contributor"/>
    <s v="ESRD"/>
    <x v="9"/>
    <s v="27.01.2026"/>
    <s v="27.01.2026"/>
    <s v="Dialysis"/>
    <n v="9025"/>
    <s v="January"/>
    <m/>
    <m/>
  </r>
  <r>
    <s v="BRISTOL PARK"/>
    <n v="2019634"/>
    <n v="42684"/>
    <s v="Simon Nzyoka"/>
    <n v="69"/>
    <x v="0"/>
    <s v="Male"/>
    <s v="Spouse"/>
    <s v="ESRD"/>
    <x v="9"/>
    <s v="27.01.2026"/>
    <s v="27.01.2026"/>
    <s v="Dialysis"/>
    <n v="10650"/>
    <s v="January"/>
    <m/>
    <m/>
  </r>
  <r>
    <s v="BRISTOL PARK HOSP"/>
    <n v="2001823"/>
    <n v="10576"/>
    <s v="Alex Ndambuki"/>
    <n v="72"/>
    <x v="0"/>
    <s v="Male"/>
    <s v="Contributor"/>
    <s v="ESRD"/>
    <x v="9"/>
    <s v="27.02.2026-Hosp to bill through smart"/>
    <s v="27.02.2026"/>
    <s v="Dialysis"/>
    <n v="10650"/>
    <s v="February "/>
    <m/>
    <m/>
  </r>
  <r>
    <s v="ST JOSEPH SHELTER"/>
    <n v="2001198"/>
    <n v="18587"/>
    <s v="Michael Kiluu"/>
    <n v="76"/>
    <x v="0"/>
    <s v="Male"/>
    <s v="Contributor"/>
    <s v="ESRD"/>
    <x v="9"/>
    <s v="27.02.2026-Hosp billed as out patient"/>
    <s v="27.02.2026"/>
    <s v="Dialysis"/>
    <n v="11500"/>
    <s v="February "/>
    <m/>
    <m/>
  </r>
  <r>
    <s v="UHSF- DFMH"/>
    <n v="2017742"/>
    <n v="37239"/>
    <s v="James Munyua"/>
    <n v="58"/>
    <x v="0"/>
    <s v="Male"/>
    <s v="Contributor"/>
    <s v="ESRD"/>
    <x v="9"/>
    <s v="27.02.2026-Hosp billed as out patient"/>
    <s v="27.02.2026"/>
    <s v="Dialysis"/>
    <n v="9025"/>
    <s v="February "/>
    <m/>
    <m/>
  </r>
  <r>
    <s v="BRISTOL PARK HOSP"/>
    <n v="2019634"/>
    <n v="42684"/>
    <s v="Simon Nzioka"/>
    <n v="69"/>
    <x v="0"/>
    <s v="Male"/>
    <s v="Spouse"/>
    <s v="ESRD"/>
    <x v="9"/>
    <s v="27.02.2026"/>
    <s v="27.02.2026"/>
    <s v="Dialysis"/>
    <n v="10650"/>
    <s v="February "/>
    <m/>
    <m/>
  </r>
  <r>
    <s v="BRISTAL PARK HOSP"/>
    <n v="2001823"/>
    <n v="10576"/>
    <s v="Alex Ndambuki"/>
    <n v="72"/>
    <x v="0"/>
    <s v="Male"/>
    <s v="Contributor"/>
    <s v="Esrd"/>
    <x v="9"/>
    <s v="27.03.2026"/>
    <s v="27.03.2026"/>
    <s v="Dialysis"/>
    <n v="10650"/>
    <s v="March"/>
    <n v="254725040021"/>
    <m/>
  </r>
  <r>
    <s v="BRISTAL PARK HOSP"/>
    <n v="2019634"/>
    <n v="42684"/>
    <s v="Simon Nzyoka"/>
    <n v="69"/>
    <x v="0"/>
    <s v="Male"/>
    <s v="Spouse"/>
    <s v="ESRD"/>
    <x v="9"/>
    <s v="27.03.2026"/>
    <s v="27.03.2026"/>
    <s v="Dialysis"/>
    <n v="10650"/>
    <s v="March"/>
    <n v="254723124386"/>
    <m/>
  </r>
  <r>
    <s v="Premier Hosp"/>
    <n v="2017509"/>
    <n v="19309"/>
    <s v="Muhammad Shukry"/>
    <n v="63"/>
    <x v="0"/>
    <s v="Male"/>
    <s v="Contributor"/>
    <s v="ESRD"/>
    <x v="9"/>
    <s v="28.01.2026"/>
    <s v="28.01.2026"/>
    <s v="Dialysis"/>
    <n v="8500"/>
    <s v="January"/>
    <m/>
    <m/>
  </r>
  <r>
    <s v="BISHOP KIOKO"/>
    <n v="2001893"/>
    <n v="9046"/>
    <s v="Joram Muthini"/>
    <n v="69"/>
    <x v="0"/>
    <s v="Male"/>
    <s v="Contributor"/>
    <s v="ESRD"/>
    <x v="9"/>
    <s v="28.02.2026"/>
    <s v="28.02.2026"/>
    <s v="Dialysis"/>
    <n v="9500"/>
    <s v="February "/>
    <m/>
    <m/>
  </r>
  <r>
    <s v="THE KAREN HOSP"/>
    <n v="2012620"/>
    <n v="102835"/>
    <s v="Beatrice Juma"/>
    <n v="64"/>
    <x v="0"/>
    <s v="Female"/>
    <s v="Spouse"/>
    <s v="ESRD"/>
    <x v="9"/>
    <s v="28.02.2026"/>
    <s v="28.02.2026"/>
    <s v="Dialysis"/>
    <n v="9500"/>
    <s v="February "/>
    <m/>
    <m/>
  </r>
  <r>
    <s v="Bristol Park "/>
    <n v="2001823"/>
    <n v="10576"/>
    <s v="Alex Ndambuki"/>
    <n v="72"/>
    <x v="0"/>
    <s v="Male"/>
    <s v="Contributor"/>
    <s v="ESRD"/>
    <x v="9"/>
    <s v="30.01.2026"/>
    <s v="30.01.2026"/>
    <s v="Dialysis"/>
    <n v="10650"/>
    <s v="January"/>
    <m/>
    <m/>
  </r>
  <r>
    <s v="UHSF-DFMH"/>
    <n v="2017742"/>
    <n v="37239"/>
    <s v="Jame Munyua"/>
    <n v="58"/>
    <x v="0"/>
    <s v="Male"/>
    <s v="Contributor"/>
    <s v="ESRD"/>
    <x v="9"/>
    <s v="30.01.2026-Hosp billed as outpatient"/>
    <s v="30.01.2026"/>
    <s v="Dialysis"/>
    <n v="9975"/>
    <s v="January"/>
    <m/>
    <m/>
  </r>
  <r>
    <s v="Bristol Park"/>
    <n v="2019634"/>
    <n v="42684"/>
    <s v="Symon Nzyoka"/>
    <n v="69"/>
    <x v="0"/>
    <s v="Male"/>
    <s v="Spouse"/>
    <s v="Esrd"/>
    <x v="9"/>
    <s v="30.01.2026"/>
    <s v="30.01.2026"/>
    <s v="Dialysis"/>
    <n v="10650"/>
    <s v="January"/>
    <m/>
    <m/>
  </r>
  <r>
    <s v="UHSF-IRH"/>
    <n v="2010871"/>
    <n v="56685"/>
    <s v="Robert Mbaya"/>
    <n v="63"/>
    <x v="0"/>
    <s v="Male"/>
    <s v="Contributor"/>
    <s v="ESRD"/>
    <x v="9"/>
    <s v="30.01.2026"/>
    <s v="30.01.2026"/>
    <s v="Dialysis"/>
    <n v="9025"/>
    <s v="January"/>
    <m/>
    <m/>
  </r>
  <r>
    <s v="BISHOP KIOKO HOSP"/>
    <n v="2001893"/>
    <n v="9046"/>
    <s v="Joram Muthini"/>
    <n v="69"/>
    <x v="0"/>
    <s v="Male"/>
    <s v="Contributor"/>
    <s v="ESRD"/>
    <x v="9"/>
    <s v="30.03.2026"/>
    <s v="30.03.2026"/>
    <s v="Dialysis"/>
    <n v="9500"/>
    <s v="March"/>
    <n v="254714272121"/>
    <m/>
  </r>
  <r>
    <s v="ST LUKES O&amp;T"/>
    <n v="2502095"/>
    <n v="21102"/>
    <s v="John Koskei"/>
    <m/>
    <x v="2"/>
    <s v="Male"/>
    <s v="Contributor"/>
    <s v="ESRD"/>
    <x v="9"/>
    <s v="30.03.2026"/>
    <s v="30.03.2026"/>
    <s v="Dialysis"/>
    <n v="11500"/>
    <s v="March"/>
    <n v="254721472450"/>
    <m/>
  </r>
  <r>
    <s v="OLLMH"/>
    <n v="2014318"/>
    <n v="61208"/>
    <s v="Paul Waweru"/>
    <n v="61"/>
    <x v="0"/>
    <s v="Male"/>
    <s v="Contributor"/>
    <s v="ESRD"/>
    <x v="9"/>
    <s v="30.03.2026"/>
    <s v="30.03.2026"/>
    <s v="Dialysis"/>
    <n v="9500"/>
    <s v="March"/>
    <n v="254714272121"/>
    <m/>
  </r>
  <r>
    <s v="Bishop Kioko"/>
    <n v="2001893"/>
    <n v="9046"/>
    <s v="Joram Muthini"/>
    <n v="69"/>
    <x v="0"/>
    <s v="Male"/>
    <s v="Contributor"/>
    <s v="ESRD"/>
    <x v="9"/>
    <s v="31.01.2026"/>
    <s v="31.01.2026"/>
    <s v="Dialysis"/>
    <n v="9500"/>
    <s v="January"/>
    <m/>
    <m/>
  </r>
  <r>
    <s v="Tawfiq Hosp"/>
    <n v="2001404"/>
    <n v="37163"/>
    <s v="Seif Sheyumbe"/>
    <n v="63"/>
    <x v="0"/>
    <s v="Male"/>
    <s v="Contributor"/>
    <s v="ESRD"/>
    <x v="9"/>
    <s v="31.01.2026"/>
    <s v="31.01.2026"/>
    <s v="Dialysis"/>
    <n v="13000"/>
    <s v="January"/>
    <m/>
    <m/>
  </r>
  <r>
    <s v="THE KAREN HOSP"/>
    <n v="2003908"/>
    <n v="15158"/>
    <s v="Richard Musembei"/>
    <n v="65"/>
    <x v="0"/>
    <s v="Male"/>
    <s v="Contributor"/>
    <s v="ESRD"/>
    <x v="9"/>
    <s v="31.03.2026-Hosp to bill through smart"/>
    <s v="31.03.2026"/>
    <s v="Dialysis"/>
    <n v="268400"/>
    <s v="March"/>
    <n v="254720659401"/>
    <m/>
  </r>
  <r>
    <s v="BRISTAL PARK HOSP"/>
    <n v="2019634"/>
    <n v="42684"/>
    <s v="Simon Nzyoka"/>
    <n v="69"/>
    <x v="0"/>
    <s v="Male"/>
    <s v="Spouse"/>
    <s v="ESRD"/>
    <x v="9"/>
    <s v="31.03.2026"/>
    <s v="31.03.2026"/>
    <s v="Dialysis"/>
    <n v="10650"/>
    <s v="March"/>
    <n v="254714232051"/>
    <m/>
  </r>
  <r>
    <s v="TAWFIQ HOSP"/>
    <n v="2001404"/>
    <n v="37163"/>
    <s v="Seif Sheyumbe"/>
    <n v="63"/>
    <x v="0"/>
    <s v="Male "/>
    <s v="Contributor "/>
    <s v="ESRD /DM"/>
    <x v="9"/>
    <s v="05.01.2026"/>
    <s v="05.01.2026"/>
    <s v="Dialysis"/>
    <n v="13000"/>
    <s v="January"/>
    <m/>
    <m/>
  </r>
  <r>
    <s v="OLLMH"/>
    <n v="2014318"/>
    <n v="61208"/>
    <s v="Paul Waweru Muthui"/>
    <n v="62"/>
    <x v="0"/>
    <s v="Male"/>
    <s v="Contributor"/>
    <s v="ESRD DUE TO Htn"/>
    <x v="9"/>
    <s v="02.02.2026"/>
    <s v="02.02.2026"/>
    <s v="Dialysis"/>
    <n v="9500"/>
    <s v="February "/>
    <m/>
    <m/>
  </r>
  <r>
    <s v="OLLMH"/>
    <n v="2014318"/>
    <n v="61208"/>
    <s v="Paul Waweru"/>
    <n v="63"/>
    <x v="0"/>
    <s v="Male"/>
    <s v="Contributor"/>
    <s v="ESRD in htn"/>
    <x v="9"/>
    <s v="16.03.2026"/>
    <s v="16.03.2026"/>
    <s v="Dialysis"/>
    <n v="9500"/>
    <s v="March"/>
    <n v="254722849332"/>
    <m/>
  </r>
  <r>
    <s v="REALE HOSP"/>
    <n v="2002953"/>
    <n v="18654"/>
    <s v="Fredrick Mwanza"/>
    <n v="63"/>
    <x v="0"/>
    <s v="Male"/>
    <s v="Contributor"/>
    <s v="ESRD/dm/htn"/>
    <x v="9"/>
    <s v="03.02.2026"/>
    <s v="03.02.2026"/>
    <s v="Dialysis"/>
    <n v="12394"/>
    <s v="February "/>
    <m/>
    <m/>
  </r>
  <r>
    <s v="REALE HOSP"/>
    <n v="2002953"/>
    <n v="18654"/>
    <s v="Fredrick Mwanza"/>
    <n v="63"/>
    <x v="0"/>
    <s v="Male"/>
    <s v="Contributor"/>
    <s v="ESRD/dm/htn"/>
    <x v="9"/>
    <s v="10.02.2026"/>
    <s v="10.02.2026"/>
    <s v="Dialysis"/>
    <n v="12369"/>
    <s v="February "/>
    <m/>
    <m/>
  </r>
  <r>
    <s v="REALE HOSP"/>
    <n v="2002953"/>
    <n v="18654"/>
    <s v="Fredrick Wanga "/>
    <n v="63"/>
    <x v="0"/>
    <s v="Male"/>
    <s v="Contributor"/>
    <s v="Esrd/dm/htn"/>
    <x v="9"/>
    <s v="17.03.2026"/>
    <s v="17.03.2026"/>
    <s v="Dialysis"/>
    <n v="14895"/>
    <s v="March"/>
    <n v="254728114821"/>
    <m/>
  </r>
  <r>
    <s v="ST LUKES O&amp;T"/>
    <n v="2003958"/>
    <n v="31482"/>
    <s v="Cornelius Wegulo"/>
    <n v="61"/>
    <x v="0"/>
    <s v="Male 0721729511"/>
    <s v="Contributor"/>
    <s v="ESRD/DM/HTN/Urethral Injury"/>
    <x v="9"/>
    <s v="16.01.2026"/>
    <s v="24.01.2026"/>
    <n v="7"/>
    <n v="283064"/>
    <s v="January"/>
    <m/>
    <m/>
  </r>
  <r>
    <s v="REALE HOSP"/>
    <n v="2002953"/>
    <n v="18654"/>
    <s v="Fredrick Wanga"/>
    <n v="60"/>
    <x v="0"/>
    <s v="Male"/>
    <s v="Contributor"/>
    <s v="ESRD/htn"/>
    <x v="9"/>
    <s v="08.01.2026-Hosp to bill through smart"/>
    <s v="08.01.2026"/>
    <s v="Dialysis"/>
    <n v="11944"/>
    <s v="January"/>
    <m/>
    <m/>
  </r>
  <r>
    <s v="UHSF -DFMH"/>
    <n v="2002754"/>
    <n v="11467"/>
    <s v="Bute Halake"/>
    <n v="70"/>
    <x v="0"/>
    <s v="Male"/>
    <s v="Contributor"/>
    <s v="ESRD/htn"/>
    <x v="9"/>
    <s v="12.01.2026-Hosp billed as outpatient"/>
    <s v="12.01.2026"/>
    <s v="Dialysis"/>
    <n v="9025"/>
    <s v="January"/>
    <m/>
    <m/>
  </r>
  <r>
    <s v="MTRH"/>
    <n v="2005037"/>
    <n v="5326"/>
    <s v="Tyler Tumwa"/>
    <n v="18"/>
    <x v="2"/>
    <s v="Male"/>
    <s v="Child"/>
    <s v="ESRD/htn"/>
    <x v="9"/>
    <s v="20.01.2026  Hospital to request for LOU"/>
    <s v="20.01.2026"/>
    <s v="Dialysis"/>
    <n v="6275.31"/>
    <s v="January"/>
    <m/>
    <m/>
  </r>
  <r>
    <s v="MTRH"/>
    <n v="2005037"/>
    <n v="5326"/>
    <s v="Tyler Tumwa"/>
    <n v="18"/>
    <x v="2"/>
    <s v="Male"/>
    <s v="Child"/>
    <s v="ESRD/htn"/>
    <x v="9"/>
    <s v="22.01.2026-billed through smart on 21.01.26"/>
    <s v="22.01.2026"/>
    <s v="Dialysis"/>
    <n v="6402.78"/>
    <s v="January"/>
    <m/>
    <m/>
  </r>
  <r>
    <s v="REALE HOSP"/>
    <n v="2002952"/>
    <n v="18654"/>
    <s v="Fredrick Wanga"/>
    <n v="60"/>
    <x v="0"/>
    <s v="Male"/>
    <s v="Contributor"/>
    <s v="ESRD/htn/dm"/>
    <x v="9"/>
    <s v="09.01.2026"/>
    <s v="09.01.2026"/>
    <s v="Dialysis"/>
    <n v="12260"/>
    <s v="January"/>
    <m/>
    <m/>
  </r>
  <r>
    <s v="UHSF - LRH"/>
    <n v="2002754"/>
    <n v="11467"/>
    <s v="Bute Halkhe"/>
    <n v="74"/>
    <x v="0"/>
    <s v="Male"/>
    <s v="Contributor"/>
    <s v="ESRD/htn/dm"/>
    <x v="9"/>
    <s v="09.02.2026"/>
    <s v="09.02.2026"/>
    <s v="Dialysis"/>
    <n v="9025"/>
    <s v="February "/>
    <m/>
    <m/>
  </r>
  <r>
    <s v="REALE HOSP"/>
    <n v="2002953"/>
    <n v="18654"/>
    <s v="Fredrick Mwanza"/>
    <n v="60"/>
    <x v="0"/>
    <s v="Male"/>
    <s v="Contributor"/>
    <s v="ESRD/htn/dm"/>
    <x v="9"/>
    <s v="20.01.2026"/>
    <s v="20.01.2026"/>
    <s v="Dialysis"/>
    <n v="10807"/>
    <s v="January"/>
    <m/>
    <m/>
  </r>
  <r>
    <s v="UHSF -DFMH"/>
    <n v="2002754"/>
    <n v="11467"/>
    <s v="Bute Halkhe"/>
    <n v="74"/>
    <x v="0"/>
    <s v="Male"/>
    <s v="Contributor"/>
    <s v="ESRD/htn/dm"/>
    <x v="9"/>
    <s v="22.01.2026-Hosp billed as out patient"/>
    <s v="22.01.2026"/>
    <s v="Dialysis"/>
    <n v="9025"/>
    <s v="January"/>
    <m/>
    <m/>
  </r>
  <r>
    <s v="PCEA CHOGORIA"/>
    <n v="2006695"/>
    <n v="100802"/>
    <s v="Joram Artithi"/>
    <n v="65"/>
    <x v="0"/>
    <s v="Male"/>
    <s v="Contributor"/>
    <s v="Fibrotic Prostate"/>
    <x v="9"/>
    <s v="13.01.2026"/>
    <s v="13.01.2026"/>
    <s v="Day case"/>
    <n v="30000"/>
    <s v="January"/>
    <m/>
    <m/>
  </r>
  <r>
    <s v="UHSF - ERH"/>
    <n v="2017014"/>
    <n v="59161"/>
    <s v="David Kipchonge"/>
    <n v="64"/>
    <x v="0"/>
    <s v="Male"/>
    <s v="Contributor"/>
    <s v="Haematuria/htn/complicated uti"/>
    <x v="9"/>
    <s v="26.02.2026-Hosp to bill through smart"/>
    <s v="28.02.2026"/>
    <n v="2"/>
    <n v="27175.1"/>
    <s v="February "/>
    <m/>
    <m/>
  </r>
  <r>
    <s v="NAIROBI SOUTH HOSP"/>
    <n v="2001511"/>
    <n v="18974"/>
    <s v="Abdikadir Shubelo"/>
    <n v="56"/>
    <x v="0"/>
    <s v="Male"/>
    <s v="Contributor"/>
    <s v="Hematuria collection a"/>
    <x v="9"/>
    <s v="16.02.2026"/>
    <s v="18.02.2026"/>
    <n v="2"/>
    <n v="293763.32"/>
    <s v="February "/>
    <m/>
    <m/>
  </r>
  <r>
    <s v="REALE HOSP"/>
    <n v="2002171"/>
    <n v="15126"/>
    <s v="Joseph Rotich"/>
    <n v="68"/>
    <x v="0"/>
    <s v="Male"/>
    <s v="Contributor"/>
    <s v="Hydrocele"/>
    <x v="9"/>
    <s v="20.02.2026"/>
    <s v="22.02.2026"/>
    <n v="1"/>
    <n v="188955"/>
    <s v="February "/>
    <m/>
    <m/>
  </r>
  <r>
    <s v="MUTHALE MISSION"/>
    <n v="2009536"/>
    <n v="100555"/>
    <s v="Elizabeth Musyoka"/>
    <n v="52"/>
    <x v="0"/>
    <s v="Female 0727556288"/>
    <s v="Spouse"/>
    <s v="Kidney injury /hyperglyceamia"/>
    <x v="9"/>
    <s v="18.02.2026"/>
    <s v="20.02.2026"/>
    <n v="2"/>
    <n v="33530"/>
    <s v="February "/>
    <m/>
    <m/>
  </r>
  <r>
    <s v="CONSOLATA MATHARI"/>
    <n v="2003111"/>
    <n v="53272"/>
    <s v="Godfrey Gitonga"/>
    <n v="67"/>
    <x v="0"/>
    <s v="Male 0721963084"/>
    <s v="Contributor"/>
    <s v="Left hydronephrosis / bph /asthma"/>
    <x v="9"/>
    <s v="19.01.2026-Hosp to bill through smart"/>
    <s v="22.01.2026"/>
    <n v="3"/>
    <n v="30457"/>
    <s v="January"/>
    <m/>
    <m/>
  </r>
  <r>
    <s v="ST MATIA MULUMBA"/>
    <n v="2505080"/>
    <n v="100854"/>
    <s v="Daniel Mwaura"/>
    <n v="69"/>
    <x v="0"/>
    <s v="Male 0720242011"/>
    <s v="Contributor"/>
    <s v="Left renal cyst/seminal RT cyst/ Metastatic Ca Lung"/>
    <x v="9"/>
    <s v="17.02.2026"/>
    <s v="24.02.2026"/>
    <n v="7"/>
    <n v="73800"/>
    <s v="February "/>
    <m/>
    <m/>
  </r>
  <r>
    <s v="PANDYA HOSP"/>
    <n v="2602058"/>
    <n v="65446"/>
    <s v="Abdinoor Hassan"/>
    <n v="61"/>
    <x v="0"/>
    <s v="Male 0722218618"/>
    <s v="Contributor"/>
    <s v="Obstructive Uropathy secondary to BPE"/>
    <x v="9"/>
    <s v="16.02.2026"/>
    <s v="19.02.2026"/>
    <n v="3"/>
    <n v="357533"/>
    <s v="February "/>
    <m/>
    <m/>
  </r>
  <r>
    <s v="PCEA CHONGORIA"/>
    <n v="2012165"/>
    <n v="85480"/>
    <s v="Mercy Gatweri"/>
    <n v="40"/>
    <x v="1"/>
    <s v="Female"/>
    <s v="Spouse"/>
    <s v="Ovarian cyst/AUB"/>
    <x v="9"/>
    <s v="02.02.2026"/>
    <s v="02.02.2026"/>
    <s v="Day case"/>
    <n v="43566.239999999998"/>
    <s v="February "/>
    <m/>
    <m/>
  </r>
  <r>
    <s v="ST FRANCIS COMMUNITY"/>
    <n v="2014385"/>
    <n v="12663"/>
    <s v="Christian Juma"/>
    <n v="66"/>
    <x v="0"/>
    <s v="Male"/>
    <s v="Contributor"/>
    <s v="Poor urinary stream"/>
    <x v="9"/>
    <s v="11.02.2026"/>
    <s v="11.02.2026"/>
    <s v="Day case"/>
    <n v="165000"/>
    <s v="February "/>
    <m/>
    <m/>
  </r>
  <r>
    <s v="THE NAIROBI HOSP"/>
    <n v="2013777"/>
    <n v="78863"/>
    <s v="Meshack Leshan"/>
    <n v="43"/>
    <x v="1"/>
    <s v="Male 0723997201"/>
    <s v="Contributor"/>
    <s v="Post Kidney transplant/hepatitis/Dm"/>
    <x v="9"/>
    <s v="14.01.2026"/>
    <s v="12.01.2026"/>
    <n v="29"/>
    <n v="1999999"/>
    <s v="February "/>
    <m/>
    <m/>
  </r>
  <r>
    <s v="PREMIER HOSP"/>
    <n v="2007427"/>
    <n v="57700"/>
    <s v="Yemima Hakamba"/>
    <n v="64"/>
    <x v="0"/>
    <s v="Female"/>
    <s v="Spouse"/>
    <s v="Post-menopausal bleeding"/>
    <x v="9"/>
    <s v="23.02.2026"/>
    <s v="23.02.2026"/>
    <s v="Day case"/>
    <n v="122168"/>
    <s v="February "/>
    <m/>
    <m/>
  </r>
  <r>
    <s v="BLOOM HOSP"/>
    <n v="2002795"/>
    <n v="8034"/>
    <s v="Cecilia Wanjiru"/>
    <n v="66"/>
    <x v="0"/>
    <s v="Female"/>
    <s v="Spouse"/>
    <s v="Post-menopausal bleeding"/>
    <x v="9"/>
    <s v="28.01.2026"/>
    <s v="28.01.2026"/>
    <s v="Day case"/>
    <n v="104500"/>
    <s v="January"/>
    <m/>
    <m/>
  </r>
  <r>
    <s v="KENDU ADVENTIST"/>
    <n v="2002219"/>
    <n v="13196"/>
    <s v="Jacob Oguna"/>
    <n v="70"/>
    <x v="0"/>
    <s v="Male 0720741236"/>
    <s v="Contributor"/>
    <s v="Post-prostatectomy stricture"/>
    <x v="9"/>
    <s v="11.01.2026 Hospital to bill through Smart"/>
    <s v="15.01.2026"/>
    <n v="4"/>
    <n v="42420"/>
    <s v="January"/>
    <m/>
    <m/>
  </r>
  <r>
    <s v="BISHOP KIOKO"/>
    <n v="2001893"/>
    <n v="9046"/>
    <s v="Joram Muthini"/>
    <n v="69"/>
    <x v="0"/>
    <s v="Male"/>
    <s v="Contributor"/>
    <s v="Renal failure"/>
    <x v="9"/>
    <s v="07.02.2026"/>
    <s v="07.02.2026"/>
    <s v="Dialysis"/>
    <n v="9500"/>
    <s v="February "/>
    <m/>
    <m/>
  </r>
  <r>
    <s v="UHSF -DFMH"/>
    <n v="2022978"/>
    <n v="61074"/>
    <s v="Audi Mito"/>
    <n v="62"/>
    <x v="0"/>
    <s v="Male"/>
    <s v="Contributor"/>
    <s v="Right renal calculi/urolithiasis"/>
    <x v="9"/>
    <s v="22.01.2026-Hosp to bill through smart"/>
    <s v="22.01.2026"/>
    <n v="1"/>
    <n v="110559.54"/>
    <s v="January"/>
    <m/>
    <m/>
  </r>
  <r>
    <s v="ST FRANCIS COMMUNITY"/>
    <n v="2012605"/>
    <n v="74105"/>
    <s v="Irene Njogu"/>
    <n v="42"/>
    <x v="1"/>
    <s v="Female 0723555554"/>
    <s v="Spouse"/>
    <s v="Symptomatic fibroids"/>
    <x v="9"/>
    <s v="07.01.2026"/>
    <s v="10.01.2026"/>
    <n v="2"/>
    <n v="248967"/>
    <s v="January"/>
    <m/>
    <m/>
  </r>
  <r>
    <s v="CHERANGANY HOSP"/>
    <n v="2012013"/>
    <n v="106164"/>
    <s v="Sarah Chepkosgei"/>
    <n v="51"/>
    <x v="0"/>
    <s v="Female 0721510541"/>
    <s v="Spouse"/>
    <s v="Symptomatic uterine fibroids"/>
    <x v="9"/>
    <s v="19.01.2026"/>
    <s v="23.01.2026"/>
    <n v="4"/>
    <n v="248160"/>
    <s v="January"/>
    <m/>
    <m/>
  </r>
  <r>
    <s v="PANDYA HOSP"/>
    <n v="2407508"/>
    <n v="57704"/>
    <s v="Kalume Karisa"/>
    <n v="61"/>
    <x v="0"/>
    <s v="Male 0722124363"/>
    <s v="Contributor"/>
    <s v="Urethral meatus stenosis"/>
    <x v="9"/>
    <s v="19.03.2026"/>
    <s v="19.03.2026"/>
    <s v="Day case"/>
    <n v="238482"/>
    <s v="March"/>
    <n v="254726788384"/>
    <m/>
  </r>
  <r>
    <s v="CAMEL HOSP"/>
    <n v="2022970"/>
    <n v="59899"/>
    <s v="Mohamud Abikar"/>
    <n v="63"/>
    <x v="0"/>
    <s v="Male"/>
    <s v="Contributor"/>
    <s v="Urine retention secondary to bph/sepsis/uti/aki"/>
    <x v="9"/>
    <s v="26.01.2026-Hosp to bill through smart"/>
    <s v="29.01.2026"/>
    <n v="3"/>
    <n v="48100"/>
    <s v="January"/>
    <m/>
    <m/>
  </r>
  <r>
    <s v="UHSF- DFMH"/>
    <n v="2022978"/>
    <n v="61074"/>
    <s v="Maurice Audi"/>
    <n v="62"/>
    <x v="0"/>
    <s v="Male 0726833675"/>
    <s v="Contributor"/>
    <s v="Urolithiasis"/>
    <x v="9"/>
    <s v="03.02.2026"/>
    <s v="05.02.2026"/>
    <n v="2"/>
    <n v="88917.6"/>
    <s v="February "/>
    <m/>
    <m/>
  </r>
  <r>
    <s v="UHSF- DFMH"/>
    <n v="2022978"/>
    <n v="61074"/>
    <s v="Maurice Audi"/>
    <n v="62"/>
    <x v="0"/>
    <s v="Male 0726833675"/>
    <s v="Contributor"/>
    <s v="Urolithiasis"/>
    <x v="9"/>
    <s v="10.02.2026"/>
    <s v="11.02.2026"/>
    <n v="1"/>
    <n v="30621.32"/>
    <s v="February "/>
    <m/>
    <m/>
  </r>
  <r>
    <s v="UHSF-THE KENYA NAVY -HOSP"/>
    <n v="2014910"/>
    <n v="31110"/>
    <s v="Jane Njeri"/>
    <n v="59"/>
    <x v="0"/>
    <s v="Female 0705482078"/>
    <s v="Spouse"/>
    <s v="UTI/HHS in DM"/>
    <x v="9"/>
    <s v="13.02.2026-off smart"/>
    <s v="20.02.2026"/>
    <n v="7"/>
    <n v="100319.06"/>
    <s v="February "/>
    <m/>
    <m/>
  </r>
  <r>
    <s v="ROYAL MEDICAL HOSP-RONGO"/>
    <n v="2022557"/>
    <n v="56098"/>
    <s v="Dorothy Amollo"/>
    <n v="59"/>
    <x v="0"/>
    <s v="Female 0714717644"/>
    <s v="Spouse"/>
    <s v="UTI/htn urgency"/>
    <x v="9"/>
    <s v="04.02.2026"/>
    <s v="06.02.2026"/>
    <n v="2"/>
    <n v="47510"/>
    <s v="February "/>
    <m/>
    <m/>
  </r>
  <r>
    <s v="BRISTOL PARK"/>
    <n v="2001823"/>
    <n v="10576"/>
    <s v="Alex Ndambuki "/>
    <n v="71"/>
    <x v="0"/>
    <s v="Male "/>
    <s v="Contributor"/>
    <s v="ESRD "/>
    <x v="9"/>
    <s v="02.01.2026"/>
    <s v="02.01.2026"/>
    <s v="Dialysis"/>
    <n v="10650"/>
    <s v="January"/>
    <m/>
    <m/>
  </r>
  <r>
    <s v="BISHOP KIOKO"/>
    <n v="2001893"/>
    <n v="9046"/>
    <s v="Joram MUTHINI "/>
    <n v="69"/>
    <x v="0"/>
    <s v="Male "/>
    <s v="Contributor"/>
    <s v="ESRD "/>
    <x v="9"/>
    <s v="03.01.2026"/>
    <s v="03.01.2026"/>
    <s v="Dialysis"/>
    <n v="9500"/>
    <s v="January"/>
    <m/>
    <m/>
  </r>
  <r>
    <s v="REALE HOSP"/>
    <n v="2002953"/>
    <n v="18654"/>
    <s v="Fredrick Wanga "/>
    <n v="63"/>
    <x v="0"/>
    <s v="Male "/>
    <s v="Contributor"/>
    <s v="Esrd "/>
    <x v="9"/>
    <s v="03.03.2026"/>
    <s v="03.03.2026"/>
    <s v="Dialysis"/>
    <n v="11484"/>
    <s v="March"/>
    <n v="254715509227"/>
    <m/>
  </r>
  <r>
    <s v="ST LUKES O&amp;T"/>
    <n v="2502095"/>
    <n v="21102"/>
    <s v="John Kosgei"/>
    <n v="57"/>
    <x v="0"/>
    <s v="Male "/>
    <s v="Contributor "/>
    <s v="ESRD "/>
    <x v="9"/>
    <s v="05.01.2026"/>
    <s v="05.01.2026"/>
    <s v="Dialysis"/>
    <n v="11500"/>
    <s v="January"/>
    <m/>
    <m/>
  </r>
  <r>
    <s v="UHSF - LRH"/>
    <n v="2002754"/>
    <n v="11467"/>
    <s v="Bute Halake"/>
    <n v="73"/>
    <x v="0"/>
    <s v="Male "/>
    <s v="Contributor "/>
    <s v="Esrd "/>
    <x v="9"/>
    <s v="05.03.2026Hosp to bill through smart"/>
    <s v="05.03.2026"/>
    <s v="Dialysis"/>
    <n v="9025"/>
    <s v="March"/>
    <n v="254720659401"/>
    <m/>
  </r>
  <r>
    <s v="THE KAREN HOSP"/>
    <n v="2012620"/>
    <n v="102835"/>
    <s v="Beatrice Wafula "/>
    <n v="68"/>
    <x v="0"/>
    <s v="Female"/>
    <s v="Spouse"/>
    <s v="ESRD "/>
    <x v="9"/>
    <s v="25.02.2026"/>
    <s v="25.02.2026"/>
    <s v="Dialysis"/>
    <n v="9500"/>
    <s v="February "/>
    <m/>
    <m/>
  </r>
  <r>
    <s v="NAIROBI WOMEN-NAKURU"/>
    <n v="2002887"/>
    <n v="54892"/>
    <s v="Joyce Chepkoech "/>
    <n v="64"/>
    <x v="0"/>
    <s v="Female"/>
    <s v="Spouse"/>
    <s v="Rectocele "/>
    <x v="9"/>
    <s v="15.01.2026 Hospital to bill through Smart"/>
    <s v="15.01.2026"/>
    <s v="Day case"/>
    <n v="46099.4"/>
    <s v="January"/>
    <m/>
    <m/>
  </r>
  <r>
    <s v="BLOOM HOSP"/>
    <n v="2020673"/>
    <n v="19381"/>
    <s v="Hellen Abuya "/>
    <n v="54"/>
    <x v="0"/>
    <s v="Female 0722258596"/>
    <s v="Spouse"/>
    <s v="Right Ovarian Cyst,Uterine fibroid "/>
    <x v="9"/>
    <s v="20.01.2026"/>
    <s v="24.01.2026"/>
    <n v="4"/>
    <n v="320000"/>
    <s v="January"/>
    <m/>
    <m/>
  </r>
  <r>
    <s v="CHERANGANY HOSP"/>
    <n v="2011255"/>
    <n v="11055"/>
    <s v="Pascal Wanyinyi"/>
    <n v="20"/>
    <x v="2"/>
    <s v="Male 0711407532"/>
    <s v="Child"/>
    <s v="Anaemia due to upper &amp; lower git bleeding"/>
    <x v="10"/>
    <s v="31.01.2026"/>
    <s v="03.02.2026"/>
    <n v="3"/>
    <n v="132500"/>
    <s v="February "/>
    <m/>
    <m/>
  </r>
  <r>
    <s v="NAIROBI WEST HOSP"/>
    <n v="2001006"/>
    <n v="18347"/>
    <s v="Nicasius Limbe"/>
    <n v="69"/>
    <x v="0"/>
    <s v="Male 0768258270"/>
    <s v="Contributor"/>
    <s v="Anaemia in known Ca prostate/sepsis"/>
    <x v="10"/>
    <s v="16.03.2026-Sha 62,720.00"/>
    <s v="30.03.2026"/>
    <n v="14"/>
    <n v="757994"/>
    <s v="March"/>
    <n v="254722828789"/>
    <m/>
  </r>
  <r>
    <s v="THE NAIROBI HOSP"/>
    <n v="2010324"/>
    <n v="8409"/>
    <s v="Consolata Mwangi"/>
    <n v="63"/>
    <x v="0"/>
    <s v="Female 0723773910"/>
    <s v="Spouse"/>
    <s v="Severe Anaemia"/>
    <x v="10"/>
    <s v="19.02.2026"/>
    <s v="21.02.2026"/>
    <n v="2"/>
    <n v="117892"/>
    <s v="February "/>
    <m/>
    <m/>
  </r>
  <r>
    <s v="NANYUKI COTTAGE"/>
    <n v="2016925"/>
    <n v="100384"/>
    <s v="Samwel Kinyua"/>
    <n v="66"/>
    <x v="0"/>
    <s v="Male 0721470925"/>
    <s v="Contributor"/>
    <s v="Severe anaemia ? cause"/>
    <x v="10"/>
    <s v="19.01.2026"/>
    <s v="24.01.2026"/>
    <n v="6"/>
    <n v="159557"/>
    <s v="January"/>
    <m/>
    <m/>
  </r>
  <r>
    <s v="ST LUKE O&amp;T"/>
    <n v="2506100"/>
    <n v="62340"/>
    <s v="Elijah Tenai"/>
    <n v="58"/>
    <x v="0"/>
    <s v="Male 0729974024"/>
    <s v="Contributor"/>
    <s v="Severe anaemia pud/Htn"/>
    <x v="10"/>
    <s v="28.01.2026"/>
    <s v="04.02.2026"/>
    <n v="7"/>
    <n v="160297"/>
    <s v="February "/>
    <m/>
    <m/>
  </r>
  <r>
    <s v="PCEA TUMUTUMU HOSP"/>
    <n v="2007815"/>
    <n v="11812"/>
    <s v="Rose Nyawira"/>
    <n v="70"/>
    <x v="0"/>
    <s v="Female 0718134262"/>
    <s v="Spouse"/>
    <s v="DVT / Cellulities "/>
    <x v="10"/>
    <s v="25.02.2026"/>
    <s v="02.03.2026"/>
    <n v="5"/>
    <n v="83496"/>
    <s v="March"/>
    <n v="254711994280"/>
    <m/>
  </r>
  <r>
    <s v="POPE BENEDICT"/>
    <n v="2011690"/>
    <n v="6844"/>
    <s v="Nancy  Ngonyo"/>
    <n v="67"/>
    <x v="0"/>
    <s v="Female 0715230573"/>
    <s v="Spouse"/>
    <s v="Hepatic Encephalopathy "/>
    <x v="7"/>
    <s v="01.01.2026 -OffSmart Deceased"/>
    <s v="04.01.2026"/>
    <n v="3"/>
    <n v="106968"/>
    <s v="January"/>
    <m/>
    <m/>
  </r>
  <r>
    <s v="KISUMU SPECIALIST"/>
    <n v="2019609"/>
    <n v="61525"/>
    <s v="Irene Akinyi Oballa"/>
    <n v="45"/>
    <x v="1"/>
    <s v="Female "/>
    <s v="Spouse"/>
    <s v="Liver Cirrhosis "/>
    <x v="7"/>
    <s v="05.02.2026"/>
    <s v="09.02.2026"/>
    <n v="4"/>
    <n v="185034"/>
    <s v="February "/>
    <m/>
    <m/>
  </r>
  <r>
    <s v="BLOOM HOSP"/>
    <n v="2405116"/>
    <n v="52917"/>
    <s v="Jamim Simiyu "/>
    <n v="64"/>
    <x v="0"/>
    <s v="Male   0720266753"/>
    <s v="Contributor"/>
    <s v="Acute Septic Arthirits "/>
    <x v="4"/>
    <s v="01.01.2026"/>
    <s v="06.01.2026"/>
    <n v="5"/>
    <n v="148490.70000000001"/>
    <s v="January"/>
    <m/>
    <m/>
  </r>
  <r>
    <s v="CAMEL HOSP"/>
    <n v="2505128"/>
    <n v="13883"/>
    <s v="Ibrahim Ali"/>
    <n v="66"/>
    <x v="0"/>
    <s v="Male 0722956461"/>
    <s v="Contributor"/>
    <s v="Cellulites of the left leg/sepsis "/>
    <x v="4"/>
    <s v="19.01.2026"/>
    <s v="22.01.2026"/>
    <n v="3"/>
    <n v="70060"/>
    <s v="January"/>
    <m/>
    <m/>
  </r>
  <r>
    <s v="SILOAM HOSP"/>
    <n v="2011757"/>
    <n v="18873"/>
    <s v="Rebecca Chepngeno"/>
    <n v="69"/>
    <x v="0"/>
    <s v="Female 072289853"/>
    <s v="Spouse"/>
    <s v="Cellulities "/>
    <x v="4"/>
    <s v="01.01.2026"/>
    <s v="03.01.2026"/>
    <n v="2"/>
    <n v="54106.77"/>
    <s v="January"/>
    <m/>
    <m/>
  </r>
  <r>
    <s v="DIANI BEACH"/>
    <n v="2018563"/>
    <n v="32126"/>
    <s v="Johnstone Mosaisi"/>
    <n v="64"/>
    <x v="0"/>
    <s v="Male 0795891770"/>
    <s v="Contributor"/>
    <s v="Cellulities "/>
    <x v="4"/>
    <s v="01.01.2026"/>
    <s v="04.01.2026"/>
    <n v="3"/>
    <n v="98901"/>
    <s v="January"/>
    <m/>
    <m/>
  </r>
  <r>
    <s v="JOCHAM HOSP"/>
    <n v="2403101"/>
    <n v="90937"/>
    <s v="Aketch Meroline "/>
    <n v="36"/>
    <x v="1"/>
    <s v="Female 0718936992"/>
    <s v="Spouse"/>
    <s v="Dengue Fever "/>
    <x v="4"/>
    <s v="15.01.2026"/>
    <s v="18.01.2026"/>
    <n v="3"/>
    <n v="92981.61"/>
    <s v="January"/>
    <m/>
    <m/>
  </r>
  <r>
    <s v="MEDINA HOSP"/>
    <n v="2019973"/>
    <n v="60703"/>
    <s v="Habiba Osman "/>
    <n v="49"/>
    <x v="1"/>
    <s v="Female 0715397690"/>
    <s v="Spouse"/>
    <s v="GE/Septicemia/Dehydration "/>
    <x v="4"/>
    <s v="25.03.2026"/>
    <s v="27.03.2026"/>
    <n v="2"/>
    <n v="60275"/>
    <s v="March"/>
    <n v="254726386129"/>
    <m/>
  </r>
  <r>
    <s v="KNH"/>
    <n v="2018647"/>
    <n v="103352"/>
    <s v="Beatrice Owino"/>
    <n v="53"/>
    <x v="0"/>
    <s v="Female 0720738828"/>
    <s v="Spouse"/>
    <s v="Left LEG Cellulities "/>
    <x v="4"/>
    <s v="26.03.2026"/>
    <s v="29.03.2026"/>
    <n v="1"/>
    <n v="272059"/>
    <s v="March"/>
    <n v="254713738247"/>
    <m/>
  </r>
  <r>
    <s v="ST LUKES O&amp;T"/>
    <n v="2001580"/>
    <n v="100644"/>
    <s v="William Ng’etich"/>
    <n v="68"/>
    <x v="0"/>
    <s v="Male 0721753237"/>
    <s v="Contributor"/>
    <s v="Lt Knee Septic Arthritis "/>
    <x v="4"/>
    <s v="20.01.2026"/>
    <s v="25.01.2026"/>
    <n v="5"/>
    <n v="629327.19999999995"/>
    <s v="January"/>
    <m/>
    <m/>
  </r>
  <r>
    <s v="RELIANCE HOSP"/>
    <n v="2019474"/>
    <n v="57023"/>
    <s v="Abdi Hassan"/>
    <n v="59"/>
    <x v="0"/>
    <s v="Male 0725742854"/>
    <s v="Contributor"/>
    <s v="Sepsis in HTN with Dj stentisity "/>
    <x v="4"/>
    <s v="27.01.2026"/>
    <s v="05.03.2026"/>
    <n v="7"/>
    <n v="268315"/>
    <s v="March"/>
    <n v="254722845819"/>
    <m/>
  </r>
  <r>
    <s v="METROPOLITAN HOSP"/>
    <n v="2406122"/>
    <n v="94629"/>
    <s v="Farha Mohammed"/>
    <n v="5"/>
    <x v="2"/>
    <s v="Female 0707978001"/>
    <s v="Child"/>
    <s v="Sepsis/acute tonsilitis "/>
    <x v="4"/>
    <s v="13.03.2026"/>
    <s v="16.03.2026"/>
    <n v="3"/>
    <n v="69954"/>
    <s v="March"/>
    <n v="254720256563"/>
    <m/>
  </r>
  <r>
    <s v="NAIROBI WEST HOSP"/>
    <n v="2020238"/>
    <n v="43253"/>
    <s v="Teresia Mbaika "/>
    <n v="62"/>
    <x v="0"/>
    <s v="Female 0722666233"/>
    <s v="Spouse"/>
    <s v="Sepsis/DM/HTN/CKD "/>
    <x v="4"/>
    <s v="15.02.2026"/>
    <s v="19.02.2026"/>
    <n v="4"/>
    <n v="239368"/>
    <s v="February "/>
    <m/>
    <m/>
  </r>
  <r>
    <s v="ST LUKES O&amp;T"/>
    <n v="2003958"/>
    <n v="31482"/>
    <s v="Cornelius Welugo"/>
    <n v="67"/>
    <x v="0"/>
    <s v="Male 0721729511"/>
    <s v="Contributor "/>
    <s v="Sepsis/infective endocarditis/esrd "/>
    <x v="4"/>
    <s v="08.03.2026"/>
    <s v="15.03.2026"/>
    <n v="8"/>
    <n v="167912"/>
    <s v="March"/>
    <n v="254722345021"/>
    <m/>
  </r>
  <r>
    <s v="NAIROBI WEST HOSP"/>
    <n v="2001506"/>
    <n v="5299"/>
    <s v="Peter Mbogori "/>
    <n v="73"/>
    <x v="0"/>
    <s v="Male 0722795462"/>
    <s v="Contributor"/>
    <s v="Septicemia /Mild Dehydration in DM/HTN/Dementia "/>
    <x v="4"/>
    <s v="03.01.2026-Hosp to bill through smart"/>
    <s v="07.01.2026"/>
    <n v="3"/>
    <n v="134466"/>
    <s v="January"/>
    <m/>
    <m/>
  </r>
  <r>
    <s v="AGA KAHN KISII"/>
    <n v="2021185"/>
    <n v="64234"/>
    <s v="Wilson Nkaina"/>
    <n v="60"/>
    <x v="0"/>
    <s v="Male 0705864457"/>
    <s v="Contributor"/>
    <s v="Severe Lower limb cellulitis/DM "/>
    <x v="4"/>
    <s v="22.02.2026"/>
    <s v="03.03.2026"/>
    <n v="9"/>
    <n v="449874"/>
    <s v="March"/>
    <n v="254724926757"/>
    <m/>
  </r>
  <r>
    <s v="PANDYA HOSP"/>
    <n v="2004684"/>
    <n v="34706"/>
    <s v="Amina Faiz"/>
    <n v="12"/>
    <x v="2"/>
    <s v="Female 0710483908"/>
    <s v="Child"/>
    <s v="Acute Febrile illness"/>
    <x v="4"/>
    <s v="19.02.2026 (sha 10,080.00)"/>
    <s v="21.02.2026"/>
    <n v="1"/>
    <n v="76377"/>
    <s v="February "/>
    <m/>
    <m/>
  </r>
  <r>
    <s v="ST LUKES O&amp;T"/>
    <n v="2020535"/>
    <n v="62383"/>
    <s v="Pauline Lagat "/>
    <n v="54"/>
    <x v="0"/>
    <s v="Female 0722989397"/>
    <s v="Spouse"/>
    <s v="Acute PID /AKI"/>
    <x v="4"/>
    <s v="03.01.2026"/>
    <s v="05.01.2026"/>
    <n v="2"/>
    <n v="76170"/>
    <s v="January"/>
    <m/>
    <m/>
  </r>
  <r>
    <s v="UHSF-NRH"/>
    <n v="2502105"/>
    <n v="76472"/>
    <s v="Adrian Mwangi"/>
    <n v="11"/>
    <x v="2"/>
    <s v="Male 0723897863"/>
    <s v="Child  "/>
    <s v="Acute tonsilitis"/>
    <x v="4"/>
    <s v="07.03.2026"/>
    <s v="12.03.2026"/>
    <n v="5"/>
    <n v="48403"/>
    <s v="March"/>
    <n v="254714699371"/>
    <m/>
  </r>
  <r>
    <s v="GALAXY HOSP"/>
    <n v="2009251"/>
    <n v="105618"/>
    <s v="Fatuma Ali Esso"/>
    <n v="46"/>
    <x v="1"/>
    <s v="Female 0724465817"/>
    <s v="Spouse"/>
    <s v="AFI/Gastritis/pneumonia"/>
    <x v="4"/>
    <s v="29.01.2026"/>
    <s v="03.02.2026"/>
    <n v="5"/>
    <n v="94155"/>
    <s v="February "/>
    <m/>
    <m/>
  </r>
  <r>
    <s v="PREMIER HOSP"/>
    <n v="2507087"/>
    <n v="62819"/>
    <s v="Hawo  Kason "/>
    <n v="50"/>
    <x v="1"/>
    <s v="Female 0723791134"/>
    <s v="Spouse"/>
    <s v="Bartholin Abscess /GE"/>
    <x v="4"/>
    <s v="11.01.2026"/>
    <s v="13.01.2026"/>
    <n v="2"/>
    <n v="146404"/>
    <s v="January"/>
    <m/>
    <m/>
  </r>
  <r>
    <s v="ST LUKES O&amp;T"/>
    <n v="2003958"/>
    <n v="31482"/>
    <s v="Cornelius Wegulo"/>
    <n v="67"/>
    <x v="0"/>
    <s v="Male 0721729511"/>
    <s v="Contributor"/>
    <s v="Catheter associated sepsis/CKD/HTN"/>
    <x v="4"/>
    <s v="28.02.2026"/>
    <s v="05.03.2026"/>
    <n v="6"/>
    <n v="257311.2"/>
    <s v="March"/>
    <n v="254721584850"/>
    <m/>
  </r>
  <r>
    <s v="ACK Mt Kenya"/>
    <n v="2016650"/>
    <n v="15315"/>
    <s v="Ruth Wanjohi"/>
    <n v="65"/>
    <x v="0"/>
    <s v="Female 0714699371"/>
    <s v="Spouse"/>
    <s v="Cellulitis /lll abcess sepsis"/>
    <x v="4"/>
    <s v="20.03.2026"/>
    <s v="25.03.2026"/>
    <n v="5"/>
    <n v="81272"/>
    <s v="March"/>
    <n v="254722480207"/>
    <m/>
  </r>
  <r>
    <s v="PREMIER HOSP"/>
    <n v="2004684"/>
    <n v="34706"/>
    <s v="Amina Omar"/>
    <n v="11"/>
    <x v="2"/>
    <s v="Female"/>
    <s v="Child"/>
    <s v="Dengue fever/bacterial infection"/>
    <x v="4"/>
    <s v="30.01.2026"/>
    <s v="01.02.2026"/>
    <n v="2"/>
    <n v="58712.02"/>
    <s v="February "/>
    <m/>
    <m/>
  </r>
  <r>
    <s v="ST JOSEPH SHELTER"/>
    <n v="2019692"/>
    <n v="55598"/>
    <s v="Streda Mkaluma"/>
    <n v="57"/>
    <x v="0"/>
    <s v="Female"/>
    <s v="Spouse"/>
    <s v="Dengue fever/gastritis"/>
    <x v="4"/>
    <s v="09.01.2026"/>
    <s v="11.01.2026"/>
    <n v="2"/>
    <n v="39390"/>
    <s v="January"/>
    <m/>
    <m/>
  </r>
  <r>
    <s v="NAIROBI WEST HOSP"/>
    <n v="2002878"/>
    <n v="17707"/>
    <s v="Damian Okwaro"/>
    <n v="68"/>
    <x v="0"/>
    <s v="Male"/>
    <s v="Contributor"/>
    <s v="Infected elbow implant"/>
    <x v="4"/>
    <s v="26.01.2026"/>
    <s v="28.01.2026"/>
    <n v="3"/>
    <n v="110750"/>
    <s v="January"/>
    <m/>
    <m/>
  </r>
  <r>
    <s v="UHSF-DFMH"/>
    <n v="2019543"/>
    <n v="16396"/>
    <s v="Evelyn Nthenya"/>
    <n v="40"/>
    <x v="1"/>
    <s v="Female 0726869962"/>
    <s v="Spouse"/>
    <s v="Left prosthetic join infection"/>
    <x v="4"/>
    <s v="21.01.2026"/>
    <s v="09.03.2026"/>
    <n v="46"/>
    <n v="661914.37"/>
    <s v="March"/>
    <n v="254722952865"/>
    <m/>
  </r>
  <r>
    <s v="ROYAL MEDICAL HOSP-RONGO"/>
    <n v="2022008"/>
    <n v="99272"/>
    <s v="Vanessa Nyangi"/>
    <n v="9"/>
    <x v="2"/>
    <s v="Female 0740664004"/>
    <s v="Child"/>
    <s v="Malaria/adenotonsilitis/epistatis"/>
    <x v="4"/>
    <s v="07.02.2026"/>
    <s v="09.02.2026"/>
    <n v="2"/>
    <n v="55900"/>
    <s v="February "/>
    <m/>
    <m/>
  </r>
  <r>
    <s v="SAMJOMEN HOSP"/>
    <n v="2004129"/>
    <n v="101680"/>
    <s v="Simon Ghati"/>
    <n v="70"/>
    <x v="0"/>
    <s v="Male-01710202545"/>
    <s v="Contributor"/>
    <s v="Malaria/Arthritis/Flu"/>
    <x v="4"/>
    <s v="16.03.2026"/>
    <s v="19.03.2026"/>
    <n v="3"/>
    <n v="32440"/>
    <s v="March"/>
    <n v="254720284944"/>
    <m/>
  </r>
  <r>
    <s v="CAMEL HOSP"/>
    <n v="2001553"/>
    <n v="17939"/>
    <s v="Ahmed Sheikh"/>
    <n v="65"/>
    <x v="0"/>
    <s v="Male 0728961901"/>
    <s v="Contributor"/>
    <s v="Malarial/dengue fever/aki"/>
    <x v="4"/>
    <s v="12.01.2026"/>
    <s v="15.01.2026"/>
    <n v="3"/>
    <n v="42200"/>
    <s v="January"/>
    <m/>
    <m/>
  </r>
  <r>
    <s v="JOCHAM HOSP"/>
    <n v="2005002"/>
    <n v="105502"/>
    <s v="Hussein Ali"/>
    <n v="18"/>
    <x v="2"/>
    <s v="Male 0722808463"/>
    <s v="Child"/>
    <s v="Meningitis/ epididymo-orchitis"/>
    <x v="4"/>
    <s v="03.02.2026"/>
    <s v="07.02.2026"/>
    <n v="3"/>
    <n v="82713"/>
    <s v="February "/>
    <m/>
    <m/>
  </r>
  <r>
    <s v="UHSF-THE KENYA NAVY"/>
    <n v="2508213"/>
    <n v="67872"/>
    <s v="Leonard Macharia"/>
    <n v="19"/>
    <x v="2"/>
    <s v="Male 0721872895"/>
    <s v="Child"/>
    <s v="MPOX"/>
    <x v="4"/>
    <s v="08.01.2026-Off smart"/>
    <s v="28.01.2026"/>
    <n v="21"/>
    <n v="181815"/>
    <s v="January"/>
    <m/>
    <m/>
  </r>
  <r>
    <s v="REALE HOSP"/>
    <n v="2512234"/>
    <n v="62162"/>
    <s v="Purity Kangwony"/>
    <n v="15"/>
    <x v="2"/>
    <s v="Female"/>
    <s v="Child"/>
    <s v="Open necrotic septic wound"/>
    <x v="4"/>
    <s v="09.02.2026"/>
    <s v="27.02.2026"/>
    <n v="18"/>
    <n v="562593"/>
    <s v="February "/>
    <m/>
    <m/>
  </r>
  <r>
    <s v="UHSF -DFMH"/>
    <n v="2019543"/>
    <n v="16396"/>
    <s v="Evelyn Nthenya"/>
    <n v="58"/>
    <x v="0"/>
    <s v="Female 0728160451"/>
    <s v="Spouse"/>
    <s v="Periprosthetic joint infectious lt knee"/>
    <x v="4"/>
    <s v="02.01.2026 Hosp to bill through smart"/>
    <s v="07.01.2026"/>
    <n v="5"/>
    <n v="43182.65"/>
    <s v="January"/>
    <m/>
    <m/>
  </r>
  <r>
    <s v="NYANGENA HOSP"/>
    <n v="2020377"/>
    <n v="60366"/>
    <s v="Sarah Nyambega"/>
    <n v="19"/>
    <x v="2"/>
    <s v="Female 0714544523"/>
    <s v="Child"/>
    <s v="PID/Bartholin abcess"/>
    <x v="4"/>
    <s v="04.02.2026"/>
    <s v="06.02.2026"/>
    <n v="2"/>
    <n v="52590"/>
    <s v="February "/>
    <m/>
    <m/>
  </r>
  <r>
    <s v="UHSF-ERH"/>
    <n v="2022956"/>
    <n v="62197"/>
    <s v="Musa Katam"/>
    <n v="61"/>
    <x v="0"/>
    <s v="Male 0721560511"/>
    <s v="Contributor"/>
    <s v="Relapsed MTB"/>
    <x v="4"/>
    <s v="11.01.2026- Hosp to bill through smart"/>
    <s v="14.01.2026"/>
    <n v="4"/>
    <n v="104004"/>
    <s v="January"/>
    <m/>
    <m/>
  </r>
  <r>
    <s v="BRISTOL PARK HOSP"/>
    <n v="2002085"/>
    <n v="18453"/>
    <s v="Nichodemus John"/>
    <n v="66"/>
    <x v="0"/>
    <s v="Male 0711903800"/>
    <s v="Contributor"/>
    <s v="Sepsis ?Mild Stroke"/>
    <x v="4"/>
    <s v="06.02.2026"/>
    <s v="10.02.2026"/>
    <n v="4"/>
    <n v="139402"/>
    <s v="February "/>
    <m/>
    <m/>
  </r>
  <r>
    <s v="THE NAIROBI HOSP"/>
    <n v="2001379"/>
    <n v="5803"/>
    <s v="Jonathan Muia"/>
    <n v="73"/>
    <x v="0"/>
    <s v="Male"/>
    <s v="Contributor"/>
    <s v="Sepsis in ckd/dm"/>
    <x v="4"/>
    <s v="11.02.2026-Sha(13,440.00)"/>
    <s v="14.02.2026"/>
    <n v="2"/>
    <n v="421392"/>
    <s v="February "/>
    <m/>
    <m/>
  </r>
  <r>
    <s v="AGA KHAN - KISII"/>
    <n v="2002798"/>
    <n v="13067"/>
    <s v="Dominic Omboto"/>
    <n v="69"/>
    <x v="0"/>
    <s v="Male 0728364127"/>
    <s v="Contributor"/>
    <s v="Sepsis/Hyponatremia/ htn"/>
    <x v="4"/>
    <s v="07.02.2026"/>
    <s v="10.02.2026"/>
    <n v="3"/>
    <n v="130514"/>
    <s v="February "/>
    <m/>
    <m/>
  </r>
  <r>
    <s v="AGA KHAN -MOMBASA"/>
    <n v="2020047"/>
    <n v="83597"/>
    <s v="Mwanamkuu Idi"/>
    <n v="8"/>
    <x v="2"/>
    <s v="Female 0114750084"/>
    <s v="Child"/>
    <s v="Sepsis/lupus"/>
    <x v="4"/>
    <s v="07.02.2026"/>
    <s v="19.02.2026"/>
    <n v="12"/>
    <n v="377178"/>
    <s v="February "/>
    <m/>
    <m/>
  </r>
  <r>
    <s v="NAIROBI SOUTH HOSP"/>
    <n v="2408051"/>
    <n v="35699"/>
    <s v="Omar Ali "/>
    <n v="7"/>
    <x v="2"/>
    <s v="Male 0712949343"/>
    <s v="Child"/>
    <s v="Septic tonsilitis with dehydration"/>
    <x v="4"/>
    <s v="25.02.2026"/>
    <s v="27.02.2026"/>
    <n v="2"/>
    <n v="42507.45"/>
    <s v="February "/>
    <m/>
    <m/>
  </r>
  <r>
    <s v="CARMEL MEDICAL"/>
    <n v="2505128"/>
    <n v="13883"/>
    <s v="Ibrahim Ali"/>
    <n v="66"/>
    <x v="0"/>
    <s v="Male 0722956461"/>
    <s v="Contributor"/>
    <s v="Septic Wound"/>
    <x v="4"/>
    <s v="10.02.2026"/>
    <s v="12.02.2026"/>
    <n v="2"/>
    <n v="35600"/>
    <s v="February "/>
    <m/>
    <m/>
  </r>
  <r>
    <s v="UHSF-The Kenya Navy"/>
    <n v="2502061"/>
    <n v="87860"/>
    <s v="Amaiyah Peggy tsori"/>
    <n v="1.5"/>
    <x v="2"/>
    <s v="Female 0725560378"/>
    <s v="Child"/>
    <s v="Septiceamia in known Sickler patient"/>
    <x v="4"/>
    <s v="20.03.2026-off smart"/>
    <s v="28.03.2026"/>
    <n v="7"/>
    <n v="158505.45000000001"/>
    <s v="March"/>
    <n v="254114750084"/>
    <m/>
  </r>
  <r>
    <s v="ST MATIA MULUMBA"/>
    <n v="2004344"/>
    <n v="57353"/>
    <s v="John Mbugua"/>
    <n v="65"/>
    <x v="0"/>
    <s v="Male0 720284944"/>
    <s v="Contributor"/>
    <s v="Septiceamia/pneumonia"/>
    <x v="4"/>
    <s v="20.03.2026"/>
    <s v="23.03.2026"/>
    <n v="3"/>
    <n v="42642"/>
    <s v="March"/>
    <n v="254720010099"/>
    <m/>
  </r>
  <r>
    <s v="DIANI BEACH HOSP"/>
    <n v="2023394"/>
    <n v="57893"/>
    <s v="Barka Kunde Riri"/>
    <n v="4"/>
    <x v="2"/>
    <s v="Male 0759486095"/>
    <s v="Child"/>
    <s v="Severe acute tonsilitis/bronchitis"/>
    <x v="4"/>
    <s v="21.03.2026"/>
    <s v="26.03.2026"/>
    <n v="4"/>
    <n v="97837"/>
    <s v="March"/>
    <n v="254723977077"/>
    <m/>
  </r>
  <r>
    <s v="ST ELIZABETH MUKUMU"/>
    <n v="2407285"/>
    <n v="66109"/>
    <s v="Mary Naliaka"/>
    <n v="49"/>
    <x v="1"/>
    <s v="Female 0720369501"/>
    <s v="Spouse"/>
    <s v="Severe Malaria"/>
    <x v="4"/>
    <s v="09.03.2026"/>
    <s v="13.03.2026"/>
    <n v="4"/>
    <n v="11095"/>
    <s v="March"/>
    <n v="254794266660"/>
    <m/>
  </r>
  <r>
    <s v="ST JOSEPH MIGORI"/>
    <n v="2019944"/>
    <n v="85557"/>
    <s v="Trevin Irazia"/>
    <n v="8"/>
    <x v="2"/>
    <s v="Male 0700385643"/>
    <s v="Child"/>
    <s v="Severe Malaria"/>
    <x v="4"/>
    <s v="15.01.2026"/>
    <s v="18.01.2026"/>
    <n v="3"/>
    <n v="72190"/>
    <s v="January"/>
    <m/>
    <m/>
  </r>
  <r>
    <s v="NYANGENA MISSION"/>
    <n v="2001458"/>
    <n v="100165"/>
    <s v="Zachary Omari "/>
    <n v="73"/>
    <x v="0"/>
    <s v="Male 0721277064"/>
    <s v="Contributor"/>
    <s v="Severe Malaria /DM/Htn"/>
    <x v="4"/>
    <s v="04.01.2026(SHA Ksh 11,760.00)"/>
    <s v="07.01.2026"/>
    <n v="3"/>
    <n v="54105"/>
    <s v="January"/>
    <m/>
    <m/>
  </r>
  <r>
    <s v="NOMO HOSP"/>
    <n v="2407421"/>
    <n v="58673"/>
    <s v="Augustine Achilla"/>
    <n v="59"/>
    <x v="0"/>
    <s v="Male 0724016624"/>
    <s v="Contributor"/>
    <s v="Severe Malaria/ Sepsis/ RVD"/>
    <x v="4"/>
    <s v="29.03.2026"/>
    <s v="31.03.2026"/>
    <n v="2"/>
    <n v="50799"/>
    <s v="March"/>
    <n v="254721250193"/>
    <m/>
  </r>
  <r>
    <s v="KISUMU SPECIALISTS "/>
    <n v="2008696"/>
    <n v="77683"/>
    <s v="Cindy carol Omondi"/>
    <n v="11"/>
    <x v="2"/>
    <s v="Female 0719250639"/>
    <s v="Child"/>
    <s v="Severe malaria/mild head injury"/>
    <x v="4"/>
    <s v="15.03.2026"/>
    <s v="17.03.2026"/>
    <n v="2"/>
    <n v="56226"/>
    <s v="March"/>
    <n v="254722691221"/>
    <m/>
  </r>
  <r>
    <s v="DIANI BEACH HOSP"/>
    <n v="2018859"/>
    <n v="59484"/>
    <s v="Khadija Atieno"/>
    <n v="59"/>
    <x v="0"/>
    <s v="Female 0722432463"/>
    <s v="Spouse"/>
    <s v="Sinuisitis/tonsilitis/gastritis"/>
    <x v="4"/>
    <s v="16.03.2026"/>
    <s v="18.03.2026"/>
    <n v="2"/>
    <n v="88735"/>
    <s v="March"/>
    <n v="254716662512"/>
    <m/>
  </r>
  <r>
    <s v="TOWNSHIP COTTAGE"/>
    <n v="2022640"/>
    <n v="62828"/>
    <s v="Habiba Wako"/>
    <n v="47"/>
    <x v="1"/>
    <s v="Female"/>
    <s v="Spouse"/>
    <s v="Typhoid /gastritis"/>
    <x v="4"/>
    <s v="22.01.2026"/>
    <s v="24.01.2026"/>
    <n v="2"/>
    <n v="40300"/>
    <s v="January"/>
    <m/>
    <m/>
  </r>
  <r>
    <s v="AGA KHAN KISUMU"/>
    <n v="2009846"/>
    <n v="10966"/>
    <s v="Alloys Barasa"/>
    <n v="70"/>
    <x v="0"/>
    <s v="Male 0706262253"/>
    <s v="Contributor"/>
    <s v="Urosepsis/convulsive disorder"/>
    <x v="4"/>
    <s v="09.01.2026 "/>
    <s v="16.01.2026"/>
    <n v="7"/>
    <n v="566422.69999999995"/>
    <s v="January"/>
    <m/>
    <m/>
  </r>
  <r>
    <s v="DOCTORS CENTRE"/>
    <n v="2409155"/>
    <n v="32116"/>
    <s v="Zipporah Munyiva Katia"/>
    <n v="46"/>
    <x v="1"/>
    <s v="Female 0722399120"/>
    <s v="Spouse"/>
    <s v="Vulva warts"/>
    <x v="4"/>
    <s v="07.01.2026"/>
    <s v="10.01.2026"/>
    <n v="2"/>
    <n v="90000"/>
    <s v="January"/>
    <m/>
    <m/>
  </r>
  <r>
    <s v="Outspan Hosp"/>
    <n v="2018394"/>
    <n v="58884"/>
    <s v="Hellen Wawira Gitari"/>
    <n v="60"/>
    <x v="0"/>
    <s v="Female 0722506934"/>
    <s v="Spouse"/>
    <s v="Breast abscess/dm"/>
    <x v="4"/>
    <s v="27.01.2026"/>
    <s v="30.01.2026"/>
    <n v="3"/>
    <n v="139057.07999999999"/>
    <s v="January"/>
    <m/>
    <m/>
  </r>
  <r>
    <s v="ST LUKE O&amp;T"/>
    <n v="2003627"/>
    <n v="10424"/>
    <s v="James Kibet"/>
    <n v="68"/>
    <x v="0"/>
    <s v="Male "/>
    <s v="Contributor"/>
    <s v="Cellulities in DM"/>
    <x v="4"/>
    <s v="05.02.2026"/>
    <s v="12.02.2026"/>
    <n v="7"/>
    <n v="546512.19999999995"/>
    <s v="February "/>
    <m/>
    <m/>
  </r>
  <r>
    <s v="UHSF-The Kenya Navy"/>
    <n v="2015865"/>
    <n v="71430"/>
    <s v="Precious Wanjiku"/>
    <n v="15"/>
    <x v="2"/>
    <s v="Female 0724601537"/>
    <s v="Child"/>
    <s v="Cellulitis rt foot"/>
    <x v="4"/>
    <s v="29.03.2026-off smart"/>
    <s v="31.03.2026"/>
    <n v="2"/>
    <n v="30089.57"/>
    <s v="March"/>
    <n v="254725742854"/>
    <m/>
  </r>
  <r>
    <s v="Nairobi Women-Meru"/>
    <n v="2013074"/>
    <n v="101343"/>
    <s v="Francis Murithi"/>
    <n v="64"/>
    <x v="0"/>
    <s v="Male 0725622009"/>
    <s v="Contributor"/>
    <s v="Cellulitis/htn"/>
    <x v="4"/>
    <s v="27.01.2026"/>
    <s v="30.01.2026"/>
    <n v="3"/>
    <n v="53855.74"/>
    <s v="January"/>
    <m/>
    <m/>
  </r>
  <r>
    <s v="ST LUKE O&amp;T"/>
    <n v="2002534"/>
    <n v="9231"/>
    <s v="Simon Kirwa"/>
    <n v="70"/>
    <x v="0"/>
    <s v="Male 0722348407"/>
    <s v="Contributor"/>
    <s v="Infected rt foot ulcer"/>
    <x v="4"/>
    <s v="18.02.2026"/>
    <s v="24.02.2026"/>
    <n v="6"/>
    <n v="227599.6"/>
    <s v="February "/>
    <m/>
    <m/>
  </r>
  <r>
    <s v="UHSF- DFMH"/>
    <n v="2002546"/>
    <n v="107206"/>
    <s v="Jacinta Masila"/>
    <n v="63"/>
    <x v="0"/>
    <s v="Female 0723041397"/>
    <s v="Spouse"/>
    <s v="Lt Leg Cellulitis/HTN/DM"/>
    <x v="4"/>
    <s v="09.02.2026"/>
    <s v="21.02.2026"/>
    <n v="11"/>
    <n v="174027.96"/>
    <s v="February "/>
    <m/>
    <m/>
  </r>
  <r>
    <s v="NYANGENA HOSP"/>
    <n v="2005261"/>
    <n v="2067"/>
    <s v="Josephine Mokua"/>
    <n v="79"/>
    <x v="0"/>
    <s v="Female 0712055104"/>
    <s v="Spouse "/>
    <s v="Severe cellulitis left leg / htn urgency"/>
    <x v="4"/>
    <s v="08.03.2026"/>
    <s v="14.03.2026"/>
    <n v="7"/>
    <n v="70160"/>
    <s v="March"/>
    <n v="254729882562"/>
    <m/>
  </r>
  <r>
    <s v="AGA KHAN - KISII"/>
    <n v="2507031"/>
    <n v="68066"/>
    <s v="Francis Kanoi"/>
    <n v="57"/>
    <x v="0"/>
    <s v="Male 0723634864"/>
    <s v="Contributor"/>
    <s v="Acromioclavicular joint dislocation/fracture"/>
    <x v="11"/>
    <s v="23.02.2026"/>
    <s v="25.02.2026"/>
    <n v="2"/>
    <n v="306406.28000000003"/>
    <s v="February "/>
    <m/>
    <m/>
  </r>
  <r>
    <s v="NAIROBI SOUTH HOSP"/>
    <n v="2018628"/>
    <n v="55007"/>
    <s v="Benedict Kisesi"/>
    <n v="63"/>
    <x v="0"/>
    <s v="Male 0710349185"/>
    <s v="Contributor"/>
    <s v="Blunt chest trauma"/>
    <x v="11"/>
    <s v="26.02.2026"/>
    <s v="04.03.2026"/>
    <n v="6"/>
    <n v="215427.83"/>
    <s v="March"/>
    <n v="254722459110"/>
    <m/>
  </r>
  <r>
    <s v="AAR HEALTHY CARE"/>
    <n v="2018628"/>
    <n v="55007"/>
    <s v="Benedict Kisesi Mateta"/>
    <n v="63"/>
    <x v="0"/>
    <s v="Male"/>
    <s v="Contributor"/>
    <s v="Chest Injury ? pneumothorax secondary to a fall"/>
    <x v="11"/>
    <s v="26.02.2026-Hosp to bill through smart"/>
    <s v="26.02.2026"/>
    <s v="Ambulance"/>
    <n v="20000"/>
    <s v="February "/>
    <m/>
    <m/>
  </r>
  <r>
    <s v="MATER HOSP"/>
    <n v="2003938"/>
    <n v="101178"/>
    <s v="Joseph Muli Maingi"/>
    <n v="67"/>
    <x v="0"/>
    <s v="Male 0721413141"/>
    <s v="Contributor"/>
    <s v="Complex fracture radio ulnar with delayed union"/>
    <x v="11"/>
    <s v="18.02.2026 (Sha 145,600.00)"/>
    <s v="21.02.2026"/>
    <n v="2"/>
    <n v="338877.33"/>
    <s v="February "/>
    <m/>
    <m/>
  </r>
  <r>
    <s v="BAMA HOSP"/>
    <n v="2017891"/>
    <n v="15761"/>
    <s v="Doreen Awino"/>
    <n v="40"/>
    <x v="1"/>
    <s v="Female"/>
    <s v="Spouse"/>
    <s v="Displaced fracture tibiafibula"/>
    <x v="11"/>
    <s v="14.03.2026"/>
    <s v="18.03.2026"/>
    <n v="4"/>
    <n v="186343"/>
    <s v="March"/>
    <n v="254721421817"/>
    <m/>
  </r>
  <r>
    <s v="UHSF-NRH"/>
    <n v="2017321"/>
    <n v="104018"/>
    <s v="Richard Maina"/>
    <n v="63"/>
    <x v="0"/>
    <s v="Male"/>
    <s v="Contributor"/>
    <s v="Distal femur fracture"/>
    <x v="11"/>
    <s v="08.03.2026"/>
    <s v="11.03.2026"/>
    <n v="3"/>
    <n v="281350"/>
    <s v="March"/>
    <n v="254722845819"/>
    <m/>
  </r>
  <r>
    <s v="NYANGENA MISSION"/>
    <n v="2020896"/>
    <n v="63312"/>
    <s v="Kefa Mireri"/>
    <n v="56"/>
    <x v="0"/>
    <s v="Male 0719419290"/>
    <s v="Contributor"/>
    <s v="Electrical burn injury"/>
    <x v="11"/>
    <s v="15.01.2026"/>
    <s v="17.01.2026"/>
    <n v="2"/>
    <n v="40460"/>
    <s v="January"/>
    <m/>
    <m/>
  </r>
  <r>
    <s v="PANDYA HOSP"/>
    <n v="2002229"/>
    <n v="32460"/>
    <s v="Pasca Mataza"/>
    <n v="52"/>
    <x v="0"/>
    <s v="Male 0745782670"/>
    <s v="Contributor"/>
    <s v="Fracture distal rt femur"/>
    <x v="11"/>
    <s v="09.03.2026"/>
    <s v="10.03.2026"/>
    <n v="1"/>
    <n v="180178"/>
    <s v="March"/>
    <n v="254721570563"/>
    <m/>
  </r>
  <r>
    <s v="PREMIER HOSP"/>
    <n v="2014747"/>
    <n v="34481"/>
    <s v="Zeinab Addi"/>
    <n v="32"/>
    <x v="1"/>
    <s v="Female"/>
    <s v="Spouse"/>
    <s v="fracture proximal phalages"/>
    <x v="11"/>
    <s v="08.01.2026"/>
    <s v="08.01.2026"/>
    <s v="Day case"/>
    <n v="104777"/>
    <s v="January"/>
    <m/>
    <m/>
  </r>
  <r>
    <s v="MEDINA HOSP"/>
    <n v="2006672"/>
    <n v="59575"/>
    <s v="Bishar Abdi Yusuf"/>
    <n v="15"/>
    <x v="2"/>
    <s v="Male 0725212540"/>
    <s v="Child"/>
    <s v="Healed fracture with plate and screws insitu(for removal)"/>
    <x v="11"/>
    <s v="26.02.2026"/>
    <s v="27.02.2026"/>
    <n v="1"/>
    <n v="180550"/>
    <s v="February "/>
    <m/>
    <m/>
  </r>
  <r>
    <s v="UHSF- ERH"/>
    <n v="2017014"/>
    <n v="59161"/>
    <s v="David Kipchoge Yebei"/>
    <n v="63"/>
    <x v="0"/>
    <s v="Male"/>
    <s v="Contributor"/>
    <s v="Heamatoma/Htn/Complicated UTI"/>
    <x v="11"/>
    <s v="21.02.2026"/>
    <s v="23.02.2026"/>
    <n v="2"/>
    <n v="27175.1"/>
    <s v="March"/>
    <n v="254722961245"/>
    <m/>
  </r>
  <r>
    <s v="NAIROBI SOUTH HOSP"/>
    <n v="2016077"/>
    <n v="18754"/>
    <s v="Lucy Karimi"/>
    <n v="56"/>
    <x v="0"/>
    <s v="Female 0722345021"/>
    <s v="Spouse "/>
    <s v="Left bimalleolar fracture"/>
    <x v="11"/>
    <s v="07.03.2026"/>
    <s v="10.03.2026"/>
    <n v="3"/>
    <n v="225243.22"/>
    <s v="March"/>
    <n v="254722422235"/>
    <m/>
  </r>
  <r>
    <s v="AGA KHAN KISUMU"/>
    <n v="2009869"/>
    <n v="61492"/>
    <s v="Martin Otieno"/>
    <n v="59"/>
    <x v="0"/>
    <s v="Male 0712640736"/>
    <s v="Contributor"/>
    <s v="Left iliac crest fracture"/>
    <x v="11"/>
    <s v="17.0.2026"/>
    <s v="21.01.2026"/>
    <n v="4"/>
    <n v="209512"/>
    <s v="January"/>
    <m/>
    <m/>
  </r>
  <r>
    <s v="UHSF-DFWC"/>
    <n v="2018355"/>
    <n v="63541"/>
    <s v="Charles Ndegwa"/>
    <n v="61"/>
    <x v="0"/>
    <s v="Male"/>
    <s v="Contributor"/>
    <s v="LL Below knee amputee"/>
    <x v="11"/>
    <s v="19.01.2026-Hosp to bill through smart"/>
    <s v="23.01.2026"/>
    <n v="5"/>
    <n v="23992.3"/>
    <s v="January"/>
    <m/>
    <m/>
  </r>
  <r>
    <s v="UHSF - DFWC"/>
    <n v="2018355"/>
    <n v="63541"/>
    <s v="Charles Kamuria"/>
    <n v="61"/>
    <x v="0"/>
    <s v="Male 0727778715"/>
    <s v="Contributor"/>
    <s v="Lt Below Knee Amputation"/>
    <x v="11"/>
    <s v="04.03.2026Hosp to bill through smart"/>
    <s v="12.03.2026"/>
    <n v="8"/>
    <n v="43225"/>
    <s v="March"/>
    <n v="254722260248"/>
    <m/>
  </r>
  <r>
    <s v="BLOOM HOSP"/>
    <n v="2018292"/>
    <n v="57035"/>
    <s v="Paul Gachihi"/>
    <n v="64"/>
    <x v="0"/>
    <s v="Male"/>
    <s v="Contributor"/>
    <s v="Malunted ankle fracture"/>
    <x v="11"/>
    <s v="28.01.2026"/>
    <s v="02.02.2026"/>
    <n v="5"/>
    <n v="460000"/>
    <s v="February "/>
    <m/>
    <m/>
  </r>
  <r>
    <s v="MTRH"/>
    <n v="2505152"/>
    <n v="67191"/>
    <s v="Jeremiah Jumba"/>
    <n v="59"/>
    <x v="0"/>
    <s v="Male "/>
    <s v="Contributor"/>
    <s v="Metacarpal fracture post ORIF"/>
    <x v="11"/>
    <s v="17.03.2026 Hospital to Bill through SMART"/>
    <s v="17.03.2026"/>
    <s v="Day case"/>
    <n v="29613"/>
    <s v="March"/>
    <n v="254722961245"/>
    <m/>
  </r>
  <r>
    <s v="OUT SPAN HOSP"/>
    <n v="2018024"/>
    <n v="58041"/>
    <s v="Albert Njiru"/>
    <n v="61"/>
    <x v="0"/>
    <s v="Male 0721576033"/>
    <s v="Contributor"/>
    <s v="Multiple rib Fracture secondary to RTA"/>
    <x v="11"/>
    <s v="11.03.2026"/>
    <s v="16.03.2026"/>
    <n v="5"/>
    <n v="132853.62"/>
    <s v="March"/>
    <n v="254717451764"/>
    <m/>
  </r>
  <r>
    <s v="MATER HOSP"/>
    <n v="2019611"/>
    <n v="71912"/>
    <s v="Hamisi Mukanda"/>
    <n v="42"/>
    <x v="1"/>
    <s v="Male"/>
    <s v="Contributor"/>
    <s v="Old fracture rt little finger"/>
    <x v="11"/>
    <s v="15.03.2026"/>
    <s v="15.03.2026"/>
    <s v="Day case"/>
    <n v="81149.02"/>
    <s v="March"/>
    <n v="254715205323"/>
    <m/>
  </r>
  <r>
    <s v="UHSF - NRH"/>
    <n v="2602001"/>
    <n v="79151"/>
    <s v="Charles Theuri"/>
    <n v="40"/>
    <x v="1"/>
    <s v="Male 0723067294"/>
    <s v="Contributor"/>
    <s v="Right distal fibula fracture"/>
    <x v="11"/>
    <s v="08.02.2026-Hosp to bill through smart"/>
    <s v="11.02.2026"/>
    <n v="3"/>
    <n v="204032.02"/>
    <s v="February "/>
    <m/>
    <m/>
  </r>
  <r>
    <s v="UHSF- ERH"/>
    <n v="2407241"/>
    <n v="63110"/>
    <s v="Susan Akai"/>
    <n v="50"/>
    <x v="1"/>
    <s v="Female 0723322317"/>
    <s v="Spouse"/>
    <s v="Rt toe proximal phalanges fracture/HTN"/>
    <x v="11"/>
    <s v="01.03.2026"/>
    <s v="03.03.2026"/>
    <n v="2"/>
    <n v="24133.75"/>
    <s v="March"/>
    <n v="254728490591"/>
    <m/>
  </r>
  <r>
    <s v="ST DAMIANO"/>
    <n v="2501244"/>
    <n v="15954"/>
    <s v="Philipo Simiyu"/>
    <n v="67"/>
    <x v="0"/>
    <s v="Male 0727693372"/>
    <s v="Contributor"/>
    <s v="Severe chest pain secondary to trauma"/>
    <x v="11"/>
    <s v="29.01.2026"/>
    <s v="02.02.2026"/>
    <n v="4"/>
    <n v="42850"/>
    <s v="February "/>
    <m/>
    <m/>
  </r>
  <r>
    <s v="REALE HOSP"/>
    <n v="2009348"/>
    <n v="31903"/>
    <s v="Pius Tiomy"/>
    <n v="63"/>
    <x v="0"/>
    <s v="Male 0705584899"/>
    <s v="Contributor"/>
    <s v="Spinal injury secondary to trauma/gastritis/AUD"/>
    <x v="11"/>
    <s v="07.01.2026"/>
    <s v="13.01.2026"/>
    <n v="6"/>
    <n v="107015"/>
    <s v="January"/>
    <m/>
    <m/>
  </r>
  <r>
    <s v="BLOOM HOSP"/>
    <n v="2014688"/>
    <n v="55141"/>
    <s v="Agnes Njeri "/>
    <n v="52"/>
    <x v="0"/>
    <s v="Female 0728433456"/>
    <s v="Spouse"/>
    <s v="Acute Depression/Htn"/>
    <x v="6"/>
    <s v="02.02.2026"/>
    <s v="09.02.2026"/>
    <n v="7"/>
    <n v="140975"/>
    <s v="February "/>
    <m/>
    <m/>
  </r>
  <r>
    <s v="UHSF - LRH"/>
    <n v="2022537"/>
    <n v="32636"/>
    <s v="Peter Injinia"/>
    <n v="61"/>
    <x v="0"/>
    <s v="Male 0724268799"/>
    <s v="Contributor "/>
    <s v="Alcohol dependence"/>
    <x v="6"/>
    <s v="11.02.2026Hosp to bill through smart"/>
    <s v="13.03.2026"/>
    <n v="30"/>
    <n v="253650"/>
    <s v="March"/>
    <n v="254722676312"/>
    <m/>
  </r>
  <r>
    <s v="UHSF-LRH"/>
    <n v="2022537"/>
    <n v="32636"/>
    <s v="Peter Njihia"/>
    <n v="60"/>
    <x v="0"/>
    <s v="Male 0724268799"/>
    <s v="Contributor"/>
    <s v="Alcohol use disorder"/>
    <x v="6"/>
    <s v="22.01.2026"/>
    <s v="28.01.2026"/>
    <n v="7"/>
    <n v="69941"/>
    <s v="January"/>
    <m/>
    <m/>
  </r>
  <r>
    <s v="MTRH"/>
    <n v="2501032"/>
    <n v="19598"/>
    <s v="Gideon Kiprop "/>
    <n v="44"/>
    <x v="1"/>
    <s v="Male 0717851085"/>
    <s v="Contributor"/>
    <s v="Alcohol Use Disorder/ pancreatitis"/>
    <x v="6"/>
    <s v="06.01.2026"/>
    <s v="21.01.2026"/>
    <n v="15"/>
    <n v="364420.36"/>
    <s v="January"/>
    <m/>
    <m/>
  </r>
  <r>
    <s v="UHSF-NRH"/>
    <n v="2015924"/>
    <n v="37303"/>
    <s v="Evans Bundi Maingi"/>
    <n v="47"/>
    <x v="1"/>
    <s v="Male 0728775531"/>
    <s v="Contributor"/>
    <s v="AUD"/>
    <x v="6"/>
    <s v="27.02.2026-Belated )"/>
    <s v="19.03.2026"/>
    <n v="20"/>
    <n v="166099.69"/>
    <s v="March"/>
    <n v="254725560378"/>
    <m/>
  </r>
  <r>
    <s v="UHSF- DFMH"/>
    <n v="2602064"/>
    <n v="77476"/>
    <s v="Dorcas Kavara"/>
    <n v="34"/>
    <x v="1"/>
    <s v="Female 0719896909"/>
    <s v="Spouse"/>
    <s v="Bipolar 1 disorder"/>
    <x v="6"/>
    <s v="14.02.2026"/>
    <s v="19.02.2026"/>
    <n v="5"/>
    <n v="91953"/>
    <s v="February "/>
    <m/>
    <m/>
  </r>
  <r>
    <s v="KISUMU SPECIALIST"/>
    <n v="2505152"/>
    <n v="67191"/>
    <s v="Jeremiah Jumba"/>
    <n v="57"/>
    <x v="0"/>
    <s v="Male 0721295798"/>
    <s v="Contributor"/>
    <s v="Drug induced psychosis"/>
    <x v="6"/>
    <s v="13.01.2026"/>
    <s v="14.01.2026"/>
    <n v="1"/>
    <n v="67985"/>
    <s v="January"/>
    <m/>
    <m/>
  </r>
  <r>
    <s v="NGONG REATREAT"/>
    <n v="2015925"/>
    <n v="37303"/>
    <s v="Evans Bundi "/>
    <n v="46"/>
    <x v="1"/>
    <s v="Male "/>
    <s v="Contributor "/>
    <s v="Major Depressive /Htn//lower back pain"/>
    <x v="6"/>
    <s v="01.01.2026"/>
    <s v="17.02.2026"/>
    <n v="47"/>
    <n v="172244"/>
    <s v="February "/>
    <m/>
    <m/>
  </r>
  <r>
    <s v="UHSF-DFMH"/>
    <n v="2023126"/>
    <n v="63184"/>
    <s v="Glen Inguitia"/>
    <n v="20"/>
    <x v="2"/>
    <s v="Male 0721791292"/>
    <s v="Child"/>
    <s v="Major depressive disorder"/>
    <x v="6"/>
    <s v="18.03.2026"/>
    <s v="23.03.2026"/>
    <n v="5"/>
    <n v="52350"/>
    <s v="March"/>
    <n v="254710416650"/>
    <m/>
  </r>
  <r>
    <s v="CHIROMO LANE-BUSTANI"/>
    <n v="2001487"/>
    <n v="11768"/>
    <s v="Thomas Mutinda"/>
    <n v="69"/>
    <x v="0"/>
    <s v="Male 0722715316"/>
    <s v="Contributor"/>
    <s v="Major depressive disorder"/>
    <x v="6"/>
    <s v="19.01.2026"/>
    <s v="26.01.2026"/>
    <n v="7"/>
    <n v="212867"/>
    <s v="January"/>
    <m/>
    <m/>
  </r>
  <r>
    <s v="UHSF-DFMH"/>
    <n v="2507448"/>
    <n v="81740"/>
    <s v="Urbanus Kyalo"/>
    <n v="42"/>
    <x v="1"/>
    <s v="Male 0703952527"/>
    <s v="Contributor"/>
    <s v="Relapsed ptsd"/>
    <x v="6"/>
    <s v="15.03.2026"/>
    <s v="31.03.2026"/>
    <n v="16"/>
    <n v="152675.9"/>
    <s v="March"/>
    <n v="254722787610"/>
    <m/>
  </r>
  <r>
    <s v="OASIS MENTAL"/>
    <n v="2017620"/>
    <n v="54137"/>
    <s v="Mukami Emuria"/>
    <n v="18"/>
    <x v="2"/>
    <s v="Female"/>
    <s v="Child"/>
    <s v="Schizophrenia"/>
    <x v="6"/>
    <s v="05.03.2026"/>
    <s v="05.03.2026"/>
    <s v="Day case"/>
    <n v="75000"/>
    <s v="March"/>
    <n v="254722658703"/>
    <m/>
  </r>
  <r>
    <s v="MTRH"/>
    <n v="2505152"/>
    <n v="67191"/>
    <s v="Jeremiah Jumba"/>
    <n v="57"/>
    <x v="0"/>
    <s v="Male 0721295798"/>
    <s v="Contributor"/>
    <s v="Schizophrenia/ fracture left hand phalanges"/>
    <x v="6"/>
    <s v="15.01.2026"/>
    <s v="03.02.2026"/>
    <n v="19"/>
    <n v="288937.64"/>
    <s v="February "/>
    <m/>
    <m/>
  </r>
  <r>
    <s v="DIANI BEACH HOSP"/>
    <n v="2014771"/>
    <n v="32378"/>
    <s v="Grace Njeri "/>
    <n v="17"/>
    <x v="2"/>
    <s v="Female 0722381267"/>
    <s v="Child"/>
    <s v="Acute tonsilitis /Gastritis "/>
    <x v="10"/>
    <s v="03.03.2026"/>
    <s v="05.03.2026"/>
    <n v="2"/>
    <n v="56339"/>
    <s v="March"/>
    <n v="254798188015"/>
    <m/>
  </r>
  <r>
    <s v="UHSF- DFMH"/>
    <n v="2003191"/>
    <n v="54549"/>
    <s v="Mwanza Mutiso"/>
    <n v="66"/>
    <x v="0"/>
    <s v="Male"/>
    <s v="Contributor"/>
    <m/>
    <x v="10"/>
    <s v="04.02.2026"/>
    <s v="08.02.2026"/>
    <n v="4"/>
    <n v="114180"/>
    <s v="February "/>
    <m/>
    <m/>
  </r>
  <r>
    <s v="AGA KHAN -KISUMU"/>
    <n v="2009176"/>
    <n v="59732"/>
    <s v="Everlyne Akoth"/>
    <n v="56"/>
    <x v="0"/>
    <s v="Female 0720840786"/>
    <s v="Spouse"/>
    <s v="Acute lumbar spondylosis/htn"/>
    <x v="3"/>
    <s v="13.02.2026"/>
    <s v="16.02.2026"/>
    <n v="3"/>
    <n v="151486"/>
    <s v="February "/>
    <m/>
    <m/>
  </r>
  <r>
    <s v="PANDYA HOSP"/>
    <n v="2002234"/>
    <n v="31013"/>
    <s v="Henry Moindi"/>
    <n v="69"/>
    <x v="0"/>
    <s v="Male 0798437050"/>
    <s v="Contributor"/>
    <s v="Advanced generalized hip pain/Delirium"/>
    <x v="3"/>
    <s v="29.01.2026"/>
    <s v="08.02.2026"/>
    <n v="10"/>
    <n v="846478"/>
    <s v="February "/>
    <m/>
    <m/>
  </r>
  <r>
    <s v="NAIROBI SOUTH HOSP"/>
    <n v="2003252"/>
    <n v="60699"/>
    <s v="Yakub Jelle"/>
    <n v="64"/>
    <x v="0"/>
    <s v="Male 0703707733"/>
    <s v="Contributor"/>
    <s v="Arthrofibrosis Post TKR"/>
    <x v="3"/>
    <s v="21.02.2026"/>
    <s v="27.02.2026"/>
    <n v="6"/>
    <n v="218929.94"/>
    <s v="February "/>
    <m/>
    <m/>
  </r>
  <r>
    <s v="AGA KHAN -KISII"/>
    <n v="2012457"/>
    <n v="12417"/>
    <s v="Josmwah Machini"/>
    <n v="66"/>
    <x v="0"/>
    <s v="Male"/>
    <s v="Contributor"/>
    <s v="Bakers cyst/htn/bph"/>
    <x v="3"/>
    <s v="22.01.2026"/>
    <s v="26.01.2026"/>
    <n v="4"/>
    <n v="144851"/>
    <s v="January"/>
    <m/>
    <m/>
  </r>
  <r>
    <s v="ST FRANCIS COMMUNITY"/>
    <n v="2020509"/>
    <n v="104396"/>
    <s v="Nancy Njeri"/>
    <n v="57"/>
    <x v="0"/>
    <s v="Female 0722228738"/>
    <s v="Spouse"/>
    <s v="Bi-foraminal c5-c6 stenosis /migraine Headache /PUD"/>
    <x v="3"/>
    <s v="10.02.2026"/>
    <s v="11.02.2026"/>
    <n v="1"/>
    <n v="44068"/>
    <s v="February "/>
    <m/>
    <m/>
  </r>
  <r>
    <s v="SYNERGY CLINIC"/>
    <n v="2016003"/>
    <n v="10935"/>
    <s v="Stephen Ochieng"/>
    <n v="67"/>
    <x v="0"/>
    <s v="Male 0721540607"/>
    <s v="Contributor"/>
    <s v="Bilateral Knee meniscus tear"/>
    <x v="3"/>
    <s v="16.02.2026"/>
    <s v="20.02.2026"/>
    <n v="4"/>
    <n v="229029"/>
    <s v="February "/>
    <m/>
    <m/>
  </r>
  <r>
    <s v="KNH"/>
    <n v="2017602"/>
    <n v="101569"/>
    <s v="Florence Apadeet"/>
    <n v="61"/>
    <x v="0"/>
    <s v="Female 0722975509"/>
    <s v="Spouse "/>
    <s v="Chronic back pain/radiculopathy"/>
    <x v="3"/>
    <s v="08.03.2026Hosp to Bill through smart"/>
    <s v="12.03.2026"/>
    <n v="4"/>
    <n v="107555"/>
    <s v="March"/>
    <n v="254728697352"/>
    <m/>
  </r>
  <r>
    <s v="KISUMU SPECIALIST"/>
    <n v="2002890"/>
    <n v="13580"/>
    <s v="Noah Onyango Obonyo"/>
    <n v="66"/>
    <x v="0"/>
    <s v="Male 0726270909"/>
    <s v="Contributor"/>
    <s v="Chronic low back pain"/>
    <x v="3"/>
    <s v="27.01.2026"/>
    <s v="07.02.2026"/>
    <n v="11"/>
    <n v="642785"/>
    <s v="February "/>
    <m/>
    <m/>
  </r>
  <r>
    <s v="NANYUKI COTTAGE"/>
    <n v="2019617"/>
    <n v="62874"/>
    <s v="Galma Jattani"/>
    <n v="19"/>
    <x v="2"/>
    <s v="Male"/>
    <s v="Child"/>
    <s v="CORD compression/wedge compression"/>
    <x v="3"/>
    <s v="26.01.2026"/>
    <s v="06.02.2026"/>
    <n v="11"/>
    <n v="949084"/>
    <s v="February "/>
    <m/>
    <m/>
  </r>
  <r>
    <s v="AIC KIJABE"/>
    <n v="2005385"/>
    <n v="18536"/>
    <s v="Josephine Wachira"/>
    <n v="66"/>
    <x v="0"/>
    <s v="Female 0722604220"/>
    <s v="Spouse"/>
    <s v="Degenerative disc disease"/>
    <x v="3"/>
    <s v="19.01.2026"/>
    <s v="21.01.2026"/>
    <n v="2"/>
    <n v="346723"/>
    <s v="January"/>
    <m/>
    <m/>
  </r>
  <r>
    <s v="ST LUKES O&amp;T"/>
    <n v="2005584"/>
    <n v="17356"/>
    <s v="Emily Ayuma"/>
    <n v="76"/>
    <x v="0"/>
    <s v="Female 0722983472"/>
    <s v="Spouse"/>
    <s v="Disc prolapse"/>
    <x v="3"/>
    <s v="21.01.2026"/>
    <s v="25.01.2026"/>
    <n v="4"/>
    <n v="147998"/>
    <s v="January"/>
    <m/>
    <m/>
  </r>
  <r>
    <s v="PANDYA HOSP"/>
    <n v="2017577"/>
    <n v="37153"/>
    <s v="Najaa Nassir"/>
    <n v="48"/>
    <x v="1"/>
    <s v="Female"/>
    <s v="Spouse"/>
    <s v="Fibromylgia"/>
    <x v="3"/>
    <s v="22.01.2026"/>
    <s v="23.01.2026"/>
    <n v="1"/>
    <n v="127109"/>
    <s v="January"/>
    <m/>
    <m/>
  </r>
  <r>
    <s v="ST FRANCIS COMMUNITY"/>
    <n v="2014589"/>
    <n v="101449"/>
    <s v="Willy Mwaura"/>
    <n v="66"/>
    <x v="0"/>
    <s v="Male"/>
    <s v="Contributor"/>
    <s v="Ganglion cyst"/>
    <x v="3"/>
    <s v="19.01.2026-Hosp to bill through smart"/>
    <s v="19.01.2026"/>
    <s v="Day case"/>
    <n v="40000"/>
    <s v="January"/>
    <m/>
    <m/>
  </r>
  <r>
    <s v="NAIROBI WEST HOSP"/>
    <n v="2005719"/>
    <n v="53410"/>
    <s v="Rachel Chelangat"/>
    <n v="64"/>
    <x v="0"/>
    <s v="Female 0721642629"/>
    <s v="Spouse"/>
    <s v="L2/L3 disc prolapse with severe cord compression"/>
    <x v="3"/>
    <s v="23.02.2026"/>
    <s v="04.03.2026"/>
    <n v="9"/>
    <n v="650000"/>
    <s v="March"/>
    <n v="254722612206"/>
    <m/>
  </r>
  <r>
    <s v="UHSF-DFMH"/>
    <n v="2407267"/>
    <n v="56814"/>
    <s v="Akata Oluoch"/>
    <n v="62"/>
    <x v="0"/>
    <s v="Female 0722675960"/>
    <s v="Spouse"/>
    <s v="Low back pain"/>
    <x v="3"/>
    <s v="28.01.2026"/>
    <s v="31.01.2026"/>
    <n v="3"/>
    <n v="25721"/>
    <s v="January"/>
    <m/>
    <m/>
  </r>
  <r>
    <s v="PANDYA HOSP"/>
    <n v="2010780"/>
    <n v="58898"/>
    <s v="Irene Mwaganda"/>
    <n v="58"/>
    <x v="0"/>
    <s v="Female 0723996740"/>
    <s v="Spouse"/>
    <s v="Lower back pain/ htn urgency"/>
    <x v="3"/>
    <s v="03.02.2026"/>
    <s v="08.02.2026"/>
    <n v="5"/>
    <n v="277489"/>
    <s v="February "/>
    <m/>
    <m/>
  </r>
  <r>
    <s v="AIC KIJABE"/>
    <n v="2003072"/>
    <n v="104118"/>
    <s v="Charles Kimani"/>
    <n v="66"/>
    <x v="0"/>
    <s v="Male"/>
    <s v="Contributor"/>
    <s v="LSS1 lithiasis/ Lower Back pain"/>
    <x v="3"/>
    <s v="26.01.2026"/>
    <s v="29.01.2026"/>
    <n v="3"/>
    <n v="395281"/>
    <s v="January"/>
    <m/>
    <m/>
  </r>
  <r>
    <s v="ST JOSEPH SHELTER OF HOPE"/>
    <n v="2402047"/>
    <n v="20743"/>
    <s v="Editha Samree"/>
    <n v="70"/>
    <x v="0"/>
    <s v="Female 0721584850"/>
    <s v="Spouse"/>
    <s v="Lumbago/Sciatica/dengue fever/uti"/>
    <x v="3"/>
    <s v="18.03.2026"/>
    <s v="23.03.2026"/>
    <n v="5"/>
    <n v="101320"/>
    <s v="March"/>
    <n v="254721929930"/>
    <m/>
  </r>
  <r>
    <s v="DAINI BEACH HOSP"/>
    <n v="2014961"/>
    <n v="57853"/>
    <s v="Bonface Mutunga "/>
    <n v="64"/>
    <x v="0"/>
    <s v="Male "/>
    <s v="Contributor"/>
    <s v="Lumbago/UTI"/>
    <x v="3"/>
    <s v="05.02.2026"/>
    <s v="07.02.2026"/>
    <n v="2"/>
    <n v="80193"/>
    <s v="February "/>
    <m/>
    <m/>
  </r>
  <r>
    <s v="PANDYA HOSP"/>
    <n v="2020497"/>
    <n v="32267"/>
    <s v="Samaha Ali"/>
    <n v="52"/>
    <x v="0"/>
    <s v="Female 0717312731"/>
    <s v="Spouse"/>
    <s v="Lumbar disc syndrome/htn"/>
    <x v="3"/>
    <s v="08.01.2026"/>
    <s v="14.01.2026"/>
    <n v="6"/>
    <n v="134113"/>
    <s v="January"/>
    <m/>
    <m/>
  </r>
  <r>
    <s v="ST JOSEPH MISSION-MIGORI"/>
    <n v="2006498"/>
    <n v="11078"/>
    <s v="Perez Awour"/>
    <n v="50"/>
    <x v="1"/>
    <s v="Female 0720552242"/>
    <s v="Spouse"/>
    <s v="Lumbar lypolardosis in dm/htn"/>
    <x v="3"/>
    <s v="16.03.2026"/>
    <s v="25.03.2026"/>
    <n v="9"/>
    <n v="180100"/>
    <s v="March"/>
    <n v="254720367477"/>
    <m/>
  </r>
  <r>
    <s v="UHSF - LRH"/>
    <n v="2011456"/>
    <n v="54164"/>
    <s v="Petronila Atieno"/>
    <n v="63"/>
    <x v="0"/>
    <s v="Female"/>
    <s v="Spouse"/>
    <s v="Lumbar radioculopathy"/>
    <x v="3"/>
    <s v="04.02.2026-Belated -Billed through smart on 4.2.26"/>
    <s v="04.02.2026"/>
    <s v="Day case"/>
    <n v="62277"/>
    <s v="February "/>
    <m/>
    <m/>
  </r>
  <r>
    <s v="ST FRANCIS COMMUNITY"/>
    <n v="2407209"/>
    <n v="58921"/>
    <s v="Eunice  Njeri "/>
    <n v="44"/>
    <x v="1"/>
    <s v="Female 0711861581"/>
    <s v="Spouse"/>
    <s v="Lumbar Spasm / Intervertebral Disc Degeneration of Lumbar"/>
    <x v="3"/>
    <s v="05.01.2026"/>
    <s v="15.01.2026"/>
    <n v="10"/>
    <n v="236795"/>
    <s v="January"/>
    <m/>
    <m/>
  </r>
  <r>
    <s v="ST LUKE O&amp;T"/>
    <n v="2021863"/>
    <n v="57255"/>
    <s v="Chesembe Lasto"/>
    <n v="62"/>
    <x v="0"/>
    <s v="Male"/>
    <s v="Contributor"/>
    <s v="Lumbar Spondylosis"/>
    <x v="3"/>
    <s v="04.02.2026"/>
    <s v="08.02.2026"/>
    <n v="4"/>
    <n v="112556.2"/>
    <s v="February "/>
    <m/>
    <m/>
  </r>
  <r>
    <s v="KISUMU SPECIALIST"/>
    <n v="2002992"/>
    <n v="13568"/>
    <s v="Joseph Akunga"/>
    <n v="68"/>
    <x v="0"/>
    <s v="Male 0721861437"/>
    <s v="Contributor"/>
    <s v="Lumbar spondylosis/Ca Prostate"/>
    <x v="3"/>
    <s v="07.01.2026"/>
    <s v="10.01.2026"/>
    <n v="2"/>
    <n v="98332"/>
    <s v="January"/>
    <m/>
    <m/>
  </r>
  <r>
    <s v="DAINI BEACH HOSP"/>
    <n v="2406019"/>
    <n v="32211"/>
    <s v="Fatima Mganyi"/>
    <n v="50"/>
    <x v="1"/>
    <s v="Female"/>
    <s v="Spouse"/>
    <s v="Lumbar/htn/tonsilitis"/>
    <x v="3"/>
    <s v="18.02.2026"/>
    <s v="21.02.2026"/>
    <n v="3"/>
    <n v="97954"/>
    <s v="February "/>
    <m/>
    <m/>
  </r>
  <r>
    <s v="AGA KHAN UNIVERSITY"/>
    <n v="2013329"/>
    <n v="17480"/>
    <s v="Christine Munyanga "/>
    <n v="74"/>
    <x v="0"/>
    <s v="Female "/>
    <s v="Spouse"/>
    <s v="Osteoporesis"/>
    <x v="3"/>
    <s v="27.03.2026-off smart"/>
    <s v="27.03.2026"/>
    <s v="Day case "/>
    <n v="84870"/>
    <s v="March"/>
    <n v="254729575525"/>
    <m/>
  </r>
  <r>
    <s v="PANDYA HOSP"/>
    <n v="2014680"/>
    <n v="37008"/>
    <s v="Mary Wanjiru"/>
    <n v="79"/>
    <x v="0"/>
    <s v="Female"/>
    <s v="Spouse"/>
    <s v="Selective lumbar nerve block"/>
    <x v="3"/>
    <s v="10.02.2026"/>
    <s v="10.02.2026"/>
    <s v="Day case"/>
    <n v="72916"/>
    <s v="February "/>
    <m/>
    <m/>
  </r>
  <r>
    <s v="UHSF - DFWC"/>
    <n v="2011353"/>
    <n v="14193"/>
    <s v="Nickson Kusiyenya"/>
    <n v="66"/>
    <x v="0"/>
    <s v="Male 0722227870"/>
    <s v="Contributor"/>
    <s v="Severe Low back pain/spondylosis"/>
    <x v="3"/>
    <s v="12.01.2026-Hosp to bill through smart"/>
    <s v="27.02.2026"/>
    <n v="47"/>
    <n v="372651"/>
    <s v="February "/>
    <m/>
    <m/>
  </r>
  <r>
    <s v="PANDYA HOSP"/>
    <n v="2502100"/>
    <n v="60353"/>
    <s v="Julia Malombo"/>
    <n v="45"/>
    <x v="1"/>
    <s v="Female 0718902932"/>
    <s v="Spouse"/>
    <s v="Severe lumbago with radiculopath"/>
    <x v="3"/>
    <s v="15.01.2026"/>
    <s v="18.01.2026"/>
    <n v="3"/>
    <n v="128419"/>
    <s v="January"/>
    <m/>
    <m/>
  </r>
  <r>
    <s v="BLOOM HOSP"/>
    <n v="2011685"/>
    <n v="100868"/>
    <s v="Betty Abilla"/>
    <n v="63"/>
    <x v="0"/>
    <s v="Female "/>
    <s v="Spouse"/>
    <s v="Severe Prolapsed intervertebral Disc"/>
    <x v="3"/>
    <s v="12.02.2026"/>
    <s v="16.02.2026"/>
    <n v="4"/>
    <n v="118722.1"/>
    <s v="February "/>
    <m/>
    <m/>
  </r>
  <r>
    <s v="THE KAREN HOSP"/>
    <n v="2001361"/>
    <n v="6678"/>
    <s v="Charles Muchene"/>
    <n v="72"/>
    <x v="0"/>
    <s v="Male 0722679315"/>
    <s v="Contributor"/>
    <s v="Spondylolisthesis/ sciatica"/>
    <x v="3"/>
    <s v="20.02.2026"/>
    <s v="03.02.2026"/>
    <n v="11"/>
    <n v="333812"/>
    <s v="March"/>
    <n v="254716574617"/>
    <m/>
  </r>
  <r>
    <s v="ST FRANCIS COMMUNITY"/>
    <n v="2002439"/>
    <n v="55156"/>
    <s v="George Gichimu"/>
    <n v="71"/>
    <x v="0"/>
    <s v="Male 0721714802"/>
    <s v="Contributor"/>
    <s v="spondylosis/aki/nephrosis/a-v block"/>
    <x v="3"/>
    <s v="10.01.2026"/>
    <s v="14.01.2026"/>
    <n v="4"/>
    <n v="130181"/>
    <s v="January"/>
    <m/>
    <m/>
  </r>
  <r>
    <s v="NAIROBI SOUTH HOSP"/>
    <n v="2001553"/>
    <n v="17939"/>
    <s v="Sheikh Daud Ahmed"/>
    <n v="68"/>
    <x v="0"/>
    <s v="Male"/>
    <s v="Contributor"/>
    <s v="Symptomatic Sciatica"/>
    <x v="3"/>
    <s v="09.02.2026 SHA (17,920.00)"/>
    <s v="13.02.2026"/>
    <n v="4"/>
    <n v="86843.53"/>
    <s v="February "/>
    <m/>
    <m/>
  </r>
  <r>
    <s v="ST LUKE O&amp;T"/>
    <n v="2016420"/>
    <n v="58277"/>
    <s v="Daniel Ouma"/>
    <n v="62"/>
    <x v="0"/>
    <s v="Male"/>
    <s v="Contributor"/>
    <s v="Triger Finger"/>
    <x v="3"/>
    <s v="03.02.2026"/>
    <s v="03.02.2026"/>
    <s v="Day case"/>
    <n v="94888.2"/>
    <s v="February "/>
    <m/>
    <m/>
  </r>
  <r>
    <s v="RELIANCE HOSP"/>
    <n v="2019476"/>
    <n v="57023"/>
    <s v="Abdi Hassan "/>
    <n v="59"/>
    <x v="0"/>
    <s v="Male "/>
    <s v="Contributor"/>
    <s v="Acute Kidney Disease/Bilateral fibrosis "/>
    <x v="9"/>
    <s v="05.02.2026"/>
    <s v="14.02.2026"/>
    <n v="8"/>
    <n v="475110"/>
    <s v="February "/>
    <m/>
    <m/>
  </r>
  <r>
    <s v="ST DAMIANO HOSP "/>
    <n v="2001287"/>
    <n v="17202"/>
    <s v="Richard Simiyu"/>
    <n v="84"/>
    <x v="3"/>
    <s v="Male 0722720356"/>
    <s v="Contributor"/>
    <s v="Electrolyte imbalance in DM/HTN "/>
    <x v="9"/>
    <s v="18.03.2026"/>
    <s v="26.03.2026"/>
    <n v="7"/>
    <n v="81065"/>
    <s v="March"/>
    <n v="7157332387"/>
    <m/>
  </r>
  <r>
    <s v="MEDINA HOSP"/>
    <n v="2017736"/>
    <n v="16100"/>
    <s v="Rukia Kolosho"/>
    <n v="52"/>
    <x v="0"/>
    <s v="Female 0726087358"/>
    <s v="Spouse "/>
    <s v="G/E hypokalemia "/>
    <x v="9"/>
    <s v="07.03.2026"/>
    <s v="11.03.2026"/>
    <n v="4"/>
    <n v="186995"/>
    <s v="March"/>
    <n v="254716510067"/>
    <m/>
  </r>
  <r>
    <s v="PANDYA HOSP"/>
    <n v="2020142"/>
    <n v="16148"/>
    <s v="Esther Wachenje"/>
    <n v="65"/>
    <x v="0"/>
    <s v="Female 0722274662"/>
    <s v="Spouse"/>
    <s v="Acute confused state/DM/dementia"/>
    <x v="12"/>
    <s v="28.02.2026"/>
    <s v="04.03.2026"/>
    <n v="4"/>
    <n v="238811"/>
    <s v="March"/>
    <n v="254722830697"/>
    <m/>
  </r>
  <r>
    <s v="AGA KHAN -KISUMU"/>
    <n v="2003515"/>
    <n v="100864"/>
    <s v="Maurice Atsango"/>
    <n v="68"/>
    <x v="0"/>
    <s v="Male 0724458957"/>
    <s v="Contributor"/>
    <s v="Axona neuropathy/dm"/>
    <x v="12"/>
    <s v="11.02.2026"/>
    <s v="13.02.2026"/>
    <n v="2"/>
    <n v="258781"/>
    <s v="February "/>
    <m/>
    <m/>
  </r>
  <r>
    <s v="ST LUKES O&amp;T"/>
    <n v="2002637"/>
    <n v="8913"/>
    <s v="Shadrack Mbego"/>
    <n v="70"/>
    <x v="0"/>
    <s v="Male 0710918163"/>
    <s v="Contributor"/>
    <s v="Chronic Subdural hematoma"/>
    <x v="12"/>
    <s v="12.03.2026"/>
    <s v="14.03.2026"/>
    <n v="2"/>
    <n v="415544.2"/>
    <s v="March"/>
    <n v="254703972911"/>
    <m/>
  </r>
  <r>
    <s v="ST LUKE O&amp;T"/>
    <n v="2005700"/>
    <n v="60742"/>
    <s v="Ruweidha Ibrahim"/>
    <n v="19"/>
    <x v="2"/>
    <s v="Female 0710168681"/>
    <s v="Child"/>
    <s v="Convulsive Disorder"/>
    <x v="12"/>
    <s v="02.02.2026"/>
    <s v="03.02.2026"/>
    <n v="1"/>
    <n v="75416.800000000003"/>
    <s v="February "/>
    <m/>
    <m/>
  </r>
  <r>
    <s v="MEDINA HOSP"/>
    <n v="2021285"/>
    <n v="60702"/>
    <s v="Abdifatah Ibrahim"/>
    <n v="8"/>
    <x v="2"/>
    <s v="Male 0798114340"/>
    <s v="Child"/>
    <s v="Convulsive disorder/pneumonia"/>
    <x v="12"/>
    <s v="23.02.2026"/>
    <s v="27.02.2026"/>
    <n v="4"/>
    <n v="123160"/>
    <s v="February "/>
    <m/>
    <m/>
  </r>
  <r>
    <s v="UHSF- DFMH"/>
    <n v="2001808"/>
    <n v="19290"/>
    <s v="Davis Kariuki"/>
    <n v="69"/>
    <x v="0"/>
    <s v="Male 0721977173"/>
    <s v="Contributor"/>
    <s v="HIV encephalopathy /AKI/dm"/>
    <x v="12"/>
    <s v="01.02.2026"/>
    <s v="12.02.2026"/>
    <n v="11"/>
    <n v="136236"/>
    <s v="February "/>
    <m/>
    <m/>
  </r>
  <r>
    <s v="BLOOM HOSP"/>
    <n v="2002482"/>
    <n v="14794"/>
    <s v="Julius Mwaura"/>
    <n v="67"/>
    <x v="0"/>
    <s v="Male 0722260248"/>
    <s v="Contributor"/>
    <s v="P.neuropathy Nephrotic syndrome with glomerulonephritis/pulmonary htn"/>
    <x v="12"/>
    <s v="01.03.2026"/>
    <s v="12.03.2026"/>
    <n v="11"/>
    <n v="241144"/>
    <s v="March"/>
    <n v="254726800511"/>
    <m/>
  </r>
  <r>
    <s v="MTRH"/>
    <n v="2002456"/>
    <n v="12997"/>
    <s v="James Maiywa"/>
    <n v="65"/>
    <x v="0"/>
    <s v="Male 0729784415"/>
    <s v="Contributor"/>
    <s v="Parkinsonism disease"/>
    <x v="12"/>
    <s v="23.01.2026"/>
    <s v="28.01.2026"/>
    <n v="5"/>
    <n v="110462.98"/>
    <s v="January"/>
    <m/>
    <m/>
  </r>
  <r>
    <s v="MWINGI SPECIALIST"/>
    <n v="2502163"/>
    <n v="58577"/>
    <s v="Joseph Nzuva"/>
    <n v="64"/>
    <x v="0"/>
    <s v="Male 0714317317"/>
    <s v="Contributor"/>
    <s v="Parkinsons disease in dm"/>
    <x v="12"/>
    <s v="17.01.2026"/>
    <s v="21.01.2026"/>
    <n v="3"/>
    <n v="121220"/>
    <s v="January"/>
    <m/>
    <m/>
  </r>
  <r>
    <s v="MATER HOSP"/>
    <n v="2018815"/>
    <n v="43293"/>
    <s v="Elizabeth Wambui "/>
    <n v="60"/>
    <x v="0"/>
    <s v="Female "/>
    <s v="Spouse"/>
    <s v="Rupture brain Aneursym"/>
    <x v="12"/>
    <s v="04.01.2026"/>
    <s v="04.01.2026"/>
    <n v="1"/>
    <n v="147677.49"/>
    <s v="January"/>
    <m/>
    <m/>
  </r>
  <r>
    <s v="OUTSPAN HOSP"/>
    <n v="2018815"/>
    <n v="43293"/>
    <s v="Elizabeth Wambui "/>
    <n v="60"/>
    <x v="0"/>
    <s v="Female 0721688703"/>
    <s v="Spouse"/>
    <s v="Rupture brain Aneurysm"/>
    <x v="12"/>
    <s v="04.01.2026- Hosp to bill through smart "/>
    <s v="14.01.2026"/>
    <n v="10"/>
    <n v="511509.72"/>
    <s v="January"/>
    <m/>
    <m/>
  </r>
  <r>
    <s v="THE NAIROBI HOSP"/>
    <n v="2019948"/>
    <n v="17370"/>
    <s v="Eunice Mukwanyaga"/>
    <n v="77"/>
    <x v="0"/>
    <s v="Female 0721490714"/>
    <s v="Spouse"/>
    <s v="Severe headache/UTI"/>
    <x v="12"/>
    <s v="06.02.2026"/>
    <s v="12.02.2026"/>
    <n v="6"/>
    <n v="352839"/>
    <s v="February "/>
    <m/>
    <m/>
  </r>
  <r>
    <s v="DAINI BEACH HOSP"/>
    <n v="2407407"/>
    <n v="67066"/>
    <s v="Mwalimu Mpendakula"/>
    <n v="60"/>
    <x v="0"/>
    <s v="Male"/>
    <s v="Contributor"/>
    <s v="Spinal Cord Compression"/>
    <x v="12"/>
    <s v="11.02.2026"/>
    <s v="14.02.2026"/>
    <n v="2"/>
    <n v="119766"/>
    <s v="February "/>
    <m/>
    <m/>
  </r>
  <r>
    <s v="ST LUKES O&amp;T"/>
    <n v="2016416"/>
    <n v="57085"/>
    <s v="Stanely Kipkosgei"/>
    <n v="64"/>
    <x v="0"/>
    <s v="Male 0721565523"/>
    <s v="Contributor"/>
    <s v="Subacute subdural haematoma"/>
    <x v="12"/>
    <s v="01.03.2026"/>
    <s v="05.03.2026"/>
    <n v="4"/>
    <n v="426191"/>
    <s v="March"/>
    <n v="254724950223"/>
    <m/>
  </r>
  <r>
    <s v="MTRH"/>
    <n v="2002609"/>
    <n v="14782"/>
    <s v="Thomas Nyandoro"/>
    <n v="68"/>
    <x v="0"/>
    <s v="Male 0721911719"/>
    <s v="Contributor"/>
    <s v="Subdural haematoma/htn"/>
    <x v="12"/>
    <s v="25.01.2026-Hosp to bill through smart"/>
    <s v="31.01.2026"/>
    <n v="6"/>
    <n v="428828.37"/>
    <s v="January"/>
    <m/>
    <m/>
  </r>
  <r>
    <s v="UHSF - LRH"/>
    <n v="2009519"/>
    <n v="14587"/>
    <s v="Milka Mosioma "/>
    <n v="60"/>
    <x v="0"/>
    <s v="Female "/>
    <s v="Spouse"/>
    <s v="Convulsion "/>
    <x v="9"/>
    <s v="02.02.2026 Belated "/>
    <s v="07.02.2026"/>
    <n v="5"/>
    <n v="41803"/>
    <s v="February "/>
    <m/>
    <m/>
  </r>
  <r>
    <s v="METROPOLITAN HOSP"/>
    <n v="2011320"/>
    <n v="74047"/>
    <s v="Victor Shipiti"/>
    <n v="9"/>
    <x v="2"/>
    <s v="Male 0701537686"/>
    <s v="Child"/>
    <s v="Severe Headache "/>
    <x v="9"/>
    <s v="17.03.2026"/>
    <s v="19.03.2026"/>
    <n v="2"/>
    <n v="63002"/>
    <s v="March"/>
    <n v="254726386129"/>
    <m/>
  </r>
  <r>
    <s v="KNH"/>
    <n v="2014304"/>
    <n v="55303"/>
    <s v="Hamza Mohamed "/>
    <n v="14"/>
    <x v="2"/>
    <s v="Male 0726918577"/>
    <s v="Child "/>
    <s v="Acute myeloid Leukemia "/>
    <x v="10"/>
    <s v="04.03.2026-sha 138,292.00"/>
    <s v="31.03.2026"/>
    <n v="27"/>
    <n v="626634"/>
    <s v="March"/>
    <n v="722582038"/>
    <m/>
  </r>
  <r>
    <s v="NAIROBI WEST HOSP"/>
    <n v="2008867"/>
    <n v="101493"/>
    <s v="Beatrice Lugongo"/>
    <n v="62"/>
    <x v="0"/>
    <s v="Female 0722946435"/>
    <s v="Spouse"/>
    <s v="Anemia/sepsis/melanoma/hepatitis/post radiotherapy "/>
    <x v="10"/>
    <s v="27.02.2026 (Deceased)"/>
    <s v="10.03.2026"/>
    <n v="11"/>
    <n v="750113"/>
    <s v="March"/>
    <n v="254718913055"/>
    <m/>
  </r>
  <r>
    <s v="UHSF -DFMH"/>
    <n v="2505061"/>
    <n v="59211"/>
    <s v="Kipkorir Kandagor "/>
    <n v="59"/>
    <x v="0"/>
    <s v="Male 0711902236"/>
    <s v="Contributor"/>
    <s v="B-Cell Lymphoma /AKI/Pleural Effusion "/>
    <x v="10"/>
    <s v="09.01.2026"/>
    <s v="09.01.2026"/>
    <s v="Day case"/>
    <n v="70463.55"/>
    <s v="January"/>
    <m/>
    <m/>
  </r>
  <r>
    <s v="NAIROBI WEST HOSP"/>
    <n v="2505061"/>
    <n v="59211"/>
    <s v="Kipkorir Kendagor"/>
    <n v="60"/>
    <x v="0"/>
    <s v="Male "/>
    <s v="Contributor "/>
    <s v="B-Cell Lyphoma "/>
    <x v="10"/>
    <s v="05.01.2026"/>
    <s v="05.01.2026"/>
    <s v="Oncology"/>
    <n v="105000"/>
    <s v="January"/>
    <m/>
    <m/>
  </r>
  <r>
    <s v="UHSF-DFMH"/>
    <n v="2019550"/>
    <n v="60099"/>
    <s v="Nicholas Mativo "/>
    <n v="62"/>
    <x v="0"/>
    <s v="Male 0722917083"/>
    <s v="Contributor"/>
    <s v="Carcinoid Syndrome ? Papillary thyroid ca "/>
    <x v="10"/>
    <s v="02.01.2026-Deceased/belated LOU"/>
    <s v="18.01.2026"/>
    <n v="17"/>
    <n v="315970"/>
    <s v="January"/>
    <m/>
    <m/>
  </r>
  <r>
    <s v="NAIROBI WEST HOSP"/>
    <n v="2019232"/>
    <n v="104495"/>
    <s v="Noor Hillow "/>
    <n v="64"/>
    <x v="0"/>
    <s v="Male "/>
    <s v="Contributor "/>
    <s v="Chronic Lymphocytic "/>
    <x v="10"/>
    <s v="27.03.2026"/>
    <s v="27.03.2026"/>
    <s v="Oncology "/>
    <n v="144353.44"/>
    <s v="March"/>
    <n v="254719250639"/>
    <m/>
  </r>
  <r>
    <s v="NAIROBI SOUTH"/>
    <n v="2002532"/>
    <n v="18558"/>
    <s v="Willis Gershom "/>
    <n v="73"/>
    <x v="0"/>
    <s v="Male 0722772278"/>
    <s v="Contributor"/>
    <s v="HTN /Metastatic prostate Ca "/>
    <x v="10"/>
    <s v="02.01.2026 HDU"/>
    <s v="07.01.2026"/>
    <n v="5"/>
    <n v="503236"/>
    <s v="January"/>
    <m/>
    <m/>
  </r>
  <r>
    <s v="KUTRRH"/>
    <n v="2505080"/>
    <n v="100854"/>
    <s v="Daniel Mwaura "/>
    <n v="68"/>
    <x v="0"/>
    <s v="Male "/>
    <s v="Contributor "/>
    <s v="Lung Mass "/>
    <x v="10"/>
    <s v="26.03.2026"/>
    <s v="26.03.2026"/>
    <s v="Day case "/>
    <n v="80210"/>
    <s v="March"/>
    <n v="254724442391"/>
    <m/>
  </r>
  <r>
    <s v="NAIROBI WEST HOSP"/>
    <n v="2007795"/>
    <n v="15404"/>
    <s v="Mary Muchamura"/>
    <n v="68"/>
    <x v="0"/>
    <s v="Male"/>
    <s v="Spouse"/>
    <s v="Malignant melanoma "/>
    <x v="10"/>
    <s v="25.03.2026"/>
    <s v="25.03.2026"/>
    <s v="Oncology"/>
    <n v="364587.62"/>
    <s v="March"/>
    <n v="254720766049"/>
    <m/>
  </r>
  <r>
    <s v="NAIROBI WEST HOSP"/>
    <n v="2007795"/>
    <n v="15404"/>
    <s v="Mary Mwathimba "/>
    <n v="63"/>
    <x v="0"/>
    <s v="Female "/>
    <s v="Spouse "/>
    <s v="Melanoma "/>
    <x v="10"/>
    <s v="04.03.2026 (SHA 100,000)"/>
    <s v="04.03.2026"/>
    <s v="Oncology"/>
    <n v="371955"/>
    <s v="March"/>
    <n v="254721459254"/>
    <m/>
  </r>
  <r>
    <s v="AGA KHAN -KISUMU"/>
    <n v="2022237"/>
    <n v="56585"/>
    <s v="Dickson Mudeshi"/>
    <n v="62"/>
    <x v="0"/>
    <s v="Male"/>
    <s v="Contributor"/>
    <s v="Metastatic Ca prostate "/>
    <x v="10"/>
    <s v="09.02.2026"/>
    <s v="09.02.2026"/>
    <s v="Oncology"/>
    <n v="96443"/>
    <s v="February "/>
    <m/>
    <m/>
  </r>
  <r>
    <s v="THE NAIROBI HOSP"/>
    <n v="2012118"/>
    <n v="18259"/>
    <s v="Scholastica Nzisa"/>
    <n v="63"/>
    <x v="0"/>
    <s v="Female "/>
    <s v="Contributor"/>
    <s v="Ovarian Ca "/>
    <x v="10"/>
    <s v="06.02.2026"/>
    <s v="06.02.2026"/>
    <s v="Oncology"/>
    <n v="12000"/>
    <s v="February "/>
    <m/>
    <m/>
  </r>
  <r>
    <s v="ST LUKES O&amp;T"/>
    <n v="2001028"/>
    <n v="18492"/>
    <s v="Fredrick  Githinji"/>
    <n v="64"/>
    <x v="0"/>
    <s v="Male "/>
    <s v="Contributor "/>
    <s v="Prostate Adenocarcinoma "/>
    <x v="10"/>
    <s v="05.01.2026"/>
    <s v="05.01.2026"/>
    <s v="Oncology"/>
    <n v="235500"/>
    <s v="January"/>
    <m/>
    <m/>
  </r>
  <r>
    <s v="BLOOM HOSP"/>
    <n v="2011016"/>
    <n v="18256"/>
    <s v="Esther Njeri"/>
    <n v="65"/>
    <x v="0"/>
    <s v="Female 0720223134"/>
    <s v="Spouse"/>
    <s v="Respiratory Distress in ca breast "/>
    <x v="10"/>
    <s v="04.03.2026"/>
    <s v="08.03.2026"/>
    <n v="4"/>
    <n v="145872.20000000001"/>
    <s v="March"/>
    <n v="254720753956"/>
    <m/>
  </r>
  <r>
    <s v="ST LUKES O&amp;T"/>
    <n v="2005052"/>
    <n v="3711"/>
    <s v="Esther Songok"/>
    <n v="58"/>
    <x v="0"/>
    <s v="Female "/>
    <s v="Spouse"/>
    <s v="Cervical Dysplasia "/>
    <x v="10"/>
    <s v="02.01.2026"/>
    <s v="02.01.2026"/>
    <n v="1"/>
    <n v="53583"/>
    <s v="January"/>
    <m/>
    <m/>
  </r>
  <r>
    <s v="UHSF -DFMH"/>
    <n v="2005082"/>
    <n v="101741"/>
    <s v="Margaret Adhiambo"/>
    <n v="69"/>
    <x v="0"/>
    <s v="Female"/>
    <s v="Spouse"/>
    <s v=" Carotid body tumor"/>
    <x v="10"/>
    <s v="15.01.2026"/>
    <s v="16.01.2026"/>
    <n v="1"/>
    <n v="17875"/>
    <s v="January"/>
    <m/>
    <m/>
  </r>
  <r>
    <s v="UHSF -DFMH"/>
    <n v="2005082"/>
    <n v="101741"/>
    <s v="Margaret Adhiambo"/>
    <n v="69"/>
    <x v="0"/>
    <s v="Female"/>
    <s v="Spouse"/>
    <s v=" Carotid body tumor"/>
    <x v="10"/>
    <s v="16.01.2026"/>
    <s v="19.01.2026"/>
    <n v="3"/>
    <n v="31636.59"/>
    <s v="January"/>
    <m/>
    <m/>
  </r>
  <r>
    <s v="NAIROBI SOUTH HOSP"/>
    <n v="2004095"/>
    <n v="102642"/>
    <s v="Noor Soyan"/>
    <n v="65"/>
    <x v="0"/>
    <s v="Female"/>
    <s v="Spouse"/>
    <s v="Acute myeloid leukemia"/>
    <x v="10"/>
    <s v="09.03.2026"/>
    <s v="09.03.2026"/>
    <s v="Oncology"/>
    <n v="30366"/>
    <s v="March"/>
    <n v="254718353180"/>
    <m/>
  </r>
  <r>
    <s v="NAIROBI SOUTH HOSP"/>
    <n v="2004095"/>
    <n v="102642"/>
    <s v="Noor Soyan"/>
    <n v="65"/>
    <x v="0"/>
    <s v="Female"/>
    <s v="Spouse"/>
    <s v="Acute myeloid leukemia"/>
    <x v="10"/>
    <s v="10.03.2026"/>
    <s v="10.03.2026"/>
    <s v="Oncology"/>
    <n v="23685"/>
    <s v="March"/>
    <n v="254728066319"/>
    <m/>
  </r>
  <r>
    <s v="NAIROBI SOUTH HOSP"/>
    <n v="2004095"/>
    <n v="102642"/>
    <s v="Noor Soyan"/>
    <n v="65"/>
    <x v="0"/>
    <s v="Female"/>
    <s v="Spouse"/>
    <s v="Acute myeloid leukemia"/>
    <x v="10"/>
    <s v="11.03.2026"/>
    <s v="11.03.2026"/>
    <s v="Oncology"/>
    <n v="24062.44"/>
    <s v="March"/>
    <n v="254707224884"/>
    <m/>
  </r>
  <r>
    <s v="NAIROBI SOUTH HOSP"/>
    <n v="2004095"/>
    <n v="102642"/>
    <s v="Noor Soyan"/>
    <n v="65"/>
    <x v="0"/>
    <s v="Female"/>
    <s v="Spouse"/>
    <s v="Acute myeloid leukemia"/>
    <x v="10"/>
    <s v="16.03.2026"/>
    <s v="16.03.2026"/>
    <s v="Oncology"/>
    <n v="17285.95"/>
    <s v="March"/>
    <n v="254726918577"/>
    <m/>
  </r>
  <r>
    <s v="NAIROBI SOUTH"/>
    <n v="2004095"/>
    <n v="102642"/>
    <s v="Noor Soyan"/>
    <n v="65"/>
    <x v="0"/>
    <s v="Male 0721256673"/>
    <s v="Contributor"/>
    <s v="Acute Myeloid leukemia"/>
    <x v="10"/>
    <s v="29.01.2026"/>
    <s v="29.01.2026"/>
    <s v="Oncology"/>
    <n v="16160.17"/>
    <s v="January"/>
    <m/>
    <m/>
  </r>
  <r>
    <s v="CANCER CARE KENYA"/>
    <n v="2001033"/>
    <n v="17150"/>
    <s v="Benard Maingi"/>
    <n v="86"/>
    <x v="3"/>
    <s v="Male"/>
    <s v="Contributor"/>
    <s v="Acute myloid leukemia"/>
    <x v="10"/>
    <s v="31.03.2026-Hosp to bill through smart"/>
    <s v="31.03.2026"/>
    <s v="Oncology"/>
    <n v="65000"/>
    <s v="March"/>
    <n v="254743419124"/>
    <m/>
  </r>
  <r>
    <s v="ST MATIA MULUMBA"/>
    <n v="2505080"/>
    <n v="100854"/>
    <s v="Daniel Mwaura"/>
    <n v="69"/>
    <x v="0"/>
    <s v="Male 0720242011"/>
    <s v="Contributor"/>
    <s v="Advanced lung Ca"/>
    <x v="10"/>
    <s v="09.03.2026"/>
    <s v="14.03.2026"/>
    <n v="5"/>
    <n v="47758"/>
    <s v="March"/>
    <n v="254723768076"/>
    <m/>
  </r>
  <r>
    <s v="NAIROBI SOUTH HOSP"/>
    <n v="2004095"/>
    <n v="102642"/>
    <s v="Noor soyan"/>
    <n v="61"/>
    <x v="0"/>
    <s v="Male"/>
    <s v="Contributor"/>
    <s v="AML"/>
    <x v="10"/>
    <s v="02.02.2026"/>
    <s v="02.02.2026"/>
    <s v="Oncology"/>
    <n v="27452"/>
    <s v="February "/>
    <m/>
    <m/>
  </r>
  <r>
    <s v="NAIROBI SOUTH HOSP"/>
    <n v="2004095"/>
    <n v="102642"/>
    <s v="Noor Soyan"/>
    <n v="65"/>
    <x v="0"/>
    <s v="Male"/>
    <s v="Contributor"/>
    <s v="AML"/>
    <x v="10"/>
    <s v="03.02.2026"/>
    <s v="03.02.2026"/>
    <s v="Oncology"/>
    <n v="16783.830000000002"/>
    <s v="February "/>
    <m/>
    <m/>
  </r>
  <r>
    <s v="CANCER CARE KENYA"/>
    <n v="2001033"/>
    <n v="17150"/>
    <s v="Benard Maingi"/>
    <n v="85"/>
    <x v="3"/>
    <s v="Male"/>
    <s v="Contributor"/>
    <s v="AML"/>
    <x v="10"/>
    <s v="12.01.2026"/>
    <s v="12.01.2026"/>
    <s v="Oncology"/>
    <n v="319900"/>
    <s v="January"/>
    <m/>
    <m/>
  </r>
  <r>
    <s v="NAIROBI SOUTH HOSP"/>
    <n v="2001095"/>
    <n v="102642"/>
    <s v="Noor Soyan"/>
    <n v="65"/>
    <x v="0"/>
    <s v="Male"/>
    <s v="Contributor"/>
    <s v="AML"/>
    <x v="10"/>
    <s v="12.03.2026"/>
    <s v="12.03.2026"/>
    <s v="Oncology"/>
    <n v="36256.9"/>
    <s v="March"/>
    <n v="254722928967"/>
    <m/>
  </r>
  <r>
    <s v="NAIROBI SOUTH HOSP"/>
    <n v="2004095"/>
    <n v="102642"/>
    <s v="Noor Soyan"/>
    <n v="65"/>
    <x v="0"/>
    <s v="Male"/>
    <s v="Contributor"/>
    <s v="AML"/>
    <x v="10"/>
    <s v="13.03.2026"/>
    <s v="13.03.2026"/>
    <s v="Oncology"/>
    <n v="27143.05"/>
    <s v="March"/>
    <n v="254721446037"/>
    <m/>
  </r>
  <r>
    <s v="NAIROBI SOUTH HOSP"/>
    <n v="2004095"/>
    <n v="102042"/>
    <s v="Noor Soyan "/>
    <n v="65"/>
    <x v="0"/>
    <s v="Male"/>
    <s v="Contributor"/>
    <s v="AML"/>
    <x v="10"/>
    <s v="17.03.2026"/>
    <s v="17.03.2026"/>
    <s v="Oncology"/>
    <n v="25891.32"/>
    <s v="March"/>
    <n v="254722645149"/>
    <m/>
  </r>
  <r>
    <s v="NAIROBI SOUTH"/>
    <n v="2004095"/>
    <n v="102642"/>
    <s v="Noor Soyan Dukow"/>
    <n v="65"/>
    <x v="0"/>
    <s v="Male"/>
    <s v="Contributor"/>
    <s v="AML"/>
    <x v="10"/>
    <s v="26.01.2026"/>
    <s v="26.01.206"/>
    <s v="Oncology"/>
    <n v="27194.5"/>
    <s v="January"/>
    <m/>
    <m/>
  </r>
  <r>
    <s v="NAIROBI SOUTH"/>
    <n v="2004095"/>
    <n v="102642"/>
    <s v="Noor Soyan"/>
    <n v="65"/>
    <x v="0"/>
    <s v="Male"/>
    <s v="Contributor"/>
    <s v="AML"/>
    <x v="10"/>
    <s v="27.01.2026"/>
    <s v="27.01.2026"/>
    <s v="Oncology"/>
    <n v="22091.11"/>
    <s v="January"/>
    <m/>
    <m/>
  </r>
  <r>
    <s v="NAIROBI SOUTH"/>
    <n v="2004095"/>
    <n v="102642"/>
    <s v="Noor Soyan"/>
    <n v="65"/>
    <x v="0"/>
    <s v="Male"/>
    <s v="Contributor"/>
    <s v="AML"/>
    <x v="10"/>
    <s v="28.01.2026"/>
    <s v="28.01.2026"/>
    <s v="Oncology"/>
    <n v="23435.67"/>
    <s v="January"/>
    <m/>
    <m/>
  </r>
  <r>
    <s v="Nairobi South"/>
    <n v="2004095"/>
    <n v="102642"/>
    <s v="Noor Soyan"/>
    <n v="65"/>
    <x v="0"/>
    <s v="Male"/>
    <s v="Contributor"/>
    <s v="AML"/>
    <x v="10"/>
    <s v="30.01.2026"/>
    <s v="30.01.2026"/>
    <s v="Oncology"/>
    <n v="17673.64"/>
    <s v="January"/>
    <m/>
    <m/>
  </r>
  <r>
    <s v="AGA KHAN -MOMBASA"/>
    <n v="2014720"/>
    <n v="37099"/>
    <s v="Jane Ayuma"/>
    <n v="67"/>
    <x v="0"/>
    <s v="Female"/>
    <s v="Spouse"/>
    <s v="Breast Ca"/>
    <x v="10"/>
    <s v="11.01.2026"/>
    <s v="11.02.2026"/>
    <s v="Oncology"/>
    <n v="41219.040000000001"/>
    <s v="February "/>
    <m/>
    <m/>
  </r>
  <r>
    <s v="AGA KHAN MOMBASA"/>
    <n v="2014720"/>
    <n v="37099"/>
    <s v="Jane Ayuma"/>
    <n v="67"/>
    <x v="0"/>
    <s v="Female"/>
    <s v="Spouse"/>
    <s v="Breast Ca"/>
    <x v="10"/>
    <s v="21.01.2026"/>
    <s v="21.01.2026"/>
    <s v="Oncology"/>
    <n v="49029.56"/>
    <s v="January"/>
    <m/>
    <m/>
  </r>
  <r>
    <s v="ST LUKES O&amp;T"/>
    <n v="2507207"/>
    <n v="62415"/>
    <s v="Susan Wasike"/>
    <n v="57"/>
    <x v="0"/>
    <s v="Female"/>
    <s v="Spouse"/>
    <s v="Breast epithelial lesion"/>
    <x v="10"/>
    <s v="28.01.2026"/>
    <s v="28.01.2026"/>
    <s v="Day case"/>
    <n v="58803"/>
    <s v="January"/>
    <m/>
    <m/>
  </r>
  <r>
    <s v="ST LUKES O&amp;T"/>
    <n v="2507207"/>
    <n v="62415"/>
    <s v="Susan Wasike"/>
    <n v="57"/>
    <x v="0"/>
    <s v="Female"/>
    <s v="Spouse"/>
    <s v="Breast Mass"/>
    <x v="10"/>
    <s v="07.01.2026"/>
    <s v="07.01.2026"/>
    <s v="Day case"/>
    <n v="25844"/>
    <s v="January"/>
    <m/>
    <m/>
  </r>
  <r>
    <s v="THE NAIROBI HOSP"/>
    <n v="2020358"/>
    <n v="56122"/>
    <s v="Elizabeth Nekesa "/>
    <n v="60"/>
    <x v="0"/>
    <s v="Female"/>
    <s v="Spouse "/>
    <s v="Breast MASS"/>
    <x v="10"/>
    <s v="13.02.2026"/>
    <s v="13.02.2026"/>
    <s v="Day case"/>
    <n v="144965"/>
    <s v="February "/>
    <m/>
    <m/>
  </r>
  <r>
    <s v="OUTSPAN HOSP"/>
    <n v="2020996"/>
    <n v="103608"/>
    <s v="Felicio John"/>
    <n v="64"/>
    <x v="0"/>
    <s v="Male"/>
    <s v="Contributor"/>
    <s v="Breast mass"/>
    <x v="10"/>
    <s v="23.02.2026"/>
    <s v="23.02.2026"/>
    <s v="Day case"/>
    <n v="36499"/>
    <s v="February "/>
    <m/>
    <m/>
  </r>
  <r>
    <s v="RELIANCE HOSP"/>
    <n v="2407146"/>
    <n v="19408"/>
    <s v="Charity Ndegwa"/>
    <n v="57"/>
    <x v="0"/>
    <s v="Female "/>
    <s v="Spouse"/>
    <s v="Breast mass"/>
    <x v="10"/>
    <s v="27.03.2026"/>
    <s v="27.03.2026"/>
    <s v="Day case"/>
    <n v="26945"/>
    <s v="March"/>
    <n v="254722961245"/>
    <m/>
  </r>
  <r>
    <s v="AGA KAHN MOMBASA"/>
    <n v="2014720"/>
    <n v="37099"/>
    <s v="Jane Ayuma "/>
    <n v="67"/>
    <x v="0"/>
    <s v="Female "/>
    <s v="Spouse "/>
    <s v="Ca Breast"/>
    <x v="10"/>
    <s v="04.03.2026"/>
    <s v="04.03.2026"/>
    <s v="Oncology"/>
    <n v="61042.82"/>
    <s v="March"/>
    <n v="254715209779"/>
    <m/>
  </r>
  <r>
    <s v="OUTSPAN HOSP"/>
    <n v="2013015"/>
    <n v="18692"/>
    <s v="Mercy Wanjiru"/>
    <n v="66"/>
    <x v="0"/>
    <s v="Female"/>
    <s v="Spouse"/>
    <s v="Ca Breast"/>
    <x v="10"/>
    <s v="08.01.2026"/>
    <s v="08.01.2026"/>
    <s v="Oncology"/>
    <n v="102252.07"/>
    <s v="January"/>
    <m/>
    <m/>
  </r>
  <r>
    <s v="NAIROBI WEST HOSP"/>
    <n v="2011016"/>
    <n v="18256"/>
    <s v="Esther Njeri"/>
    <n v="65"/>
    <x v="0"/>
    <s v="Female"/>
    <s v="Spouse"/>
    <s v="Ca breast"/>
    <x v="10"/>
    <s v="11.03.2026"/>
    <s v="11.03.2026"/>
    <s v="Oncology"/>
    <n v="133497.69"/>
    <s v="March"/>
    <n v="254724779335"/>
    <m/>
  </r>
  <r>
    <s v="AGA KAHN MOMBASA"/>
    <n v="2014720"/>
    <n v="37099"/>
    <s v="Jane Ayuma"/>
    <n v="67"/>
    <x v="0"/>
    <s v="Female "/>
    <s v="Spouse"/>
    <s v="Ca breast"/>
    <x v="10"/>
    <s v="11.03.2026"/>
    <s v="11.03.2026"/>
    <s v="Oncology"/>
    <n v="57905.31"/>
    <s v="March"/>
    <n v="254798188015"/>
    <m/>
  </r>
  <r>
    <s v="OUT SPAN HOSP"/>
    <n v="2013015"/>
    <n v="18692"/>
    <s v="Mercy Wanjiru"/>
    <n v="67"/>
    <x v="0"/>
    <s v="Female"/>
    <s v="Spouse"/>
    <s v="Ca breast"/>
    <x v="10"/>
    <s v="12.03.2026"/>
    <s v="12.03.2026"/>
    <s v="Oncology"/>
    <n v="93792.61"/>
    <s v="March"/>
    <n v="254722282030"/>
    <m/>
  </r>
  <r>
    <s v="AGA KHAN MOMBASA"/>
    <n v="2014720"/>
    <n v="37099"/>
    <s v="Jane Ayuma"/>
    <n v="67"/>
    <x v="0"/>
    <s v="Female"/>
    <s v="Spouse"/>
    <s v="Ca breast"/>
    <x v="10"/>
    <s v="14.01.2026"/>
    <s v="14.01.2026"/>
    <s v="Oncology"/>
    <n v="37583.53"/>
    <s v="January"/>
    <m/>
    <m/>
  </r>
  <r>
    <s v="NAIROBI WEST HOSP"/>
    <n v="2011016"/>
    <n v="18256"/>
    <s v="Esther Njeri"/>
    <n v="65"/>
    <x v="0"/>
    <s v="Female"/>
    <s v="Spouse"/>
    <s v="Ca Breast"/>
    <x v="10"/>
    <s v="18.02.2026"/>
    <s v="18.02.2026"/>
    <s v="Oncology"/>
    <n v="133540"/>
    <s v="February "/>
    <m/>
    <m/>
  </r>
  <r>
    <s v="AGA KHAN -MOMBASA"/>
    <n v="2014720"/>
    <n v="37099"/>
    <s v="Jane Ayuma"/>
    <n v="67"/>
    <x v="0"/>
    <s v="Female"/>
    <s v="Spouse"/>
    <s v="Ca breast"/>
    <x v="10"/>
    <s v="18.02.2026"/>
    <s v="18.02.2026"/>
    <s v="Oncology"/>
    <n v="35752.35"/>
    <s v="February "/>
    <m/>
    <m/>
  </r>
  <r>
    <s v="CANCER CARE KENYA"/>
    <n v="2007072"/>
    <n v="20611"/>
    <s v="Chharanpal Kaur Gill"/>
    <n v="66"/>
    <x v="0"/>
    <s v="Female"/>
    <s v="Spouse"/>
    <s v="Ca Breast"/>
    <x v="10"/>
    <s v="19.01.2026"/>
    <s v="19.01.2026"/>
    <s v="Oncology"/>
    <n v="65600"/>
    <s v="January"/>
    <m/>
    <m/>
  </r>
  <r>
    <s v="OUTSPAN HOSP"/>
    <n v="2013015"/>
    <n v="18692"/>
    <s v="Mercy Kuria"/>
    <n v="66"/>
    <x v="0"/>
    <s v="Female"/>
    <s v="Spouse"/>
    <s v="Ca breast"/>
    <x v="10"/>
    <s v="19.02.2026"/>
    <s v="19.02.2026"/>
    <s v="Oncology"/>
    <n v="92637"/>
    <s v="February "/>
    <m/>
    <m/>
  </r>
  <r>
    <s v="AGA KAHN MOMBASA"/>
    <n v="2014720"/>
    <n v="37099"/>
    <s v="Jane Ayuma"/>
    <n v="67"/>
    <x v="0"/>
    <s v="Female 0722271315"/>
    <s v="Spouse"/>
    <s v="Ca breast"/>
    <x v="10"/>
    <s v="19.03.2026"/>
    <s v="19.03.2026"/>
    <s v="Oncology"/>
    <n v="50371"/>
    <s v="March"/>
    <n v="791800248"/>
    <m/>
  </r>
  <r>
    <s v="NAIROBI WEST HOSP"/>
    <n v="2021273"/>
    <n v="56896"/>
    <s v="Hellen Nanjala"/>
    <n v="59"/>
    <x v="0"/>
    <s v="Female"/>
    <s v="Spouse"/>
    <s v="Ca Breast"/>
    <x v="10"/>
    <s v="23.03.2026"/>
    <s v="23.03.2026"/>
    <s v="Oncology"/>
    <n v="60000"/>
    <s v="March"/>
    <n v="254726386129"/>
    <m/>
  </r>
  <r>
    <s v="AGA KHAN MOMBASA"/>
    <n v="2014720"/>
    <n v="37099"/>
    <s v="Jane Ayuma"/>
    <n v="67"/>
    <x v="0"/>
    <s v="Female"/>
    <s v="Spouse"/>
    <s v="Ca breast"/>
    <x v="10"/>
    <s v="28.01.2026"/>
    <s v="28.01.2026"/>
    <s v="Oncology"/>
    <n v="37347.040000000001"/>
    <s v="January"/>
    <m/>
    <m/>
  </r>
  <r>
    <s v="NAIROBI WEST HOSP"/>
    <n v="2011016"/>
    <n v="18256"/>
    <s v="Esther Njeri"/>
    <n v="65"/>
    <x v="0"/>
    <s v="Female 0720223134"/>
    <s v="Contributor"/>
    <s v="Ca breast"/>
    <x v="10"/>
    <s v="29.01.2026"/>
    <s v="29.01.2026"/>
    <s v="Oncology"/>
    <n v="5481"/>
    <s v="January"/>
    <m/>
    <m/>
  </r>
  <r>
    <s v="OUTSPAN HOSP"/>
    <n v="2013015"/>
    <n v="18692"/>
    <s v="Mercy Kuria"/>
    <n v="66"/>
    <x v="0"/>
    <s v="Female"/>
    <s v="Spouse"/>
    <s v="Ca breast"/>
    <x v="10"/>
    <s v="26.01.2026"/>
    <s v="29.01.2026"/>
    <s v="Oncology"/>
    <n v="103402.84"/>
    <s v="January"/>
    <m/>
    <m/>
  </r>
  <r>
    <s v="Nairobi West"/>
    <n v="2021273"/>
    <n v="56896"/>
    <s v="Hellen Wanjala"/>
    <n v="56"/>
    <x v="0"/>
    <s v="Female"/>
    <s v="Spouse"/>
    <s v="Ca breast"/>
    <x v="10"/>
    <s v="31.01.2026"/>
    <s v="31.01.2026"/>
    <s v="Oncology"/>
    <n v="55000"/>
    <s v="January"/>
    <m/>
    <m/>
  </r>
  <r>
    <s v="AGA KHAN UNIVERSITY"/>
    <n v="2004761"/>
    <n v="31664"/>
    <s v="Jane Teresa"/>
    <n v="64"/>
    <x v="0"/>
    <s v="Female"/>
    <s v="Spouse"/>
    <s v="Ca breast (pet scan)"/>
    <x v="10"/>
    <s v="20.02.2026-off smart"/>
    <s v="20.02.2026"/>
    <s v="Oncology"/>
    <n v="25650"/>
    <s v="February "/>
    <m/>
    <m/>
  </r>
  <r>
    <s v="UHSF- DFMH"/>
    <n v="2011004"/>
    <n v="101184"/>
    <s v="Eunice Wanjiru"/>
    <n v="64"/>
    <x v="0"/>
    <s v="Female 0723490875"/>
    <s v="Spouse"/>
    <s v="Ca Cervix"/>
    <x v="10"/>
    <s v="29.01.2026"/>
    <s v="02.02.2026"/>
    <n v="4"/>
    <n v="137879"/>
    <s v="February "/>
    <m/>
    <m/>
  </r>
  <r>
    <s v="NAIROBI WEST HOSP"/>
    <n v="2013525"/>
    <n v="10031"/>
    <s v="Rebecca Mutuku"/>
    <n v="66"/>
    <x v="0"/>
    <s v="Female"/>
    <s v="Spouse"/>
    <s v="Ca cervix"/>
    <x v="10"/>
    <s v="10.03.2026 (Sha "/>
    <s v="10.03.2026"/>
    <s v="Oncology"/>
    <n v="62100"/>
    <s v="March"/>
    <n v="254722636922"/>
    <m/>
  </r>
  <r>
    <s v="UHSF-DFMH"/>
    <n v="2013525"/>
    <n v="10031"/>
    <s v="Rebecca Mutuku"/>
    <n v="66"/>
    <x v="0"/>
    <s v="Female"/>
    <s v="Spouse"/>
    <s v="Ca cervix"/>
    <x v="10"/>
    <s v="12.03.2026"/>
    <s v="12.03.2026"/>
    <s v="Oncology"/>
    <n v="15125.29"/>
    <s v="March"/>
    <n v="254720552242"/>
    <m/>
  </r>
  <r>
    <s v="UHSF-DFMH"/>
    <n v="2013525"/>
    <n v="10031"/>
    <s v="Rebecca Mutuku"/>
    <n v="65"/>
    <x v="0"/>
    <s v="Female 0722828789"/>
    <s v="Spouse"/>
    <s v="Ca cervix"/>
    <x v="10"/>
    <s v="19.03.2026"/>
    <s v="19.03.2026"/>
    <s v="Oncology"/>
    <n v="12577.25"/>
    <s v="March"/>
    <n v="254710627717"/>
    <m/>
  </r>
  <r>
    <s v="AGA KHAN  -university"/>
    <n v="2002469"/>
    <n v="18127"/>
    <s v="Jane Nduta"/>
    <n v="22"/>
    <x v="1"/>
    <s v="Female"/>
    <s v="Contributor"/>
    <s v="Ca Cervix"/>
    <x v="10"/>
    <s v="23.01.2026-off smart"/>
    <s v="20.01.2026"/>
    <s v="Oncology"/>
    <n v="79150"/>
    <s v="January"/>
    <m/>
    <m/>
  </r>
  <r>
    <s v="UHSF -DFMH"/>
    <n v="2011004"/>
    <n v="101184"/>
    <s v="Eunice Wanjiru"/>
    <n v="64"/>
    <x v="0"/>
    <s v="Female "/>
    <s v="Spouse"/>
    <s v="Ca Cervix"/>
    <x v="10"/>
    <s v="26.01.2026"/>
    <s v="26.01.2026"/>
    <s v="Oncology"/>
    <n v="11400"/>
    <s v="January"/>
    <m/>
    <m/>
  </r>
  <r>
    <s v="CANCER CARE KENYA"/>
    <n v="2009023"/>
    <n v="18240"/>
    <s v="Emily Melil"/>
    <n v="42"/>
    <x v="1"/>
    <s v="Female"/>
    <s v="Spouse"/>
    <s v="Ca cervix"/>
    <x v="10"/>
    <s v="28.02.2026-Hosp to bill through smart"/>
    <s v="28.02.2026"/>
    <s v="Oncology"/>
    <n v="114000"/>
    <s v="February "/>
    <m/>
    <m/>
  </r>
  <r>
    <s v="BRISTOL PARK"/>
    <n v="2022801"/>
    <n v="16631"/>
    <s v="Priscilla Gacheri"/>
    <n v="51"/>
    <x v="0"/>
    <s v="Female 0728200585"/>
    <s v="Spouse"/>
    <s v="Ca Cervix /URTI"/>
    <x v="10"/>
    <s v="19.01.2026"/>
    <s v="23.01.2026"/>
    <n v="4"/>
    <n v="114592"/>
    <s v="January"/>
    <m/>
    <m/>
  </r>
  <r>
    <s v="BRISTOL PARK HOSP"/>
    <n v="2022800"/>
    <n v="16631"/>
    <s v="Priscilla Gacheri"/>
    <n v="57"/>
    <x v="0"/>
    <s v="Female"/>
    <s v="Spouse"/>
    <s v="Ca Cervix stage iv/severe gastritis/dehydration"/>
    <x v="10"/>
    <s v="26.01.2026 -Diseased"/>
    <s v="19.02.2026"/>
    <n v="24"/>
    <n v="553939"/>
    <s v="February "/>
    <m/>
    <m/>
  </r>
  <r>
    <s v="UHSF- DFMH"/>
    <n v="2013525"/>
    <n v="10031"/>
    <s v="Rebecca Kalunde"/>
    <n v="66"/>
    <x v="0"/>
    <s v="Female 0722828789"/>
    <s v="Spouse"/>
    <s v="Ca cervix/uterus"/>
    <x v="10"/>
    <s v="08.02.2026"/>
    <s v="11.02.2026"/>
    <n v="3"/>
    <n v="58202"/>
    <s v="February "/>
    <m/>
    <m/>
  </r>
  <r>
    <s v="THE NAIROBI HOSP"/>
    <n v="2020043"/>
    <n v="18791"/>
    <s v="Monica barkitoch"/>
    <n v="67"/>
    <x v="0"/>
    <s v="Female"/>
    <s v="Spouse"/>
    <s v="Ca Colon"/>
    <x v="10"/>
    <s v="02.02.2026"/>
    <s v="02.02.2026"/>
    <s v="Oncology"/>
    <n v="27800"/>
    <s v="February "/>
    <m/>
    <m/>
  </r>
  <r>
    <s v="THE NAIROBI HOSP"/>
    <n v="2020043"/>
    <n v="18791"/>
    <s v="Monicah Barkitoch"/>
    <n v="67"/>
    <x v="0"/>
    <s v="Female"/>
    <s v="Spouse"/>
    <s v="Ca Colon"/>
    <x v="10"/>
    <s v="05.02.2026 Billed on 04.02.2026"/>
    <s v="05.02.2026"/>
    <s v="Oncology"/>
    <n v="70000"/>
    <s v="February "/>
    <m/>
    <m/>
  </r>
  <r>
    <s v="THE NAIROBI HOSP"/>
    <n v="2020043"/>
    <n v="18791"/>
    <s v="Monicah Barkitoch "/>
    <n v="67"/>
    <x v="0"/>
    <s v="Female"/>
    <s v="Spouse "/>
    <s v="Ca colon"/>
    <x v="10"/>
    <s v="13.02.2026-Hosp to bill through smart"/>
    <s v="13.02.2026"/>
    <s v="Oncology"/>
    <n v="100000"/>
    <s v="February "/>
    <m/>
    <m/>
  </r>
  <r>
    <s v="CANCER CARE KENYA"/>
    <n v="2002668"/>
    <n v="17920"/>
    <s v="Robert Kariuki"/>
    <n v="66"/>
    <x v="0"/>
    <s v="Male"/>
    <s v="Contributor"/>
    <s v="Ca Colon"/>
    <x v="10"/>
    <s v="16.02.2026"/>
    <s v="16.02.2026"/>
    <s v="Oncology"/>
    <n v="70475"/>
    <s v="February "/>
    <m/>
    <m/>
  </r>
  <r>
    <s v="CANCER CARE KENYA"/>
    <n v="2012481"/>
    <n v="10103"/>
    <s v="Joseph Musili"/>
    <n v="63"/>
    <x v="0"/>
    <s v="Male"/>
    <s v="Contributor"/>
    <s v="Ca Colon"/>
    <x v="10"/>
    <s v="24.02.2026 (sha-64,200.00)"/>
    <s v="24.02.2026"/>
    <s v="Oncology"/>
    <n v="16975"/>
    <s v="February "/>
    <m/>
    <m/>
  </r>
  <r>
    <s v="THE NAIROBI HOSP"/>
    <n v="2020043"/>
    <n v="18791"/>
    <s v="Monicah Barkitoch"/>
    <n v="66"/>
    <x v="0"/>
    <s v="Female"/>
    <s v="Spouse"/>
    <s v="Ca colon"/>
    <x v="10"/>
    <s v="27.02.2026-Oncology package, hosp to bill through smart"/>
    <s v="27.02.2026"/>
    <s v="Oncology"/>
    <n v="50000"/>
    <s v="February "/>
    <m/>
    <m/>
  </r>
  <r>
    <s v="NAIROBI WEST HOSP"/>
    <n v="2012481"/>
    <n v="10103"/>
    <s v="Joseph Musili"/>
    <n v="65"/>
    <x v="0"/>
    <s v="Male"/>
    <s v="Contributor"/>
    <s v="Ca colon with METS to lung /liver"/>
    <x v="10"/>
    <s v="30.03.2026-Hosp billed as out patient"/>
    <s v="30.03.2026"/>
    <s v="Oncology"/>
    <n v="167380"/>
    <s v="March"/>
    <n v="254714417008"/>
    <m/>
  </r>
  <r>
    <s v="SYNERGY CLINICS"/>
    <n v="2014982"/>
    <n v="13660"/>
    <s v="James Aggrey Oloo"/>
    <n v="66"/>
    <x v="0"/>
    <s v="Male 0722341101"/>
    <s v="Contributor"/>
    <s v="Ca esophagus"/>
    <x v="10"/>
    <s v="10.03.2026"/>
    <s v="15.03.2026"/>
    <n v="3"/>
    <n v="237007"/>
    <s v="March"/>
    <n v="254722422235"/>
    <m/>
  </r>
  <r>
    <s v="Nairobi West"/>
    <n v="2018734"/>
    <n v="64401"/>
    <s v="Lojorei Ekiru"/>
    <n v="61"/>
    <x v="0"/>
    <s v="Male"/>
    <s v="Contributor"/>
    <s v="Ca esophagus"/>
    <x v="10"/>
    <s v="30.01.2026-LOU issued as a package of 10 radiotherapy sessions"/>
    <s v="30.01.2026"/>
    <s v="Oncology"/>
    <n v="105000"/>
    <s v="January"/>
    <m/>
    <m/>
  </r>
  <r>
    <s v="NAIROBI WEST HOSP"/>
    <n v="2502192"/>
    <n v="104817"/>
    <s v="Joseph Njehia"/>
    <n v="60"/>
    <x v="0"/>
    <s v="Male"/>
    <s v="Contributor"/>
    <s v="Ca Gastric"/>
    <x v="10"/>
    <s v="21.01.2026"/>
    <s v="21.01.2026"/>
    <s v="Oncology"/>
    <n v="46142.57"/>
    <s v="January"/>
    <m/>
    <m/>
  </r>
  <r>
    <s v="NAIROBI WEST HOSP"/>
    <n v="2006996"/>
    <n v="14842"/>
    <s v="Anna Nyamohanga"/>
    <n v="64"/>
    <x v="0"/>
    <s v="Female"/>
    <s v="Spouse"/>
    <s v="Ca GIST"/>
    <x v="10"/>
    <s v="25.02.2026"/>
    <s v="25.02.2026"/>
    <s v="Oncology"/>
    <n v="28179.599999999999"/>
    <s v="February "/>
    <m/>
    <m/>
  </r>
  <r>
    <s v="NAIROBI WEST HOSP"/>
    <n v="2006969"/>
    <n v="14842"/>
    <s v="Anna Nyamohanga"/>
    <n v="64"/>
    <x v="0"/>
    <s v="Male"/>
    <s v="Spouse"/>
    <s v="Ca GTST"/>
    <x v="10"/>
    <s v="28.01.2026"/>
    <s v="28.01.2026"/>
    <s v="Oncology"/>
    <n v="28051.8"/>
    <s v="January"/>
    <m/>
    <m/>
  </r>
  <r>
    <s v="UHSF-DFMH"/>
    <n v="2013560"/>
    <n v="6625"/>
    <s v="Jane Chemutai "/>
    <n v="65"/>
    <x v="0"/>
    <s v="Female 0712156049"/>
    <s v="Spouse"/>
    <s v="Ca Hypopharynx"/>
    <x v="10"/>
    <s v="02.01.2026"/>
    <s v="09.03.2026"/>
    <n v="67"/>
    <n v="788226.55"/>
    <s v="March"/>
    <n v="254724268799"/>
    <m/>
  </r>
  <r>
    <s v="KUTRRH"/>
    <n v="2505080"/>
    <n v="100854"/>
    <s v="Daniel Githinji"/>
    <n v="69"/>
    <x v="0"/>
    <s v="Male"/>
    <s v="Contributor"/>
    <s v="Ca Lung"/>
    <x v="10"/>
    <s v="06.03.2026Hosp to bill through smart"/>
    <s v="06.03.2026"/>
    <s v="Oncology"/>
    <n v="65800"/>
    <s v="March"/>
    <n v="254726869962"/>
    <m/>
  </r>
  <r>
    <s v="NAIROBI SOUTH HOSP"/>
    <n v="2018734"/>
    <n v="64401"/>
    <s v="Lorejei Ekiru"/>
    <n v="61"/>
    <x v="0"/>
    <s v="Male"/>
    <s v="Contributor"/>
    <s v="Ca Oesophagud"/>
    <x v="10"/>
    <s v="17.02.2026"/>
    <s v="17.02.2026"/>
    <s v="Oncology"/>
    <n v="90000"/>
    <s v="February "/>
    <m/>
    <m/>
  </r>
  <r>
    <s v="NAIROBI WEST HOSP"/>
    <n v="2004365"/>
    <n v="11679"/>
    <s v="Gabriel Musyati"/>
    <n v="67"/>
    <x v="0"/>
    <s v="Male"/>
    <s v="Contributor"/>
    <s v="Ca oncology"/>
    <x v="10"/>
    <s v="13.03.2026"/>
    <s v="13.03.2026"/>
    <s v="Oncology"/>
    <n v="70000"/>
    <s v="March"/>
    <n v="254727416341"/>
    <m/>
  </r>
  <r>
    <s v="KISUMU SPECIALIST"/>
    <n v="2002006"/>
    <n v="14768"/>
    <s v="Michael Abuya"/>
    <n v="68"/>
    <x v="0"/>
    <s v="Male"/>
    <s v="Contributor"/>
    <s v="Ca prosate"/>
    <x v="10"/>
    <s v="24.02.2026"/>
    <s v="24.02.2026"/>
    <s v="Oncology"/>
    <n v="131319"/>
    <s v="February "/>
    <m/>
    <m/>
  </r>
  <r>
    <s v="THE NAIROBI HOSP"/>
    <n v="2001653"/>
    <n v="14695"/>
    <s v="Necletus Komu"/>
    <n v="74"/>
    <x v="0"/>
    <s v="Male"/>
    <s v="Contributor"/>
    <s v="Ca Prostate"/>
    <x v="10"/>
    <s v="03.02.2026"/>
    <s v="03.02.2026"/>
    <s v="Oncology"/>
    <n v="114997.64"/>
    <s v="February "/>
    <m/>
    <m/>
  </r>
  <r>
    <s v="AGA KHAN -MOMBASA"/>
    <n v="2410079"/>
    <n v="53742"/>
    <s v="Michael Kashibe"/>
    <n v="64"/>
    <x v="0"/>
    <s v="Male"/>
    <s v="Contributor"/>
    <s v="Ca Prostate"/>
    <x v="10"/>
    <s v="03.02.2026"/>
    <s v="03.02.2026"/>
    <s v="Oncology"/>
    <n v="48162.92"/>
    <s v="February "/>
    <m/>
    <m/>
  </r>
  <r>
    <s v="CANCER CARE KENYA"/>
    <n v="2018773"/>
    <n v="21046"/>
    <s v="Joseph Kosen "/>
    <n v="58"/>
    <x v="0"/>
    <s v="Male "/>
    <s v="Contributor"/>
    <s v="Ca Prostate"/>
    <x v="10"/>
    <s v="06.02.2026"/>
    <s v="06.02.2026"/>
    <s v="Oncology"/>
    <n v="63416"/>
    <s v="February "/>
    <m/>
    <m/>
  </r>
  <r>
    <s v="CANCER CARE KENYA"/>
    <n v="2010446"/>
    <n v="100598"/>
    <s v="Gerald Muverethi"/>
    <n v="69"/>
    <x v="0"/>
    <s v="Male"/>
    <s v="Contributor"/>
    <s v="Ca Prostate"/>
    <x v="10"/>
    <s v="06.03.2026"/>
    <s v="06.03.2026"/>
    <s v="Oncology"/>
    <n v="31133"/>
    <s v="March"/>
    <n v="254722341101"/>
    <m/>
  </r>
  <r>
    <s v="SYNERGY CLINICS"/>
    <n v="2001006"/>
    <n v="18347"/>
    <s v="Nicasius Limbe"/>
    <n v="69"/>
    <x v="0"/>
    <s v="Male"/>
    <s v="Contributor"/>
    <s v="Ca Prostate"/>
    <x v="10"/>
    <s v="07.01.2026"/>
    <s v="07.01.2026"/>
    <s v="Day case"/>
    <n v="75815"/>
    <s v="January"/>
    <m/>
    <m/>
  </r>
  <r>
    <s v="ST LUKES O&amp;T"/>
    <n v="2001028"/>
    <n v="18492"/>
    <s v="Fredrick Gachanga"/>
    <n v="64"/>
    <x v="0"/>
    <s v="Male"/>
    <s v="Contributor"/>
    <s v="Ca Prostate"/>
    <x v="10"/>
    <s v="07.01.2026"/>
    <s v="07.01.2026"/>
    <s v="Oncology"/>
    <n v="68283"/>
    <s v="January"/>
    <m/>
    <m/>
  </r>
  <r>
    <s v="AGA KHAN KISUMU"/>
    <n v="2022237"/>
    <n v="56585"/>
    <s v="Dickson Khamalishi Mudeshi"/>
    <n v="62"/>
    <x v="0"/>
    <s v="Male "/>
    <s v="Contributor"/>
    <s v="Ca Prostate"/>
    <x v="10"/>
    <s v="07.01.2026"/>
    <s v="07.01.2026"/>
    <s v="Oncology"/>
    <n v="77419.8"/>
    <s v="January"/>
    <m/>
    <m/>
  </r>
  <r>
    <s v="PANDYA HOSP"/>
    <n v="2001843"/>
    <n v="14127"/>
    <s v="Charles Lenjo"/>
    <n v="66"/>
    <x v="0"/>
    <s v="Male"/>
    <s v="Contributor"/>
    <s v="Ca Prostate"/>
    <x v="10"/>
    <s v="08.01.2026-Hosp billed as out patient"/>
    <s v="08.01.2026"/>
    <s v="Oncology"/>
    <n v="89210"/>
    <s v="January"/>
    <m/>
    <m/>
  </r>
  <r>
    <s v="NAIROBI WEST HOSP"/>
    <n v="2015348"/>
    <n v="103549"/>
    <s v="Daniel Kimani"/>
    <n v="64"/>
    <x v="0"/>
    <s v="Male"/>
    <s v="Contributor"/>
    <s v="Ca Prostate"/>
    <x v="10"/>
    <s v="09.02.2026"/>
    <s v="09.02.2026"/>
    <s v="Oncology"/>
    <n v="45308.23"/>
    <s v="February "/>
    <m/>
    <m/>
  </r>
  <r>
    <s v="THE NAIROBI HOSP"/>
    <n v="2019637"/>
    <n v="10170"/>
    <s v="Samson Ongere"/>
    <n v="64"/>
    <x v="0"/>
    <s v="Male"/>
    <s v="Contributor"/>
    <s v="Ca prostate"/>
    <x v="10"/>
    <s v="10.02.2026"/>
    <s v="10.02.2026"/>
    <s v="Oncology"/>
    <n v="6900"/>
    <s v="February "/>
    <m/>
    <m/>
  </r>
  <r>
    <s v="AGA KHAN -KISUMU"/>
    <n v="2002401"/>
    <n v="15577"/>
    <s v="Dalmas Ariyo"/>
    <n v="66"/>
    <x v="0"/>
    <s v="Male"/>
    <s v="Contributor"/>
    <s v="Ca Prostate"/>
    <x v="10"/>
    <s v="10.02.2026"/>
    <s v="10.02.2026"/>
    <s v="Oncology"/>
    <n v="119774"/>
    <s v="February "/>
    <m/>
    <m/>
  </r>
  <r>
    <s v="BLOOM HOSP"/>
    <n v="2001971"/>
    <n v="12324"/>
    <s v="John Chemitei"/>
    <n v="65"/>
    <x v="0"/>
    <s v="Male"/>
    <s v="Contributor"/>
    <s v="Ca prostate"/>
    <x v="10"/>
    <s v="11.03.2026"/>
    <s v="11.03.2026"/>
    <s v="Oncology"/>
    <n v="96439"/>
    <s v="March"/>
    <n v="254726350459"/>
    <m/>
  </r>
  <r>
    <s v="UHSF-NRH"/>
    <n v="2003970"/>
    <n v="20764"/>
    <s v="Jackson Waweru"/>
    <n v="68"/>
    <x v="0"/>
    <s v="Male"/>
    <s v="Contributor"/>
    <s v="Ca Prostate"/>
    <x v="10"/>
    <s v="11.03.2026"/>
    <s v="11.03.2026"/>
    <s v="Oncology"/>
    <n v="31893"/>
    <s v="March"/>
    <n v="254722341101"/>
    <m/>
  </r>
  <r>
    <s v="KISUMU SPECIALIST"/>
    <n v="2003647"/>
    <n v="14902"/>
    <s v="Hudson Lukase"/>
    <n v="65"/>
    <x v="0"/>
    <s v="Male"/>
    <s v="Contributor"/>
    <s v="Ca prostate"/>
    <x v="10"/>
    <s v="12.01.2026"/>
    <s v="12.01.2026"/>
    <s v="Oncology"/>
    <n v="90856"/>
    <s v="January"/>
    <m/>
    <m/>
  </r>
  <r>
    <s v="AGA KAHN KISUMU"/>
    <n v="2022237"/>
    <n v="56585"/>
    <s v="Dickson Mudeshi"/>
    <n v="62"/>
    <x v="0"/>
    <s v="Male"/>
    <s v="Contributor"/>
    <s v="Ca prostate"/>
    <x v="10"/>
    <s v="12.03.2026"/>
    <s v="12.03.2026"/>
    <s v="Oncology"/>
    <n v="102862"/>
    <s v="March"/>
    <n v="254720223134"/>
    <m/>
  </r>
  <r>
    <s v="AGA KHAN MOMBASA"/>
    <n v="2410079"/>
    <n v="53742"/>
    <s v="Michael Kashibe"/>
    <n v="64"/>
    <x v="0"/>
    <s v="Male"/>
    <s v="Contributor"/>
    <s v="Ca Prostate"/>
    <x v="10"/>
    <s v="13.01.2026"/>
    <s v="13.01.2026"/>
    <s v="Oncology"/>
    <n v="81382.73"/>
    <s v="January"/>
    <m/>
    <m/>
  </r>
  <r>
    <s v="UHSF -DFMH"/>
    <n v="2003295"/>
    <n v="101391"/>
    <s v="Heartfield Mwakio"/>
    <n v="59"/>
    <x v="0"/>
    <s v="Male"/>
    <s v="Contributor"/>
    <s v="Ca Prostate"/>
    <x v="10"/>
    <s v="13.01.2026-Hosp billed as outpatient"/>
    <s v="13.01.2026"/>
    <s v="Oncology"/>
    <n v="68901"/>
    <s v="January"/>
    <m/>
    <m/>
  </r>
  <r>
    <s v="ST LUKES O&amp;T"/>
    <n v="2503065"/>
    <n v="59127"/>
    <s v="Japhet Kibui"/>
    <n v="59"/>
    <x v="0"/>
    <s v="Male"/>
    <s v="Contributor"/>
    <s v="Ca prostate"/>
    <x v="10"/>
    <s v="13.03.2026"/>
    <s v="13.03.2026"/>
    <s v="Oncology"/>
    <n v="137313"/>
    <s v="March"/>
    <n v="254724779335"/>
    <m/>
  </r>
  <r>
    <s v="CANCER CARE KENYA"/>
    <n v="2018773"/>
    <n v="21046"/>
    <s v="Joseph Kosen"/>
    <n v="58"/>
    <x v="0"/>
    <s v="Male"/>
    <s v="Contributor"/>
    <s v="Ca Prostate"/>
    <x v="10"/>
    <s v="16.01.2026"/>
    <s v="16.01.2026"/>
    <s v="Oncology"/>
    <n v="52177"/>
    <s v="January"/>
    <m/>
    <m/>
  </r>
  <r>
    <s v="THE NAIROBI HOSP"/>
    <n v="2000181"/>
    <n v="18032"/>
    <s v="Charles Mukuru"/>
    <n v="69"/>
    <x v="0"/>
    <s v="Male"/>
    <s v="Contributor"/>
    <s v="Ca Prostate"/>
    <x v="10"/>
    <s v="16.02.2026-Hosp billed as out patient"/>
    <s v="16.02.2026"/>
    <s v="Oncology"/>
    <n v="68133"/>
    <s v="February "/>
    <m/>
    <m/>
  </r>
  <r>
    <s v="BLOOM HOSP"/>
    <n v="2001971"/>
    <n v="12324"/>
    <s v="John Chemitei"/>
    <n v="65"/>
    <x v="0"/>
    <s v="Male"/>
    <s v="Contributor"/>
    <s v="Ca Prostate"/>
    <x v="10"/>
    <s v="18.02.2026"/>
    <s v="18.02.2026"/>
    <s v="Oncology"/>
    <n v="128079.9"/>
    <s v="February "/>
    <m/>
    <m/>
  </r>
  <r>
    <s v="UHSF - NRH"/>
    <n v="20160001"/>
    <n v="14119"/>
    <s v="Joshua Kagechu"/>
    <n v="64"/>
    <x v="0"/>
    <s v="Male"/>
    <s v="Contributor"/>
    <s v="Ca Prostate"/>
    <x v="10"/>
    <s v="18.02.2026"/>
    <s v="18.02.2026"/>
    <s v="Oncology"/>
    <n v="130692"/>
    <s v="February "/>
    <m/>
    <m/>
  </r>
  <r>
    <s v="THE NAIROBI HOSP"/>
    <n v="2000181"/>
    <n v="18032"/>
    <s v="Charles Mukuru"/>
    <n v="67"/>
    <x v="0"/>
    <s v="Male"/>
    <s v="Contributor"/>
    <s v="Ca prostate"/>
    <x v="10"/>
    <s v="18.03.2026Hosp to bill through smart"/>
    <s v="18.03.2026"/>
    <s v="Oncology"/>
    <n v="45841.2"/>
    <s v="March"/>
    <n v="254723227442"/>
    <m/>
  </r>
  <r>
    <s v="THE NAIROBI HOSP"/>
    <n v="2019637"/>
    <n v="10170"/>
    <s v="Samson Ongere"/>
    <n v="64"/>
    <x v="0"/>
    <s v="Male"/>
    <s v="Contributor"/>
    <s v="Ca Prostate"/>
    <x v="10"/>
    <s v="19.01.2026-Hosp BILLING PER SESSION THRO SMART"/>
    <s v="19.01.2026"/>
    <s v="Oncology"/>
    <n v="72100"/>
    <s v="January"/>
    <m/>
    <m/>
  </r>
  <r>
    <s v="KISUMU SPECIALIST"/>
    <n v="2002006"/>
    <n v="14768"/>
    <s v="Michael Abuya"/>
    <n v="68"/>
    <x v="0"/>
    <s v="Male"/>
    <s v="Contributor"/>
    <s v="Ca Prostate"/>
    <x v="10"/>
    <s v="19.01.2026"/>
    <s v="19.01.2026"/>
    <s v="Oncology"/>
    <n v="97857"/>
    <s v="January"/>
    <m/>
    <m/>
  </r>
  <r>
    <s v="THE NAIROBI HOSP"/>
    <n v="2002838"/>
    <n v="101225"/>
    <s v="Charles Machora "/>
    <n v="69"/>
    <x v="0"/>
    <s v="Male"/>
    <s v="Contributor"/>
    <s v="Ca Prostate"/>
    <x v="10"/>
    <s v="19.01.2026"/>
    <s v="19.01.2026"/>
    <s v="Oncology"/>
    <n v="89728"/>
    <s v="January"/>
    <m/>
    <m/>
  </r>
  <r>
    <s v="SYNERGY CLINICS"/>
    <n v="2002424"/>
    <n v="11091"/>
    <s v="Maurice Nyapiedho"/>
    <n v="69"/>
    <x v="0"/>
    <s v="Male 0723650682"/>
    <s v="Contributor"/>
    <s v="Ca prostate"/>
    <x v="10"/>
    <s v="19.03.2026"/>
    <s v="19.03.2026"/>
    <s v="Oncology"/>
    <n v="179591"/>
    <s v="March"/>
    <n v="254712372982"/>
    <m/>
  </r>
  <r>
    <s v="KISUMU SPECIALIST"/>
    <n v="2003647"/>
    <n v="14902"/>
    <s v="Hudson Lukase"/>
    <n v="66"/>
    <x v="0"/>
    <s v="Male"/>
    <s v="Contributor"/>
    <s v="Ca Prostate"/>
    <x v="10"/>
    <s v="23.02.2026"/>
    <s v="23.02.2026"/>
    <s v="Oncology"/>
    <n v="57540"/>
    <s v="February "/>
    <m/>
    <m/>
  </r>
  <r>
    <s v="NAIROBI WEST HOSP"/>
    <n v="2506022"/>
    <n v="58697"/>
    <s v="John Gituuru "/>
    <n v="60"/>
    <x v="0"/>
    <s v="Male"/>
    <s v="Contributor"/>
    <s v="Ca prostate"/>
    <x v="10"/>
    <s v="23.03.2026"/>
    <s v="23.03.2026"/>
    <s v="Oncology"/>
    <n v="54000"/>
    <s v="March"/>
    <n v="254728323604"/>
    <m/>
  </r>
  <r>
    <s v="AGA KHAN -MOMBASA"/>
    <n v="2410079"/>
    <n v="53742"/>
    <s v="Michael Kashibe"/>
    <n v="64"/>
    <x v="0"/>
    <s v="Male"/>
    <s v="Contributor"/>
    <s v="Ca Prostate"/>
    <x v="10"/>
    <s v="24.02.2026"/>
    <s v="24.02.2026"/>
    <s v="Oncology"/>
    <n v="50512.85"/>
    <s v="February "/>
    <m/>
    <m/>
  </r>
  <r>
    <s v="KISUMU SPECIALISTS "/>
    <n v="201102"/>
    <n v="636"/>
    <s v="David Abiero "/>
    <n v="62"/>
    <x v="0"/>
    <s v="Male "/>
    <s v="Contributor"/>
    <s v="Ca Prostate"/>
    <x v="10"/>
    <s v="24.03.2026"/>
    <s v="24.03.2026"/>
    <s v="Oncology"/>
    <n v="31290"/>
    <s v="March"/>
    <n v="254721565523"/>
    <m/>
  </r>
  <r>
    <s v="ST LUKES O&amp;T"/>
    <n v="2015079"/>
    <n v="14150"/>
    <s v="Edward Kiptala"/>
    <n v="68"/>
    <x v="0"/>
    <s v="Male "/>
    <s v="Contributor"/>
    <s v="Ca Prostate"/>
    <x v="10"/>
    <s v="24.03.2026"/>
    <s v="24.03.2026"/>
    <s v="Oncology"/>
    <n v="224296"/>
    <s v="March"/>
    <n v="254722946435"/>
    <m/>
  </r>
  <r>
    <s v="THE NAIROBI HOSP"/>
    <n v="2002838"/>
    <n v="101225"/>
    <s v="Charles Mosocho"/>
    <n v="70"/>
    <x v="0"/>
    <s v="Male "/>
    <s v="Contributor"/>
    <s v="Ca Prostate"/>
    <x v="10"/>
    <s v="24.03.2026"/>
    <s v="24.03.2026"/>
    <s v="Oncology"/>
    <n v="89751"/>
    <s v="March"/>
    <n v="254711301243"/>
    <m/>
  </r>
  <r>
    <s v="ST LUKE O&amp;T"/>
    <n v="2001028"/>
    <n v="18492"/>
    <s v="Fredrick Gathigi"/>
    <n v="64"/>
    <x v="0"/>
    <s v="Male"/>
    <s v="Contributor"/>
    <s v="Ca Prostate"/>
    <x v="10"/>
    <s v="25.02.2026"/>
    <s v="25.02.2026"/>
    <s v="Oncology"/>
    <n v="105000"/>
    <s v="February "/>
    <m/>
    <m/>
  </r>
  <r>
    <s v="AGA KHAN KISUMU"/>
    <n v="2001788"/>
    <n v="18367"/>
    <s v="Joseph Kiptoo"/>
    <n v="66"/>
    <x v="0"/>
    <s v="Male"/>
    <s v="Contributor"/>
    <s v="Ca Prostate"/>
    <x v="10"/>
    <s v="26.01.2026"/>
    <s v="26.01.2026"/>
    <s v="Oncology"/>
    <n v="231101"/>
    <s v="January"/>
    <m/>
    <m/>
  </r>
  <r>
    <s v="THE NAIROBI HOSP"/>
    <n v="2019637"/>
    <n v="10170"/>
    <s v="Samson Omariba"/>
    <n v="64"/>
    <x v="0"/>
    <s v="Contributor"/>
    <s v="Contributor"/>
    <s v="Ca Prostate"/>
    <x v="10"/>
    <s v="26.02.2026-Oncology Package"/>
    <s v="26.02.2026"/>
    <s v="Oncology"/>
    <n v="46200"/>
    <s v="February "/>
    <m/>
    <m/>
  </r>
  <r>
    <s v="CANCER CARE KENYA"/>
    <n v="2000236"/>
    <n v="20756"/>
    <s v="Fredrick Onyango"/>
    <n v="69"/>
    <x v="0"/>
    <s v="Male"/>
    <s v="Contributor"/>
    <s v="Ca Prostate"/>
    <x v="10"/>
    <s v="27.02.2026"/>
    <s v="27.02.2026"/>
    <s v="Oncology"/>
    <n v="43033"/>
    <s v="February "/>
    <m/>
    <m/>
  </r>
  <r>
    <s v="CANCER CARE KENYA"/>
    <n v="2018773"/>
    <n v="21046"/>
    <s v="Joseph Kosen"/>
    <n v="59"/>
    <x v="0"/>
    <s v="Male"/>
    <s v="Contributor"/>
    <s v="Ca Prostate"/>
    <x v="10"/>
    <s v="27.02.2026"/>
    <s v="27.02.2026"/>
    <s v="Oncology"/>
    <n v="49477"/>
    <s v="February "/>
    <m/>
    <m/>
  </r>
  <r>
    <s v="CONSOLATA MATHARI"/>
    <n v="2504092"/>
    <n v="62534"/>
    <s v="Amos Wachira"/>
    <n v="58"/>
    <x v="0"/>
    <s v="Male"/>
    <s v="Contributor"/>
    <s v="Ca Prostate"/>
    <x v="10"/>
    <s v="27.02.2026"/>
    <s v="27.02.2026"/>
    <s v="Oncology"/>
    <n v="51486"/>
    <s v="February "/>
    <m/>
    <m/>
  </r>
  <r>
    <s v="PANDYA HOSP"/>
    <n v="2017389"/>
    <n v="31860"/>
    <s v="Albert Chege"/>
    <m/>
    <x v="2"/>
    <s v="Male"/>
    <s v="Contributor"/>
    <s v="Ca prostate"/>
    <x v="10"/>
    <s v="27.03.2026"/>
    <s v="27.03.2026"/>
    <s v="Oncology"/>
    <n v="41690"/>
    <s v="March"/>
    <n v="254724016624"/>
    <m/>
  </r>
  <r>
    <s v="BLOOM HOSP"/>
    <n v="2001971"/>
    <n v="12324"/>
    <s v="John Yator"/>
    <m/>
    <x v="2"/>
    <s v="Male"/>
    <s v="Contributor"/>
    <s v="Ca Prostate"/>
    <x v="10"/>
    <s v="28.01.2026"/>
    <s v="28.01.2026"/>
    <s v="Oncology"/>
    <n v="93029.3"/>
    <s v="January"/>
    <m/>
    <m/>
  </r>
  <r>
    <s v="MATER HOSP"/>
    <n v="2010446"/>
    <n v="100598"/>
    <s v="Genard Mitaru"/>
    <m/>
    <x v="2"/>
    <s v="Male 0721421817"/>
    <s v="Contributor"/>
    <s v="Ca Prostate"/>
    <x v="10"/>
    <s v="23.01.2026"/>
    <s v="28.01.2026"/>
    <n v="6"/>
    <n v="240964"/>
    <s v="January"/>
    <m/>
    <m/>
  </r>
  <r>
    <s v="ELGON VIEW"/>
    <n v="2001247"/>
    <n v="102797"/>
    <s v="Benard Were"/>
    <n v="66"/>
    <x v="0"/>
    <s v="Male"/>
    <s v="Contributor"/>
    <s v="Ca Prostate"/>
    <x v="10"/>
    <s v="28.01.2026-Hosp to bill through smart"/>
    <s v="28.01.2026"/>
    <s v="Oncology"/>
    <n v="37000"/>
    <s v="January"/>
    <m/>
    <m/>
  </r>
  <r>
    <s v="KISUMU SPECIALISTS "/>
    <n v="2003647"/>
    <n v="14902"/>
    <s v="Hudsonn Lukase"/>
    <n v="65"/>
    <x v="0"/>
    <s v="Male"/>
    <s v="Contributor"/>
    <s v="Ca Prostate"/>
    <x v="10"/>
    <s v="29.03.2026"/>
    <s v="29.03.2026"/>
    <s v="Oncology"/>
    <n v="57390"/>
    <s v="March"/>
    <n v="254722691221"/>
    <m/>
  </r>
  <r>
    <s v="Kisumu Specialist"/>
    <n v="2001102"/>
    <n v="636"/>
    <s v="David Abiero"/>
    <n v="81"/>
    <x v="3"/>
    <s v="Male"/>
    <s v="Contributor"/>
    <s v="Ca prostate"/>
    <x v="10"/>
    <s v="30.01.2026"/>
    <s v="30.01.2026"/>
    <s v="Oncology"/>
    <n v="70150"/>
    <s v="January"/>
    <m/>
    <m/>
  </r>
  <r>
    <s v="PANDYA HOSP"/>
    <n v="2001843"/>
    <n v="14127"/>
    <s v="Charles Lenjo"/>
    <n v="66"/>
    <x v="0"/>
    <s v="Male 0722694758"/>
    <s v="Contributor"/>
    <s v="Ca prostate"/>
    <x v="10"/>
    <s v="31.03.2026"/>
    <s v="31.03.2026"/>
    <s v="Oncology"/>
    <n v="91370"/>
    <s v="March"/>
    <n v="254720453324"/>
    <m/>
  </r>
  <r>
    <s v="KISUMU SPECIALISTS "/>
    <n v="2001102"/>
    <n v="636"/>
    <s v="David Abiero"/>
    <n v="82"/>
    <x v="3"/>
    <s v="Male "/>
    <s v="Contributor"/>
    <s v="Ca Prostate /active pangastritis /Left Leg Cellulitis"/>
    <x v="10"/>
    <s v="25.02.2026"/>
    <s v="02.03.2026"/>
    <n v="5"/>
    <n v="194191"/>
    <s v="March"/>
    <n v="254721629072"/>
    <m/>
  </r>
  <r>
    <s v="UHSF - NRH"/>
    <n v="2000086"/>
    <n v="17770"/>
    <s v="Maurice Angonga"/>
    <n v="72"/>
    <x v="0"/>
    <s v="Male"/>
    <s v="Contributor"/>
    <s v="Ca prostate /bph/htn/MI"/>
    <x v="10"/>
    <s v="18.02.2026"/>
    <s v="18.02.2026"/>
    <s v="Oncology"/>
    <n v="120268"/>
    <s v="February "/>
    <m/>
    <m/>
  </r>
  <r>
    <s v="BRISTOL PARK"/>
    <n v="2001321"/>
    <n v="9425"/>
    <s v="Antony Kieti "/>
    <n v="73"/>
    <x v="0"/>
    <s v="Male 0725678806"/>
    <s v="Contributor"/>
    <s v="ca prostate stage iv met/pressure sores/oral candidiasis"/>
    <x v="10"/>
    <s v="04.01.2026 DECEASED"/>
    <s v="11.01.2026"/>
    <n v="5"/>
    <n v="479902"/>
    <s v="January"/>
    <m/>
    <m/>
  </r>
  <r>
    <s v="AIC KIJABE "/>
    <n v="2003072"/>
    <n v="104118"/>
    <s v="Charles Kimani"/>
    <n v="65"/>
    <x v="0"/>
    <s v="Male 0724147435"/>
    <s v="Contributor"/>
    <s v="Ca Prostate with MET to spine/Anemia"/>
    <x v="10"/>
    <s v="24.03.2026 (sha-19,600.00)"/>
    <s v="27.03.2026"/>
    <n v="3"/>
    <n v="97284"/>
    <s v="March"/>
    <n v="254721775077"/>
    <m/>
  </r>
  <r>
    <s v="UHSF-DFMH"/>
    <n v="2506022"/>
    <n v="58697"/>
    <s v="John Gitucuru"/>
    <n v="60"/>
    <x v="0"/>
    <s v="Male"/>
    <s v="Contributor"/>
    <s v="Ca prostate/ renal cell ca"/>
    <x v="10"/>
    <s v="31.03.2026-Hosp billed as out patient"/>
    <s v="31.03.2026"/>
    <s v="Oncology"/>
    <n v="37190"/>
    <s v="March"/>
    <n v="254729861927"/>
    <m/>
  </r>
  <r>
    <s v="UHSF-DFMH"/>
    <n v="2001146"/>
    <n v="100300"/>
    <s v="Wilfred Makau"/>
    <n v="74"/>
    <x v="0"/>
    <s v="Male"/>
    <s v="Contributor"/>
    <s v="Ca prostate/ renal cell ca"/>
    <x v="10"/>
    <s v="31.03.2026-Hosp billed as out patient"/>
    <s v="31.03.2026"/>
    <s v="Oncology"/>
    <n v="57522.400000000001"/>
    <s v="March"/>
    <n v="254726386129"/>
    <m/>
  </r>
  <r>
    <s v="THE NAIROBI HOSP"/>
    <n v="2000181"/>
    <n v="18032"/>
    <s v="Charles Mukuru"/>
    <n v="67"/>
    <x v="0"/>
    <s v="Male"/>
    <s v="Contributor"/>
    <s v="Ca prostate/Abdominal pain"/>
    <x v="10"/>
    <s v="16.01.2026"/>
    <s v="16.01.2026"/>
    <s v="Oncology"/>
    <n v="48261"/>
    <s v="January"/>
    <m/>
    <m/>
  </r>
  <r>
    <s v="BLOOM HOSP"/>
    <n v="2017825"/>
    <n v="54844"/>
    <s v="Pythias Kilonzo"/>
    <n v="66"/>
    <x v="0"/>
    <s v="Male"/>
    <s v="Contributor"/>
    <s v="Ca prostate/dm/htn"/>
    <x v="10"/>
    <s v="15.01.2026"/>
    <s v="15.01.2026"/>
    <s v="Oncology"/>
    <n v="140578.70000000001"/>
    <s v="January"/>
    <m/>
    <m/>
  </r>
  <r>
    <s v="MATER HOSP"/>
    <n v="2000302"/>
    <n v="18333"/>
    <s v="Gervasio Kathenya "/>
    <n v="66"/>
    <x v="0"/>
    <s v="Male 0721278301"/>
    <s v="Contributor"/>
    <s v="Ca Prostate/dm/htn/uti/ severe dehydration"/>
    <x v="10"/>
    <s v="10.03.2026"/>
    <s v="14.03.2026"/>
    <n v="4"/>
    <n v="228034"/>
    <s v="March"/>
    <n v="254722422235"/>
    <m/>
  </r>
  <r>
    <s v="UHSF - NRH"/>
    <n v="2021923"/>
    <n v="56634"/>
    <s v="Musa Mbiti"/>
    <n v="62"/>
    <x v="0"/>
    <s v="Male"/>
    <s v="Contributor"/>
    <s v="Ca Prostate/htn"/>
    <x v="10"/>
    <s v="16.02.2026"/>
    <s v="16.02.2026"/>
    <s v="Day case"/>
    <n v="62121.5"/>
    <s v="February "/>
    <m/>
    <m/>
  </r>
  <r>
    <s v="SYNERGY CLINICS"/>
    <n v="2001006"/>
    <n v="18347"/>
    <s v="Nicasius Limbe"/>
    <n v="69"/>
    <x v="0"/>
    <s v="Male"/>
    <s v="Contributor"/>
    <s v="Ca Rectum"/>
    <x v="10"/>
    <s v="13.01.2026"/>
    <s v="13.01.2026"/>
    <s v="Oncology"/>
    <n v="22000"/>
    <s v="January"/>
    <m/>
    <m/>
  </r>
  <r>
    <s v="NAIROBI WEST HOSP"/>
    <n v="2006996"/>
    <n v="14842"/>
    <s v="Anna Nyamugura"/>
    <n v="62"/>
    <x v="0"/>
    <s v="Female "/>
    <s v="Spouse"/>
    <s v="Ca stomach"/>
    <x v="10"/>
    <s v="25.03.2026"/>
    <s v="25.03.2026"/>
    <s v="Oncology"/>
    <n v="28859.4"/>
    <s v="March"/>
    <n v="254722961245"/>
    <m/>
  </r>
  <r>
    <s v="NAIROBI WEST HOSP"/>
    <n v="2010960"/>
    <n v="64149"/>
    <s v="Monica Wairimu"/>
    <n v="57"/>
    <x v="0"/>
    <s v="Female"/>
    <s v="Spouse"/>
    <s v="Chest adenocarcinoma"/>
    <x v="10"/>
    <s v="23.03.2026"/>
    <s v="23.03.2026"/>
    <s v="Oncology"/>
    <n v="55000"/>
    <s v="March"/>
    <n v="254728323604"/>
    <m/>
  </r>
  <r>
    <s v="MATER HOSP"/>
    <n v="2407155"/>
    <n v="59414"/>
    <s v="Victoria Nduku"/>
    <n v="57"/>
    <x v="0"/>
    <s v="Female 0714211052"/>
    <s v="Spouse"/>
    <s v="Chondriuocarcinoma"/>
    <x v="10"/>
    <s v="18.02.2026 (Sha 89,600.00)"/>
    <s v="23.02.2026"/>
    <n v="5"/>
    <n v="444480.16"/>
    <s v="February "/>
    <m/>
    <m/>
  </r>
  <r>
    <s v="THE NAIROBI HOSP"/>
    <n v="2012299"/>
    <n v="16739"/>
    <s v="David Muriuki"/>
    <n v="65"/>
    <x v="0"/>
    <s v="Male"/>
    <s v="Contributor"/>
    <s v="CLL"/>
    <x v="10"/>
    <s v="30.03.2026"/>
    <s v="30.03.2026"/>
    <s v="Oncology"/>
    <n v="300655.8"/>
    <s v="March"/>
    <n v="254704150060"/>
    <m/>
  </r>
  <r>
    <s v="CONSOLATA MATHARI"/>
    <n v="2504092"/>
    <n v="62534"/>
    <s v="Amos Wachira"/>
    <n v="58"/>
    <x v="0"/>
    <s v="Male 0743419124"/>
    <s v="Contributor"/>
    <s v="Gastric cancer"/>
    <x v="10"/>
    <s v="20.03.2026"/>
    <s v="20.03.2026"/>
    <s v="Oncology"/>
    <n v="22909"/>
    <s v="March"/>
    <n v="254721715581"/>
    <m/>
  </r>
  <r>
    <s v="KUTRRH"/>
    <n v="2005082"/>
    <n v="101741"/>
    <s v="Margaret Adhiambo"/>
    <n v="69"/>
    <x v="0"/>
    <s v="Female 0722306733"/>
    <s v="Spouse"/>
    <s v="left carotid body tumour /heart failure /hypoalbuminemia &amp; hypomagnesemia"/>
    <x v="10"/>
    <s v="03.02.2026 SHA 311,360.00"/>
    <s v="23.03.2026"/>
    <n v="48"/>
    <n v="722695"/>
    <s v="March"/>
    <n v="254722828789"/>
    <m/>
  </r>
  <r>
    <s v="Nairobi Hosp"/>
    <n v="2004761"/>
    <n v="31664"/>
    <s v="Jane Teresa Kavita"/>
    <n v="63"/>
    <x v="0"/>
    <s v="Female 0703972911"/>
    <s v="Spouse"/>
    <s v="Lt breast invasive ductal carcinoma"/>
    <x v="10"/>
    <s v="28.01.2026 (SHA Ksh 168,400.00)"/>
    <s v="31.01.2026"/>
    <n v="2"/>
    <n v="433492.51"/>
    <s v="January"/>
    <m/>
    <m/>
  </r>
  <r>
    <s v="THE NAIROBI HOSP"/>
    <n v="2004761"/>
    <n v="31664"/>
    <s v="Jane Teresa Kavua"/>
    <n v="54"/>
    <x v="0"/>
    <s v="Female 0703972911"/>
    <s v="Spouse"/>
    <s v="Lt ca breast"/>
    <x v="10"/>
    <s v="16.03.2026"/>
    <s v="17.03.2026"/>
    <n v="1"/>
    <n v="363005"/>
    <s v="March"/>
    <n v="254722679315"/>
    <m/>
  </r>
  <r>
    <s v="CANCER CARE KENYA"/>
    <n v="2017384"/>
    <n v="53142"/>
    <s v="Crispo Kiruja"/>
    <n v="63"/>
    <x v="0"/>
    <s v="Male"/>
    <s v="Contributor"/>
    <s v="Lymphoma"/>
    <x v="10"/>
    <s v="19.02.2026"/>
    <s v="19.02.2026"/>
    <s v="Oncology"/>
    <n v="75850"/>
    <s v="February "/>
    <m/>
    <m/>
  </r>
  <r>
    <s v="UHSF -DFMH"/>
    <n v="2505061"/>
    <n v="59211"/>
    <s v="Kipkori Kendagor"/>
    <n v="70"/>
    <x v="0"/>
    <s v="Male"/>
    <s v="Contributor"/>
    <s v="Lymphoma/aki/Intractable vomiting"/>
    <x v="10"/>
    <s v="21.01.2026"/>
    <s v="21.01.2026"/>
    <s v="Day case"/>
    <n v="33725"/>
    <s v="January"/>
    <m/>
    <m/>
  </r>
  <r>
    <s v="NAIROBI WEST HOSP"/>
    <n v="2008867"/>
    <n v="101493"/>
    <s v="Beatrice Lugongo"/>
    <n v="62"/>
    <x v="0"/>
    <s v="Female"/>
    <s v="Spouse"/>
    <s v="Malignant Melanoma"/>
    <x v="10"/>
    <s v="08.01.2026"/>
    <s v="08.01.2026"/>
    <s v="Oncology"/>
    <n v="364643"/>
    <s v="January"/>
    <m/>
    <m/>
  </r>
  <r>
    <s v="NAIROBI WEST HOSP"/>
    <n v="2008867"/>
    <n v="101493"/>
    <s v="Beatrice Lugongo"/>
    <n v="62"/>
    <x v="0"/>
    <s v="Female"/>
    <s v="Spouse"/>
    <s v="Malignant Melanoma"/>
    <x v="10"/>
    <s v="29.01.2026"/>
    <s v="29.01.2026"/>
    <s v="Oncology"/>
    <n v="24526.6"/>
    <s v="January"/>
    <m/>
    <m/>
  </r>
  <r>
    <s v="UHSF - NRH"/>
    <n v="2008867"/>
    <n v="101493"/>
    <s v="Beatrice Lugongo "/>
    <n v="62"/>
    <x v="0"/>
    <s v="Female 0722946435"/>
    <s v="Spouse"/>
    <s v="Malignant Melanoma of lower limb including Hip"/>
    <x v="10"/>
    <s v="04.02.2026"/>
    <s v="16.02.2026"/>
    <n v="12"/>
    <n v="357723"/>
    <s v="February "/>
    <m/>
    <m/>
  </r>
  <r>
    <s v="UHSF - NRH"/>
    <n v="2022358"/>
    <n v="18774"/>
    <s v="David Mcokech"/>
    <n v="60"/>
    <x v="0"/>
    <s v="Male"/>
    <s v="Contributor"/>
    <s v="Malignant neoplasm of prostate"/>
    <x v="10"/>
    <s v="04.02.2026"/>
    <s v="06.02.2026"/>
    <n v="5"/>
    <n v="155922.47"/>
    <s v="February "/>
    <m/>
    <m/>
  </r>
  <r>
    <s v="THE NAIROBI HOSP"/>
    <n v="2012118"/>
    <n v="18259"/>
    <s v="Scholastica Nzisa"/>
    <n v="69"/>
    <x v="0"/>
    <s v="Female"/>
    <s v="Spouse"/>
    <s v="Malignant neoplasm oxary"/>
    <x v="10"/>
    <s v="26.02.2026-Belated -Hosp to bill through smart"/>
    <s v="26.02.2026"/>
    <s v="Oncology"/>
    <n v="122"/>
    <s v="February "/>
    <m/>
    <m/>
  </r>
  <r>
    <s v="NAIROBI WEST HOSP"/>
    <n v="2007795"/>
    <n v="15404"/>
    <s v="Mary Mwathimba"/>
    <n v="63"/>
    <x v="0"/>
    <s v="Female"/>
    <s v="Spouse"/>
    <s v="Melanoma"/>
    <x v="10"/>
    <s v="11.02.2026"/>
    <s v="11.02.2026"/>
    <s v="Oncology"/>
    <n v="471646.92"/>
    <s v="February "/>
    <m/>
    <m/>
  </r>
  <r>
    <s v="AGA KAHN KISUMU"/>
    <n v="2002401"/>
    <n v="15577"/>
    <s v="Dalmas Ariyo"/>
    <n v="66"/>
    <x v="0"/>
    <s v="Male"/>
    <s v="Contributor"/>
    <s v="Met Ca prostate"/>
    <x v="10"/>
    <s v="10.03.2026"/>
    <s v="10.03.2026"/>
    <s v="Oncology"/>
    <n v="80490"/>
    <s v="March"/>
    <n v="254722874333"/>
    <m/>
  </r>
  <r>
    <s v="LIBERTY CANCER"/>
    <n v="2001244"/>
    <n v="3692"/>
    <s v="Samuel Njuguna"/>
    <n v="77"/>
    <x v="0"/>
    <s v="Male"/>
    <s v="Contributor"/>
    <s v="Met ca prostate"/>
    <x v="10"/>
    <s v="12.03.2026Hosp to bill through smart"/>
    <s v="12.03.2026"/>
    <s v="Oncology"/>
    <n v="35954"/>
    <s v="March"/>
    <n v="254722694758"/>
    <m/>
  </r>
  <r>
    <s v="AGA KHAN -MOMBASA"/>
    <n v="2014720"/>
    <n v="37099"/>
    <s v="Jane Ayuma"/>
    <n v="67"/>
    <x v="0"/>
    <s v="Female 0722717611"/>
    <s v="Spouse"/>
    <s v="Metastatic ca breast"/>
    <x v="10"/>
    <s v="02.02.2026"/>
    <s v="04.02.2026"/>
    <n v="2"/>
    <n v="143848"/>
    <s v="February "/>
    <m/>
    <m/>
  </r>
  <r>
    <s v="THE KAREN HOSP"/>
    <n v="2009023"/>
    <n v="18240"/>
    <s v="Emily Melil"/>
    <n v="42"/>
    <x v="1"/>
    <s v="Female "/>
    <s v="Spouse"/>
    <s v="Metastatic ca cervix"/>
    <x v="10"/>
    <s v="18.02.2026"/>
    <s v="19.02.2026"/>
    <n v="1"/>
    <n v="311709.8"/>
    <s v="February "/>
    <m/>
    <m/>
  </r>
  <r>
    <s v="PANDYA HOSP"/>
    <n v="2001843"/>
    <n v="14127"/>
    <s v="Charles Lenjo"/>
    <n v="68"/>
    <x v="0"/>
    <s v="Male"/>
    <s v="Contributor"/>
    <s v="Metastatic Ca Prostate"/>
    <x v="10"/>
    <s v="10.02.2026"/>
    <s v="10.02.2026"/>
    <s v="Oncology"/>
    <n v="46620"/>
    <s v="February "/>
    <m/>
    <m/>
  </r>
  <r>
    <s v="THE NAIROBI HOSP"/>
    <n v="2015319"/>
    <n v="18635"/>
    <s v="Isaac Muchendu "/>
    <n v="63"/>
    <x v="0"/>
    <s v="Male "/>
    <s v="Contributor"/>
    <s v="Metastatic NET"/>
    <x v="10"/>
    <s v="05.02.2026"/>
    <s v="08.02.2026"/>
    <n v="3"/>
    <n v="353603"/>
    <s v="February "/>
    <m/>
    <m/>
  </r>
  <r>
    <s v="THE NAIROBI HOSP"/>
    <n v="2015319"/>
    <n v="18635"/>
    <s v="Isaac Muchendu"/>
    <n v="63"/>
    <x v="0"/>
    <s v="Male"/>
    <s v="Contributor"/>
    <s v="Metastatic net"/>
    <x v="10"/>
    <s v="18.03.2026"/>
    <s v="18.03.2026"/>
    <s v="Oncology"/>
    <n v="122824.43"/>
    <s v="March"/>
    <n v="254707475757"/>
    <m/>
  </r>
  <r>
    <s v="THE NAIROBI HOSP"/>
    <n v="2011874"/>
    <n v="18209"/>
    <s v="Flora Maghanga"/>
    <n v="59"/>
    <x v="0"/>
    <s v="Female"/>
    <s v="Spouse"/>
    <s v="Multiple Myeloma"/>
    <x v="10"/>
    <s v="21.01.2026"/>
    <s v="21.01.2026"/>
    <s v="Oncology"/>
    <n v="55825"/>
    <s v="January"/>
    <m/>
    <m/>
  </r>
  <r>
    <s v="ST LUKES O&amp;T"/>
    <n v="2407352"/>
    <n v="11577"/>
    <s v="Lenah Jepkoech"/>
    <n v="63"/>
    <x v="0"/>
    <s v="Female"/>
    <s v="Spouse"/>
    <s v="Neck mass"/>
    <x v="10"/>
    <s v="29.01.2026"/>
    <s v="29.01.2026"/>
    <s v="Day case"/>
    <n v="239739"/>
    <s v="January"/>
    <m/>
    <m/>
  </r>
  <r>
    <s v="THE NAIROBI HOSP"/>
    <n v="2012118"/>
    <n v="18259"/>
    <s v="Scholastica Mawira"/>
    <n v="63"/>
    <x v="0"/>
    <s v="Male 0728697352"/>
    <s v="Spouse"/>
    <s v="Ovarian Ca"/>
    <x v="10"/>
    <s v="19.03.2026 (sha 32,764.00)"/>
    <s v="19.03.2026"/>
    <s v="Oncology"/>
    <n v="12000"/>
    <s v="March"/>
    <n v="254721743748"/>
    <m/>
  </r>
  <r>
    <s v="THE NAIROBI HOSP"/>
    <n v="2012118"/>
    <n v="18259"/>
    <s v="Scholastica Nzisa"/>
    <n v="63"/>
    <x v="0"/>
    <s v="Female"/>
    <s v="Spouse"/>
    <s v="Ovarian ca"/>
    <x v="10"/>
    <s v="27.02.2026"/>
    <s v="27.02.2026"/>
    <s v="Oncology"/>
    <n v="51566"/>
    <s v="February "/>
    <m/>
    <m/>
  </r>
  <r>
    <s v="THE NAIROBI HOSP"/>
    <n v="2012118"/>
    <n v="18259"/>
    <s v="Scholastica Nzisa"/>
    <n v="63"/>
    <x v="0"/>
    <s v="Female"/>
    <s v="Spouse"/>
    <s v="Ovarian cancer"/>
    <x v="10"/>
    <s v="08.01.2026"/>
    <s v="08.01.2026"/>
    <s v="Oncology"/>
    <n v="12000"/>
    <s v="January"/>
    <m/>
    <m/>
  </r>
  <r>
    <s v="NAIROBI WEST HOSP"/>
    <n v="2409102"/>
    <n v="83166"/>
    <s v="Maureen Wanjeri"/>
    <n v="35"/>
    <x v="1"/>
    <s v="Female 0722458498"/>
    <s v="Spouse"/>
    <s v="Pancreatic Ca"/>
    <x v="10"/>
    <s v="17.01.2026"/>
    <s v="23.01.2026"/>
    <n v="6"/>
    <n v="233533"/>
    <s v="January"/>
    <m/>
    <m/>
  </r>
  <r>
    <s v="MATER HOSP"/>
    <n v="2021362"/>
    <n v="57442"/>
    <s v="Francis Manza"/>
    <n v="61"/>
    <x v="0"/>
    <s v="Male 0720858295"/>
    <s v="Contributor"/>
    <s v="Papillary thyroid caarcinoma"/>
    <x v="10"/>
    <s v="24.02.2026 (sha 134,400.00("/>
    <s v="28.02.2026"/>
    <n v="4"/>
    <n v="150512.9"/>
    <s v="February "/>
    <m/>
    <m/>
  </r>
  <r>
    <s v="CANCER CARE KENYA"/>
    <n v="2010446"/>
    <n v="100598"/>
    <s v="Genard mitaru"/>
    <n v="68"/>
    <x v="0"/>
    <s v="Male"/>
    <s v="Contributor"/>
    <s v="Prostate  CA"/>
    <x v="10"/>
    <s v="17.03.2026 Hospital to Bill through SMART"/>
    <s v="17.03.2026"/>
    <s v="Oncology"/>
    <n v="46600"/>
    <s v="March"/>
    <n v="254722432463"/>
    <m/>
  </r>
  <r>
    <s v="ST LUKES O&amp;T"/>
    <n v="2001028"/>
    <n v="18492"/>
    <s v="Fredrick Gachanga "/>
    <n v="64"/>
    <x v="0"/>
    <s v="Male "/>
    <s v="Contributor "/>
    <s v="Prostate Adenocarcinoma"/>
    <x v="10"/>
    <s v="21.01.2026"/>
    <s v="21.01.2026"/>
    <s v="Oncology"/>
    <n v="150000"/>
    <s v="January"/>
    <m/>
    <m/>
  </r>
  <r>
    <s v="UHSF- DFMH"/>
    <n v="2003191"/>
    <n v="54549"/>
    <s v="Mwanza Mutiso"/>
    <n v="65"/>
    <x v="0"/>
    <s v="Male"/>
    <s v="Contributor"/>
    <s v="Prostate Ca in htn/dm"/>
    <x v="10"/>
    <s v="03.02.2026-Hosp to bill through smart"/>
    <s v="03.02.2026"/>
    <s v="Oncology"/>
    <n v="139182.6"/>
    <s v="February "/>
    <m/>
    <m/>
  </r>
  <r>
    <s v="NAIROBI WEST HOSP"/>
    <n v="2000086"/>
    <n v="17770"/>
    <s v="Maurice Angonga"/>
    <n v="72"/>
    <x v="0"/>
    <s v="Male 0714485174"/>
    <s v="Contributor"/>
    <s v="Prostate Ca/htn/CVA/MI"/>
    <x v="10"/>
    <s v="07.01.2026"/>
    <s v="22.01.2026"/>
    <n v="15"/>
    <n v="612546"/>
    <s v="January"/>
    <m/>
    <m/>
  </r>
  <r>
    <s v="NAIROBI WEST HOSP"/>
    <n v="2001006"/>
    <n v="18347"/>
    <s v="Nicasius Limbe "/>
    <n v="60"/>
    <x v="0"/>
    <s v="Male"/>
    <s v="Contributor"/>
    <s v="Radiation Prostatis/ Anaemia/ca prostate"/>
    <x v="10"/>
    <s v="12.02.2026 "/>
    <s v="19.02.2026"/>
    <n v="7"/>
    <n v="280720.21999999997"/>
    <s v="February "/>
    <m/>
    <m/>
  </r>
  <r>
    <s v="KNH"/>
    <n v="2004274"/>
    <n v="12673"/>
    <s v="Leonard Onyango"/>
    <n v="68"/>
    <x v="0"/>
    <s v="Male 0721334599"/>
    <s v="Contributor"/>
    <s v="Rectal adenocarcinoma"/>
    <x v="10"/>
    <s v="22.01.2026"/>
    <s v="30.01.2026"/>
    <n v="8"/>
    <n v="379882"/>
    <s v="January"/>
    <m/>
    <m/>
  </r>
  <r>
    <s v="UHSF -DFMH"/>
    <n v="2018374"/>
    <n v="64248"/>
    <s v="Grace Chimo"/>
    <n v="55"/>
    <x v="0"/>
    <s v="Female"/>
    <s v="Spouse"/>
    <s v="Rectal Ca"/>
    <x v="10"/>
    <s v="22.01.2026"/>
    <s v="22.01.2026"/>
    <s v="Oncology"/>
    <n v="40416.43"/>
    <s v="January"/>
    <m/>
    <m/>
  </r>
  <r>
    <s v="THE KAREN HOSP"/>
    <n v="2009023"/>
    <n v="18240"/>
    <s v="Emily Nenkambi"/>
    <n v="41"/>
    <x v="1"/>
    <s v="Female"/>
    <s v="Spouse"/>
    <s v="Retroperitineal Mass"/>
    <x v="10"/>
    <s v="22.01.2026"/>
    <s v="22.01.2026"/>
    <s v="Day case"/>
    <n v="100000"/>
    <s v="January"/>
    <m/>
    <m/>
  </r>
  <r>
    <s v="NAIROBI WEST HOSP"/>
    <n v="2007795"/>
    <n v="15404"/>
    <s v="Mary Mwathimba"/>
    <n v="63"/>
    <x v="0"/>
    <s v="Female"/>
    <s v="Spouse"/>
    <s v="Rt foot acral melanoma"/>
    <x v="10"/>
    <s v="21.01.2026"/>
    <s v="21.01.2026"/>
    <s v="Oncology"/>
    <n v="486113.12"/>
    <s v="January"/>
    <m/>
    <m/>
  </r>
  <r>
    <s v="UHSF -DFMH"/>
    <n v="2011004"/>
    <n v="101184"/>
    <s v="Eunice Wanjiru"/>
    <n v="64"/>
    <x v="0"/>
    <s v="Female 0722305089"/>
    <s v="Spouse"/>
    <s v="Squamous Carcinoma Of The Cervix"/>
    <x v="10"/>
    <s v="19.01.2026"/>
    <s v="22.01.2026"/>
    <n v="3"/>
    <n v="52351"/>
    <s v="January"/>
    <m/>
    <m/>
  </r>
  <r>
    <s v="CANCER CARE KENYA"/>
    <n v="2009023"/>
    <n v="18240"/>
    <s v="Emily Melil"/>
    <n v="42"/>
    <x v="1"/>
    <s v="Female"/>
    <s v="Spouse"/>
    <s v="Squamous cell Ca"/>
    <x v="10"/>
    <s v="11.02.2026"/>
    <s v="11.02.2026"/>
    <s v="Oncology"/>
    <n v="75850"/>
    <s v="February "/>
    <m/>
    <m/>
  </r>
  <r>
    <s v="ST LUKES O&amp;T"/>
    <n v="2503065"/>
    <n v="59127"/>
    <s v="Japhet kirui"/>
    <n v="59"/>
    <x v="0"/>
    <s v="Male  0716525060"/>
    <s v="Contributor"/>
    <s v="Thoracic spine tumour"/>
    <x v="10"/>
    <s v="01.01.2026"/>
    <s v="05.01.2026"/>
    <n v="4"/>
    <n v="165234"/>
    <s v="January"/>
    <m/>
    <m/>
  </r>
  <r>
    <s v="KNH"/>
    <n v="2014301"/>
    <n v="55303"/>
    <s v="Hamza Mohamed "/>
    <n v="14"/>
    <x v="2"/>
    <s v="Male 0722224393"/>
    <s v="Child "/>
    <s v="Acute promyelocytic leukemia (SHA- Ksh.132,250.00)"/>
    <x v="10"/>
    <s v="06.01.2026-Belated -billed through smart on 02.02.26"/>
    <s v="02.02.2026"/>
    <n v="28"/>
    <n v="728082"/>
    <s v="February "/>
    <m/>
    <m/>
  </r>
  <r>
    <s v="AGA KHAN MOMBASA"/>
    <n v="2014720"/>
    <n v="37099"/>
    <s v="Jane Ayuma "/>
    <n v="67"/>
    <x v="0"/>
    <s v="Female "/>
    <s v="Spouse"/>
    <s v="Ca BREAST "/>
    <x v="10"/>
    <s v="05.01.2026"/>
    <s v="05.01.2026"/>
    <s v="Oncology"/>
    <n v="50527.98"/>
    <s v="January"/>
    <m/>
    <m/>
  </r>
  <r>
    <s v="CANCER CARE KENYA"/>
    <n v="2009023"/>
    <n v="18240"/>
    <s v="Emily Melil"/>
    <n v="42"/>
    <x v="1"/>
    <s v="Female "/>
    <s v="Spouse"/>
    <s v="Ca Cervix "/>
    <x v="10"/>
    <s v="17.03.2026"/>
    <s v="17.03.2026"/>
    <s v="Oncology"/>
    <n v="154500"/>
    <s v="March"/>
    <n v="254724074168"/>
    <m/>
  </r>
  <r>
    <s v="KUTRRH"/>
    <n v="2016144"/>
    <n v="57112"/>
    <s v="Marieta Nduge "/>
    <n v="58"/>
    <x v="0"/>
    <s v="Female "/>
    <s v="Spouse "/>
    <s v="Ca cervix "/>
    <x v="10"/>
    <s v="18.02.2026-Hosp to bill through smart"/>
    <s v="18.02.2026"/>
    <s v="Oncology"/>
    <n v="68500"/>
    <s v="February "/>
    <m/>
    <m/>
  </r>
  <r>
    <s v="NAIROBI WEST HOSP"/>
    <n v="2502192"/>
    <n v="104817"/>
    <s v="Joseph Njehia "/>
    <n v="60"/>
    <x v="0"/>
    <s v="Male"/>
    <s v="Contributor"/>
    <s v="Ca Gastric "/>
    <x v="10"/>
    <s v="06.01.2026"/>
    <s v="06.01.2026"/>
    <s v="Oncology"/>
    <n v="47992"/>
    <s v="January"/>
    <m/>
    <m/>
  </r>
  <r>
    <s v="KNH"/>
    <n v="2002192"/>
    <n v="104817"/>
    <s v="Joseph Njehia"/>
    <n v="61"/>
    <x v="0"/>
    <s v="Male 0724329107"/>
    <s v="Contributor"/>
    <s v="Ca Gastric "/>
    <x v="10"/>
    <s v="04.03.2026(Sha 134,400.00"/>
    <s v="14.03.2026"/>
    <n v="10"/>
    <n v="394307"/>
    <s v="March"/>
    <n v="254721729511"/>
    <m/>
  </r>
  <r>
    <s v="BLOOM HOSP"/>
    <n v="2016395"/>
    <n v="56269"/>
    <s v="Sylvester Kiplangat"/>
    <n v="62"/>
    <x v="0"/>
    <s v="Male 0720336789"/>
    <s v="Contributor"/>
    <s v="Ca Lung "/>
    <x v="10"/>
    <s v="01.01.2026"/>
    <s v="03.01.2026"/>
    <n v="2"/>
    <n v="66007.199999999997"/>
    <s v="January"/>
    <m/>
    <m/>
  </r>
  <r>
    <s v="NAIROBI WEST HOSP"/>
    <n v="2018734"/>
    <n v="64401"/>
    <s v="Lojorei Eka"/>
    <n v="61"/>
    <x v="0"/>
    <s v="Male "/>
    <s v="Contributor"/>
    <s v="Ca Oesophagus "/>
    <x v="10"/>
    <s v="03.03.2026"/>
    <s v="03.03.2026"/>
    <s v="Oncology"/>
    <n v="27000"/>
    <s v="March"/>
    <n v="254718134262"/>
    <m/>
  </r>
  <r>
    <s v="ST LUKE O&amp;T"/>
    <n v="2015079"/>
    <n v="14150"/>
    <s v="Edward Langat"/>
    <n v="68"/>
    <x v="0"/>
    <s v="Male"/>
    <s v="Contributor"/>
    <s v="Ca Porstate "/>
    <x v="10"/>
    <s v="02.02.2026"/>
    <s v="02.02.2026"/>
    <s v="Oncology"/>
    <n v="161463"/>
    <s v="February "/>
    <m/>
    <m/>
  </r>
  <r>
    <s v="BLOOM HOSP"/>
    <n v="2001971"/>
    <n v="12324"/>
    <s v="John Chemitei"/>
    <n v="67"/>
    <x v="0"/>
    <s v="Male 0721446037"/>
    <s v="Contributor"/>
    <s v="Ca Prostate "/>
    <x v="10"/>
    <s v="06.01.2026"/>
    <s v="07.01.2026"/>
    <n v="1"/>
    <n v="98666"/>
    <s v="January"/>
    <m/>
    <m/>
  </r>
  <r>
    <s v="CANCER CARE KENYA"/>
    <n v="2000038"/>
    <n v="20565"/>
    <s v="Henry Onyango"/>
    <n v="71"/>
    <x v="0"/>
    <s v="Male "/>
    <s v="Contributor "/>
    <s v="Ca prostate "/>
    <x v="10"/>
    <s v="07.03.2026"/>
    <s v="07.03.2026"/>
    <s v="Oncology"/>
    <n v="80625"/>
    <s v="March"/>
    <n v="254722525808"/>
    <m/>
  </r>
  <r>
    <s v="NAIROBI WEST HOSP"/>
    <n v="2506022"/>
    <n v="58697"/>
    <s v="John Gituuru"/>
    <n v="60"/>
    <x v="0"/>
    <s v="Male"/>
    <s v="Contributor"/>
    <s v="Ca Prostate "/>
    <x v="10"/>
    <s v="13.02.2026 Oncology package -SHA(42,900.00)"/>
    <s v="13.02.2026"/>
    <s v="Oncology"/>
    <n v="62100"/>
    <s v="February "/>
    <m/>
    <m/>
  </r>
  <r>
    <s v="ST LUKE O&amp;T"/>
    <n v="2503065"/>
    <n v="59127"/>
    <s v="Japhet Kirui"/>
    <n v="59"/>
    <x v="0"/>
    <s v="Male"/>
    <s v="Contributor"/>
    <s v="Ca PROSTATE "/>
    <x v="10"/>
    <s v="13.02.2026"/>
    <s v="13.02.2026"/>
    <s v="Oncology"/>
    <n v="147840"/>
    <s v="February "/>
    <m/>
    <m/>
  </r>
  <r>
    <s v="UHSF-NRH"/>
    <n v="2021923"/>
    <n v="56634"/>
    <s v="Musa Mbiti "/>
    <n v="60"/>
    <x v="0"/>
    <s v="Male"/>
    <s v="Contributor"/>
    <s v="Ca Prostate "/>
    <x v="10"/>
    <s v="17.03.2026"/>
    <s v="17.03.2026"/>
    <s v="Oncology"/>
    <n v="51899.8"/>
    <s v="March"/>
    <n v="254723908946"/>
    <m/>
  </r>
  <r>
    <s v="BISHOP KIOKO"/>
    <n v="2022001"/>
    <n v="16631"/>
    <s v="Priscilla Gacheri "/>
    <n v="58"/>
    <x v="0"/>
    <s v="Female "/>
    <s v="Spouse"/>
    <s v="Cancer of cervix "/>
    <x v="10"/>
    <s v="02.01.2026"/>
    <s v="02.01.2026"/>
    <n v="1"/>
    <n v="30745.25"/>
    <s v="January"/>
    <m/>
    <m/>
  </r>
  <r>
    <s v="UHSF - NRH"/>
    <n v="2505061"/>
    <n v="59211"/>
    <s v="Kipkorir Kandagor "/>
    <n v="59"/>
    <x v="0"/>
    <s v="Male 0711902236"/>
    <s v="Contributor"/>
    <s v="B-Cell Lymphoma /AKI/Pleural Effusion "/>
    <x v="10"/>
    <s v="02.01.2026-Deceased "/>
    <s v="01.02.2026"/>
    <n v="30"/>
    <n v="535449.43999999994"/>
    <s v="February "/>
    <m/>
    <m/>
  </r>
  <r>
    <s v="STARKEY HEARING TECH"/>
    <n v="2017718"/>
    <n v="54090"/>
    <s v="Patrick Adera"/>
    <n v="65"/>
    <x v="0"/>
    <s v="Male"/>
    <s v="Contributor"/>
    <s v="Anterior benign paroxysmal"/>
    <x v="6"/>
    <s v="17.03.2026Billed through smart on 16.03.2026"/>
    <s v="17.03.2026"/>
    <s v="Hearing aid"/>
    <n v="26000"/>
    <s v="March"/>
    <n v="254716105516"/>
    <m/>
  </r>
  <r>
    <s v="DR AGARWALS"/>
    <n v="2410135"/>
    <n v="86799"/>
    <s v="Eucabeth Chelangat"/>
    <n v="35"/>
    <x v="1"/>
    <s v="Female"/>
    <s v="Spouse"/>
    <s v="Bilateral dry eye syndrome"/>
    <x v="6"/>
    <s v="13.03.2026Billed through smart on 12.03.26"/>
    <s v="13.03.2026"/>
    <s v="Ophthalmology"/>
    <n v="120000"/>
    <s v="March"/>
    <n v="254722802966"/>
    <m/>
  </r>
  <r>
    <s v="MTRH"/>
    <n v="2022544"/>
    <n v="103364"/>
    <s v="Rosali Jemeli"/>
    <n v="60"/>
    <x v="0"/>
    <s v="Female"/>
    <s v="Spouse"/>
    <s v="Branch teririal vein occlusion"/>
    <x v="6"/>
    <s v="30.01.2026"/>
    <s v="30.01.2026"/>
    <s v="Ophthalmology"/>
    <n v="16048.06"/>
    <s v="January"/>
    <m/>
    <m/>
  </r>
  <r>
    <s v="DR AGARWALS"/>
    <n v="2001267"/>
    <n v="3633"/>
    <s v="John Ndungu"/>
    <n v="77"/>
    <x v="0"/>
    <s v="Male"/>
    <s v="Contributor"/>
    <s v="Cataract"/>
    <x v="6"/>
    <s v="06.02.2026"/>
    <s v="06.02.2026"/>
    <s v="Ophthalmology"/>
    <n v="155000"/>
    <s v="February "/>
    <m/>
    <m/>
  </r>
  <r>
    <s v="DR AGARWALS"/>
    <n v="2002878"/>
    <n v="17707"/>
    <s v="Damian Okwaro"/>
    <n v="67"/>
    <x v="0"/>
    <s v="Male"/>
    <s v="Contributor"/>
    <s v="Cataract"/>
    <x v="6"/>
    <s v="16.01.2026"/>
    <s v="16.01.2026"/>
    <s v="Ophthalmology"/>
    <n v="160000"/>
    <s v="January"/>
    <m/>
    <m/>
  </r>
  <r>
    <s v="TALA HOSP"/>
    <n v="2019633"/>
    <n v="42684"/>
    <s v="Elizabeth Thuki"/>
    <n v="63"/>
    <x v="0"/>
    <s v="Female"/>
    <s v="Contributor"/>
    <s v="Cataract"/>
    <x v="6"/>
    <s v="19.02.2026-Hosp to bill through smart"/>
    <s v="19.02.2026"/>
    <s v="Ophthalmology"/>
    <n v="60000"/>
    <s v="February "/>
    <m/>
    <m/>
  </r>
  <r>
    <s v="DR AGARWALS"/>
    <n v="2002878"/>
    <n v="17707"/>
    <s v="Damian Okwaro"/>
    <n v="68"/>
    <x v="0"/>
    <s v="Male"/>
    <s v="Contributor"/>
    <s v="Cataract"/>
    <x v="6"/>
    <s v="21.01.2026"/>
    <s v="21.01.2026"/>
    <s v="Ophthalmology"/>
    <n v="160000"/>
    <s v="January"/>
    <m/>
    <m/>
  </r>
  <r>
    <s v="LIONS SIGHT FIRST EYE"/>
    <n v="2009360"/>
    <n v="17794"/>
    <s v="Catherine Wanjiku"/>
    <n v="66"/>
    <x v="0"/>
    <s v="Female"/>
    <s v="Spouse"/>
    <s v="Cataract"/>
    <x v="6"/>
    <s v="22.01.2026"/>
    <s v="22.01.2026"/>
    <s v="Opthalmology"/>
    <n v="110000"/>
    <s v="January"/>
    <m/>
    <m/>
  </r>
  <r>
    <s v="LIONS SIGHT FIRST EYE"/>
    <n v="2002666"/>
    <n v="50731"/>
    <s v="Christine Karanja"/>
    <n v="59"/>
    <x v="0"/>
    <s v="Female"/>
    <s v="Contributor"/>
    <s v="Cataract"/>
    <x v="6"/>
    <s v="26.02.2026-Billed through smart on 25.02.26"/>
    <s v="26.02.2026"/>
    <s v="Ophthalmology"/>
    <n v="110000"/>
    <s v="February "/>
    <m/>
    <m/>
  </r>
  <r>
    <s v="NANYUKI COTTAGE"/>
    <n v="2023807"/>
    <n v="31891"/>
    <s v="Agnes Wanjiku"/>
    <n v="64"/>
    <x v="0"/>
    <s v="Female"/>
    <s v="Spouse"/>
    <s v="Cataract"/>
    <x v="6"/>
    <s v="28.02.2026"/>
    <s v="28.02.2026"/>
    <s v="Ophthalmology"/>
    <n v="71143"/>
    <s v="February "/>
    <m/>
    <m/>
  </r>
  <r>
    <s v="LIONS SIGHT FIRST EYE"/>
    <n v="2007595"/>
    <n v="17708"/>
    <s v="Nancy Macharia"/>
    <m/>
    <x v="2"/>
    <s v="Female 0711994280"/>
    <s v="Spouse"/>
    <s v="Cataract"/>
    <x v="6"/>
    <s v="31.03.2026"/>
    <s v="31.03.2026"/>
    <s v="Ophthalmology"/>
    <n v="110000"/>
    <s v="March"/>
    <n v="254725200477"/>
    <m/>
  </r>
  <r>
    <s v="LIONS SIGHT FIRST EYE"/>
    <n v="2016005"/>
    <n v="9390"/>
    <s v="John Agoro"/>
    <n v="71"/>
    <x v="0"/>
    <s v="Male"/>
    <s v="Contributor"/>
    <s v="Cataract extraction with implant"/>
    <x v="6"/>
    <s v="06.03.2026Hosp  billed through smart on 04.03.26"/>
    <s v="06.03.2026"/>
    <s v="Ophthalmology"/>
    <n v="110000"/>
    <s v="March"/>
    <n v="254721933124"/>
    <m/>
  </r>
  <r>
    <s v="DR AGARWALS"/>
    <n v="2021340"/>
    <n v="93595"/>
    <s v="Claire Watetu"/>
    <n v="10"/>
    <x v="2"/>
    <s v="Female 0725442361"/>
    <s v="Child"/>
    <s v="Cataract left eye"/>
    <x v="6"/>
    <s v="29.01.2026"/>
    <s v="29.01.2026"/>
    <s v="Ophthalmology"/>
    <n v="250000"/>
    <s v="January"/>
    <m/>
    <m/>
  </r>
  <r>
    <s v="LIONS SIGHT FIRST EYE"/>
    <n v="2009360"/>
    <n v="17794"/>
    <s v="Catherine Muchugu"/>
    <n v="66"/>
    <x v="0"/>
    <s v="Female"/>
    <s v="Spouse"/>
    <s v="Cataract lt eye"/>
    <x v="6"/>
    <s v="30.03.2026"/>
    <s v="30.03.2026"/>
    <s v="Ophthalmology"/>
    <n v="110000"/>
    <s v="March"/>
    <n v="254724601537"/>
    <m/>
  </r>
  <r>
    <s v="DR AGARWALS"/>
    <n v="2003527"/>
    <n v="15412"/>
    <s v="Wilfred Murithi"/>
    <n v="66"/>
    <x v="0"/>
    <s v="Male"/>
    <s v="Contributor"/>
    <s v="Cataract right eye"/>
    <x v="6"/>
    <s v="15.01.2026"/>
    <s v="15.01.2026"/>
    <s v="Ophthalmology"/>
    <n v="160000"/>
    <s v="January"/>
    <m/>
    <m/>
  </r>
  <r>
    <s v="LIONS SIGHT FIRST EYE"/>
    <n v="2406012"/>
    <n v="19127"/>
    <s v="Anthony Kinyanjui"/>
    <n v="58"/>
    <x v="0"/>
    <s v="Male"/>
    <s v="Contributor"/>
    <s v="Cataract right eye"/>
    <x v="6"/>
    <s v="18.03.2026"/>
    <s v="18.03.2026"/>
    <s v="Ophthalmology"/>
    <n v="110000"/>
    <s v="March"/>
    <n v="254706490622"/>
    <m/>
  </r>
  <r>
    <s v="LIONS SIGHT FIRST EYE"/>
    <n v="2001198"/>
    <n v="18587"/>
    <s v="Micheal Kiluu"/>
    <n v="76"/>
    <x v="0"/>
    <s v="Male"/>
    <s v="Contributor"/>
    <s v="Cataract rt eye"/>
    <x v="6"/>
    <s v="13.01.2026"/>
    <s v="13.01.2026"/>
    <s v="Ophthalmology"/>
    <n v="110000"/>
    <s v="January"/>
    <m/>
    <m/>
  </r>
  <r>
    <s v="LIONS SIGHT FIRST EYE"/>
    <n v="2004667"/>
    <n v="57338"/>
    <s v="Nanice Kambaru"/>
    <n v="61"/>
    <x v="0"/>
    <s v="Female"/>
    <s v="Spouse"/>
    <s v="Cataract rt eye"/>
    <x v="6"/>
    <s v="29.01.2026"/>
    <s v="18.01.2026"/>
    <s v="Ophthalmology"/>
    <n v="110000"/>
    <s v="January"/>
    <m/>
    <m/>
  </r>
  <r>
    <s v="DR AGARWALS"/>
    <n v="2001267"/>
    <n v="3633"/>
    <s v="John Ndungu"/>
    <n v="77"/>
    <x v="0"/>
    <s v="Male"/>
    <s v="Contributor"/>
    <s v="Cataract rt eye"/>
    <x v="6"/>
    <s v="20.02.2026"/>
    <s v="20.02.2026"/>
    <s v="Ophthalmology"/>
    <n v="160000"/>
    <s v="February "/>
    <m/>
    <m/>
  </r>
  <r>
    <s v="LIONS SIGHT FIRST EYE"/>
    <n v="2002911"/>
    <n v="13903"/>
    <s v="Edward Njenga"/>
    <n v="67"/>
    <x v="0"/>
    <s v="Male"/>
    <s v="Contributor"/>
    <s v="Central retinal vein occlusion"/>
    <x v="6"/>
    <s v="10.02.2026"/>
    <s v="10.02.2026"/>
    <s v="Ophthalmology"/>
    <n v="80000"/>
    <s v="February "/>
    <m/>
    <m/>
  </r>
  <r>
    <s v="LIONS SIGHT FIRST EYE"/>
    <n v="2001896"/>
    <n v="7794"/>
    <s v="Lawrence Kinguri"/>
    <n v="70"/>
    <x v="0"/>
    <s v="Male"/>
    <s v="Contributor"/>
    <s v="Chronic macular hole"/>
    <x v="6"/>
    <s v="19.02.2026"/>
    <s v="19.02.2026"/>
    <s v="Ophthalmology"/>
    <n v="200000"/>
    <s v="February "/>
    <m/>
    <m/>
  </r>
  <r>
    <s v="NANYUKI COTTAGE"/>
    <n v="2020019"/>
    <n v="14642"/>
    <s v="Simon Maina Gichuna"/>
    <n v="64"/>
    <x v="0"/>
    <s v="Male"/>
    <s v="Contributor"/>
    <s v="Corneal foreign object"/>
    <x v="6"/>
    <s v="24.02.2026"/>
    <s v="24.02.2026"/>
    <s v="Day case"/>
    <n v="20000"/>
    <s v="February "/>
    <m/>
    <m/>
  </r>
  <r>
    <s v="EAGLE EYE"/>
    <n v="2001510"/>
    <n v="100023"/>
    <s v="Stephen Muoki"/>
    <n v="61"/>
    <x v="0"/>
    <s v="Male"/>
    <s v="Contributor"/>
    <s v="Cystoid Macula Edema Rt Eye"/>
    <x v="6"/>
    <s v="17.03.2026"/>
    <s v="17.03.2026"/>
    <s v="Ophthalmology"/>
    <n v="75000"/>
    <s v="March"/>
    <n v="254705574637"/>
    <m/>
  </r>
  <r>
    <s v="SABATIA EYE HOSP"/>
    <n v="2010502"/>
    <n v="15710"/>
    <s v="Daniel Otieno"/>
    <n v="65"/>
    <x v="0"/>
    <s v="Male "/>
    <s v="Contributor "/>
    <s v="Diabetic eye dse"/>
    <x v="6"/>
    <s v="06.03.2026"/>
    <s v="07.03.2026"/>
    <s v="Ophthalmology"/>
    <n v="44800"/>
    <s v="March"/>
    <n v="254728975524"/>
    <m/>
  </r>
  <r>
    <s v="EAGLE EYE"/>
    <n v="2001510"/>
    <n v="100023"/>
    <s v="Muoki Stephen"/>
    <n v="72"/>
    <x v="0"/>
    <s v="Male"/>
    <s v="Contributor"/>
    <s v="Diabetic Maula Edema"/>
    <x v="6"/>
    <s v="13.01.2026"/>
    <s v="13.01.2026"/>
    <s v="Ophthalmology"/>
    <n v="35000"/>
    <s v="January"/>
    <m/>
    <m/>
  </r>
  <r>
    <s v="LIONS SIGHT FIRST EYE"/>
    <n v="2021151"/>
    <n v="15485"/>
    <s v="Charles Maina"/>
    <n v="63"/>
    <x v="0"/>
    <s v="Male"/>
    <s v="Contributor"/>
    <s v="Diabetic retinopatahy"/>
    <x v="6"/>
    <s v="10.01.2026"/>
    <s v="10.01.2026"/>
    <s v="Ophthalmology"/>
    <n v="15200"/>
    <s v="January"/>
    <m/>
    <m/>
  </r>
  <r>
    <s v="LIONS SIGHT FIRST EYE"/>
    <n v="2015867"/>
    <n v="58766"/>
    <s v="Grace Wamuyu"/>
    <n v="59"/>
    <x v="0"/>
    <s v="Female"/>
    <s v="Spouse"/>
    <s v="Diabetic retinopathy"/>
    <x v="6"/>
    <s v="17.02.2026"/>
    <s v="17.02.2026"/>
    <s v="Ophthalmology"/>
    <n v="120000"/>
    <s v="February "/>
    <m/>
    <m/>
  </r>
  <r>
    <s v="DR AGARWALS"/>
    <n v="2011827"/>
    <n v="101320"/>
    <s v="Jane Mbugua"/>
    <n v="64"/>
    <x v="0"/>
    <s v="Female"/>
    <s v="Spouse"/>
    <s v="Dry eye syndrome"/>
    <x v="6"/>
    <s v="17.02.2026"/>
    <s v="17.02.2026"/>
    <s v="Day case"/>
    <n v="120000"/>
    <s v="February "/>
    <m/>
    <m/>
  </r>
  <r>
    <s v="EAGLE EYE"/>
    <n v="2008559"/>
    <n v="53531"/>
    <s v="Veronica Ndunge"/>
    <n v="64"/>
    <x v="0"/>
    <s v="Female"/>
    <s v="Spouse"/>
    <s v="Glaucoma BE"/>
    <x v="6"/>
    <s v="14.01.2026"/>
    <s v="14.01.2026"/>
    <s v="Ophthalmology"/>
    <n v="55000"/>
    <s v="January"/>
    <m/>
    <m/>
  </r>
  <r>
    <s v="STARKEY HEARING TECH"/>
    <n v="2008856"/>
    <n v="83639"/>
    <s v="Lucy Wangechi"/>
    <n v="36"/>
    <x v="1"/>
    <s v="Female"/>
    <s v="Spouse"/>
    <s v="Hearing loss"/>
    <x v="6"/>
    <s v="11.02.2026"/>
    <s v="11.02.2026"/>
    <s v="Hearing aids"/>
    <n v="7000"/>
    <s v="February "/>
    <m/>
    <m/>
  </r>
  <r>
    <s v="STARKEY HEARING TECH"/>
    <n v="2601095"/>
    <n v="65384"/>
    <s v="Adan Issack"/>
    <n v="59"/>
    <x v="0"/>
    <s v="Male"/>
    <s v="Contributor"/>
    <s v="Hearing loss"/>
    <x v="6"/>
    <s v="16.03.2026Hosp to bill through smart"/>
    <s v="16.03.2026"/>
    <s v="Ophthalmology"/>
    <n v="170000"/>
    <s v="March"/>
    <n v="254707978001"/>
    <m/>
  </r>
  <r>
    <s v="SABATIA EYE"/>
    <n v="2005236"/>
    <n v="13365"/>
    <s v="Jane Mwangi"/>
    <n v="58"/>
    <x v="0"/>
    <s v="Female"/>
    <s v="Spouse"/>
    <s v="L.E Pterygium"/>
    <x v="6"/>
    <s v="09.01.2026"/>
    <s v="09.01.2026"/>
    <s v="Ophthalmology"/>
    <n v="30000"/>
    <s v="January"/>
    <m/>
    <m/>
  </r>
  <r>
    <s v="SABATIA EYE HOSP"/>
    <n v="2023417"/>
    <n v="52671"/>
    <s v="Charles Opana Oguok"/>
    <n v="65"/>
    <x v="0"/>
    <s v="Male"/>
    <s v="Contributor"/>
    <s v="LE Conjunctival growth"/>
    <x v="6"/>
    <s v="09.03.2026"/>
    <s v="09.03.2026"/>
    <s v="Ophthalmology"/>
    <n v="20000"/>
    <s v="March"/>
    <n v="254721223144"/>
    <m/>
  </r>
  <r>
    <s v="SABATIA EYE HOSP"/>
    <n v="2014927"/>
    <n v="10364"/>
    <s v="Nancy Mwiriki"/>
    <n v="63"/>
    <x v="0"/>
    <s v="Female"/>
    <s v="Spouse"/>
    <s v="Left eye cystic growth"/>
    <x v="6"/>
    <s v="30.03.2026"/>
    <s v="30.03.2026"/>
    <s v="Ophthalmology"/>
    <n v="20000"/>
    <s v="March"/>
    <n v="254721582876"/>
    <m/>
  </r>
  <r>
    <s v="LIONS SIGHT FIRST EYE"/>
    <n v="2002666"/>
    <n v="50731"/>
    <s v="Christine Nyagaturi"/>
    <n v="69"/>
    <x v="0"/>
    <s v="Male"/>
    <s v="Contributor"/>
    <s v="Macula edema"/>
    <x v="6"/>
    <s v="27.03.2026"/>
    <s v="27.03.2026"/>
    <s v="Ophthalmology"/>
    <n v="15000"/>
    <s v="March"/>
    <n v="254722287356"/>
    <m/>
  </r>
  <r>
    <s v="LIONS SIGHT FIRST EYE"/>
    <n v="2011036"/>
    <n v="11334"/>
    <s v="Florence Kiama"/>
    <n v="62"/>
    <x v="0"/>
    <s v="Female"/>
    <s v="Spouse"/>
    <s v="Macular edema"/>
    <x v="6"/>
    <s v="20.01.2026"/>
    <s v="20.01.2026"/>
    <s v="Ophthalmology"/>
    <n v="67500"/>
    <s v="January"/>
    <m/>
    <m/>
  </r>
  <r>
    <s v="LIONS SIGHT FIRST EYE"/>
    <n v="2014769"/>
    <n v="100540"/>
    <s v="Alice Kinyanjui"/>
    <n v="60"/>
    <x v="0"/>
    <s v="Female"/>
    <s v="Spouse"/>
    <s v="Macular Edema"/>
    <x v="6"/>
    <s v="22.01.2026"/>
    <s v="22.01.2026"/>
    <s v="Ophthalmology "/>
    <n v="250000"/>
    <s v="January"/>
    <m/>
    <m/>
  </r>
  <r>
    <s v="LIONS SIGHT FIRST EYE"/>
    <n v="2011036"/>
    <n v="11334"/>
    <s v="Florence Kiama"/>
    <n v="60"/>
    <x v="0"/>
    <s v="Female"/>
    <s v="Spouse"/>
    <s v="Macular Edema"/>
    <x v="6"/>
    <s v="26.02.2026"/>
    <s v="26.02.2026"/>
    <s v="Ophthalmology"/>
    <n v="67500"/>
    <s v="February "/>
    <m/>
    <m/>
  </r>
  <r>
    <s v="LIONS SIGHT FIRST EYE"/>
    <n v="2015348"/>
    <n v="103549"/>
    <s v="Daniel Kimani"/>
    <n v="64"/>
    <x v="0"/>
    <s v="Male"/>
    <s v="Contributor"/>
    <s v="Macular edeme"/>
    <x v="6"/>
    <s v="19.02.2026"/>
    <s v="19.02.2026"/>
    <s v="Ophthalmology"/>
    <n v="60000"/>
    <s v="February "/>
    <m/>
    <m/>
  </r>
  <r>
    <s v="MTRH"/>
    <n v="2006174"/>
    <n v="13839"/>
    <s v="Humphrey Chelelgo"/>
    <n v="60"/>
    <x v="0"/>
    <s v="Male"/>
    <s v="Contributor"/>
    <s v="Macular oedema"/>
    <x v="6"/>
    <s v="08.01.2026-Hosp to bill through smart"/>
    <s v="08.01.2026"/>
    <s v="Ophthalmology"/>
    <n v="14200"/>
    <s v="January"/>
    <m/>
    <m/>
  </r>
  <r>
    <s v="EAGLE EYE"/>
    <n v="2002373"/>
    <n v="58877"/>
    <s v="Geoffrey Karimi"/>
    <n v="58"/>
    <x v="0"/>
    <s v="Male"/>
    <s v="Contributor "/>
    <s v="Mucula Edema"/>
    <x v="6"/>
    <s v="10.02.2026"/>
    <s v="10.02.2026"/>
    <s v="Ophthalmology"/>
    <n v="75000"/>
    <s v="February "/>
    <m/>
    <m/>
  </r>
  <r>
    <s v="LIONS SIGHT FIRST EYE"/>
    <n v="2021151"/>
    <n v="15485"/>
    <s v="Charles Maina"/>
    <n v="63"/>
    <x v="0"/>
    <s v="Female"/>
    <s v="Contributor"/>
    <s v="Proliferative diabetic"/>
    <x v="6"/>
    <s v="26.02.2026-Billed through smart on 24.02.26"/>
    <s v="26.02.2026"/>
    <s v="Ophthalmology"/>
    <n v="15200"/>
    <s v="February "/>
    <m/>
    <m/>
  </r>
  <r>
    <s v="LIONS SIGHT FIRST EYE"/>
    <n v="2021151"/>
    <n v="15485"/>
    <s v="Charles Maina "/>
    <n v="63"/>
    <x v="0"/>
    <s v="Male"/>
    <s v="Contributor"/>
    <s v="Proliferative diabetic retinopathy"/>
    <x v="6"/>
    <s v="23.03.2026"/>
    <s v="23.03.2026"/>
    <s v="Ophthalmology"/>
    <n v="15200"/>
    <s v="March"/>
    <n v="254710349185"/>
    <m/>
  </r>
  <r>
    <s v="LIONS SIGHT FIRST EYE"/>
    <n v="2003095"/>
    <n v="56910"/>
    <s v="Zacharia Mukavi"/>
    <n v="65"/>
    <x v="0"/>
    <s v="Male"/>
    <s v="Contributor"/>
    <s v="Proliferative diabetic retinopathy"/>
    <x v="6"/>
    <s v="24.02.2026"/>
    <s v="24.02.2026"/>
    <s v="Ophthalmology"/>
    <n v="120000"/>
    <s v="February "/>
    <m/>
    <m/>
  </r>
  <r>
    <s v="LIONS SIGHT FIRST EYE"/>
    <n v="2503097"/>
    <n v="85610"/>
    <s v="Robert Apolo"/>
    <n v="70"/>
    <x v="0"/>
    <s v="Male"/>
    <s v="Spouse"/>
    <s v="Pterygium"/>
    <x v="6"/>
    <s v="06.03.2026Hosp billed through smart on 27.02.26"/>
    <s v="06.03.2026"/>
    <s v="Ophthalmology"/>
    <n v="30000"/>
    <s v="March"/>
    <n v="254722252523"/>
    <m/>
  </r>
  <r>
    <s v="UHSF-DFMH"/>
    <n v="2013966"/>
    <n v="54092"/>
    <s v="Beatrice Mbugua"/>
    <n v="62"/>
    <x v="0"/>
    <s v="Female 0710627717"/>
    <s v="Spouse"/>
    <s v="Recurrent laryngeal nerve injury secondary to thyroidectomy"/>
    <x v="6"/>
    <s v="15.03.2026"/>
    <s v="17.03.2026"/>
    <n v="2"/>
    <n v="41922.17"/>
    <s v="March"/>
    <n v="254720010099"/>
    <m/>
  </r>
  <r>
    <s v="UHSF-The Kenya Navy"/>
    <n v="2506006"/>
    <n v="65497"/>
    <s v="Akhlam Mohamed"/>
    <n v="7"/>
    <x v="2"/>
    <s v="Male 0759264965"/>
    <s v="Child "/>
    <s v="Right ear canal cyst"/>
    <x v="6"/>
    <s v="08.03.2026(Off smart)"/>
    <s v="10.03.2026"/>
    <n v="2"/>
    <n v="59735"/>
    <s v="March"/>
    <n v="254726967415"/>
    <m/>
  </r>
  <r>
    <s v="DR AGARWALS"/>
    <n v="2001034"/>
    <n v="20567"/>
    <s v="Eutychus Waithaka"/>
    <n v="76"/>
    <x v="0"/>
    <s v="Male"/>
    <s v="Contributor"/>
    <s v="Rt Eye retina"/>
    <x v="6"/>
    <s v="14.01.2026"/>
    <s v="14.01.2026"/>
    <s v="Ophthalmology"/>
    <n v="84400"/>
    <s v="January"/>
    <m/>
    <m/>
  </r>
  <r>
    <s v="STARKEY HEARING TECH"/>
    <n v="2001213"/>
    <n v="20561"/>
    <s v="Henry Muia"/>
    <n v="71"/>
    <x v="0"/>
    <s v="Male"/>
    <s v="Contributor"/>
    <s v="Sensorineural hearing loss"/>
    <x v="6"/>
    <s v="17.03.2026 Hospital to Bill through SMART"/>
    <s v="17.03.2026"/>
    <s v="Hearing aid"/>
    <n v="170516"/>
    <s v="March"/>
    <n v="254720744613"/>
    <m/>
  </r>
  <r>
    <s v="CHERANGANY HOSP"/>
    <n v="2019296"/>
    <n v="104424"/>
    <s v="Michael Mandela"/>
    <n v="15"/>
    <x v="2"/>
    <s v="Male 0723566585"/>
    <s v="Child"/>
    <s v="Severe Epistaxis"/>
    <x v="6"/>
    <s v="14.02.2026"/>
    <s v="16.02.2026"/>
    <n v="2"/>
    <n v="61410"/>
    <s v="February "/>
    <m/>
    <m/>
  </r>
  <r>
    <s v="LIONS SIGHT FIRST EYE"/>
    <n v="2001322"/>
    <n v="20858"/>
    <s v="Erastus Muteti"/>
    <n v="65"/>
    <x v="0"/>
    <s v="Male"/>
    <s v="Contributor"/>
    <s v="Silicone oil silled globe"/>
    <x v="6"/>
    <s v="24.02.2026"/>
    <s v="24.02.2026"/>
    <s v="Ophthalmology"/>
    <n v="40000"/>
    <s v="February "/>
    <m/>
    <m/>
  </r>
  <r>
    <s v="DR AGARWALS"/>
    <n v="2012690"/>
    <n v="17742"/>
    <s v="Elizabeth Kimanzi"/>
    <n v="69"/>
    <x v="0"/>
    <s v="Female"/>
    <s v="Spouse"/>
    <s v="Under oil uveitis"/>
    <x v="6"/>
    <s v="14.01.2026"/>
    <s v="14.01.2026"/>
    <s v="Ophthalmology"/>
    <n v="150000"/>
    <s v="January"/>
    <m/>
    <m/>
  </r>
  <r>
    <s v="DR AGARWALS"/>
    <n v="2001802"/>
    <n v="11761"/>
    <s v="Abdulahi Mohammed"/>
    <n v="71"/>
    <x v="0"/>
    <s v="Male"/>
    <s v="Contributor"/>
    <s v="Unspecified secondary cataract"/>
    <x v="6"/>
    <s v="02.03.2026"/>
    <s v="02.03.2026"/>
    <s v="Ophthalmology"/>
    <n v="30000"/>
    <s v="March"/>
    <n v="254720920599"/>
    <m/>
  </r>
  <r>
    <s v="LIONS SIGHT FIRST EYE"/>
    <n v="2004348"/>
    <n v="60369"/>
    <s v="Jonathan Toniok"/>
    <n v="62"/>
    <x v="0"/>
    <s v="Male"/>
    <s v="Contributor"/>
    <s v="Vitreous hemorrhage"/>
    <x v="6"/>
    <s v="14.03.2026"/>
    <s v="14.03.2026"/>
    <s v="Ophthalmology"/>
    <n v="15200"/>
    <s v="March"/>
    <n v="254723650682"/>
    <m/>
  </r>
  <r>
    <s v="SABATIA EYE HOSP"/>
    <n v="2007024"/>
    <n v="18958"/>
    <s v="Pilista Samoei"/>
    <n v="63"/>
    <x v="0"/>
    <s v="Female "/>
    <s v="Spouse"/>
    <s v="BE Cataract "/>
    <x v="6"/>
    <s v="17.03.2026"/>
    <s v="17.03.2026"/>
    <s v="Ophthalmology"/>
    <n v="75000"/>
    <s v="March"/>
    <n v="254745871502"/>
    <m/>
  </r>
  <r>
    <s v="DR AGARWALS"/>
    <n v="2002518"/>
    <n v="33078"/>
    <s v="Abdikadir Guyo"/>
    <n v="56"/>
    <x v="0"/>
    <s v="Male "/>
    <s v="Contributor"/>
    <s v="Cataract "/>
    <x v="6"/>
    <s v="24.03.2026"/>
    <s v="24.03.2026"/>
    <s v="Ophthalmology"/>
    <n v="240000"/>
    <s v="March"/>
    <n v="254720659401"/>
    <m/>
  </r>
  <r>
    <s v="LIONS SIGHT FIRST EYE"/>
    <n v="204427"/>
    <n v="11345"/>
    <s v="Christopher Mnajau "/>
    <n v="67"/>
    <x v="0"/>
    <s v="Male"/>
    <s v="Contributor"/>
    <s v="Cataract "/>
    <x v="6"/>
    <s v="25.02.2026"/>
    <s v="25.02.2026"/>
    <s v="Ophthalmology"/>
    <n v="110000"/>
    <s v="February "/>
    <m/>
    <m/>
  </r>
  <r>
    <s v="AGARWAL EYE"/>
    <n v="2003527"/>
    <n v="15412"/>
    <s v="Wilfred Murithi "/>
    <n v="66"/>
    <x v="0"/>
    <s v="Male "/>
    <s v="Contributor"/>
    <s v="Cataract Lt Eye "/>
    <x v="6"/>
    <s v="12.02.2026"/>
    <s v="12.02.2026"/>
    <s v="Ophthalmology"/>
    <n v="160000"/>
    <s v="February "/>
    <m/>
    <m/>
  </r>
  <r>
    <s v="EAGLE EYE"/>
    <n v="2002373"/>
    <n v="58877"/>
    <s v="Geoffrey Karimi"/>
    <n v="58"/>
    <x v="0"/>
    <s v="Male"/>
    <s v="Contributor"/>
    <s v="Cytoid Macula Edema lt Eye "/>
    <x v="6"/>
    <s v="06.01.2026"/>
    <s v="06.01.2026"/>
    <s v="Ophthalmology"/>
    <n v="75000"/>
    <s v="January"/>
    <m/>
    <m/>
  </r>
  <r>
    <s v="DR AGARWALS"/>
    <n v="2002518"/>
    <n v="33078"/>
    <s v="Abdikadir Guyo"/>
    <n v="56"/>
    <x v="0"/>
    <s v="Male "/>
    <s v="Contributor"/>
    <s v="Excision of chalazion "/>
    <x v="6"/>
    <s v="03.03.2026"/>
    <s v="03.03.2026"/>
    <s v="Ophthalmology"/>
    <n v="140000"/>
    <s v="March"/>
    <n v="254720753956"/>
    <m/>
  </r>
  <r>
    <s v="ST CLARE KAPLONG"/>
    <n v="2402026"/>
    <n v="56018"/>
    <s v="Hellen Chelangat"/>
    <n v="59"/>
    <x v="0"/>
    <s v="Female 0746209106"/>
    <s v="Spouse"/>
    <s v="Fracture Proximal Femur "/>
    <x v="3"/>
    <s v="12.02.2026"/>
    <s v="23.02.2026"/>
    <n v="12"/>
    <n v="512380"/>
    <s v="February "/>
    <m/>
    <m/>
  </r>
  <r>
    <s v="KISUMU SPECIALISTS "/>
    <n v="2409018"/>
    <n v="58233"/>
    <s v="Micheal  Omondi "/>
    <n v="62"/>
    <x v="0"/>
    <s v="Male 0719718741"/>
    <s v="Contributor"/>
    <s v="Fracture T/F Distal "/>
    <x v="3"/>
    <s v="26.03.2026"/>
    <s v="30.03.2026"/>
    <n v="4"/>
    <n v="280000"/>
    <s v="March"/>
    <n v="254710209301"/>
    <m/>
  </r>
  <r>
    <s v="KIMININI COTTAGE"/>
    <n v="2021219"/>
    <n v="8847"/>
    <s v="Adrian Nandasaba "/>
    <n v="17"/>
    <x v="2"/>
    <s v="Male 0727047710"/>
    <s v="Child "/>
    <s v="Ganglion Cyst "/>
    <x v="3"/>
    <s v="05.01.2026"/>
    <s v="07.01.2026"/>
    <n v="2"/>
    <n v="35915"/>
    <s v="January"/>
    <m/>
    <m/>
  </r>
  <r>
    <s v="OUT SPAN HOSP"/>
    <n v="2023538"/>
    <n v="65299"/>
    <s v="Simon Kabui kamau"/>
    <n v="58"/>
    <x v="0"/>
    <s v="Male 0729575525"/>
    <s v="Contributor"/>
    <s v="Lt hip oa/ total hip replacement "/>
    <x v="3"/>
    <s v="10.03.2026"/>
    <s v="17.03.2026"/>
    <n v="7"/>
    <n v="504320"/>
    <s v="March"/>
    <n v="254759231438"/>
    <m/>
  </r>
  <r>
    <s v="UHSF - LRH"/>
    <n v="200456"/>
    <n v="54164"/>
    <s v="Petronila Atieno"/>
    <n v="64"/>
    <x v="0"/>
    <s v="Female "/>
    <s v="Spouse"/>
    <s v="Lumbar Radiculopathy "/>
    <x v="3"/>
    <s v="04.02.2026"/>
    <s v="04.02.2026"/>
    <s v="Day case"/>
    <n v="62277"/>
    <s v="February "/>
    <m/>
    <m/>
  </r>
  <r>
    <s v="UHSF - NRH"/>
    <n v="2010955"/>
    <n v="9590"/>
    <s v="Ann Wanjiru "/>
    <n v="70"/>
    <x v="0"/>
    <s v="Female "/>
    <s v="Spouse"/>
    <s v="Lumbar Radiculopathy "/>
    <x v="3"/>
    <s v="05.02.2026"/>
    <s v="06.02.2026"/>
    <n v="1"/>
    <n v="72104"/>
    <s v="February "/>
    <m/>
    <m/>
  </r>
  <r>
    <s v="MATER HOSP"/>
    <n v="2003928"/>
    <n v="101178"/>
    <s v="Joseph Muli"/>
    <n v="65"/>
    <x v="0"/>
    <s v="Male 0721413141"/>
    <s v="Contributor"/>
    <s v="Multiple tendon &amp; nerve repair "/>
    <x v="3"/>
    <s v="02.02.2026 SHA (8,960.00)"/>
    <s v="05.02.2026"/>
    <n v="3"/>
    <n v="204504"/>
    <s v="February "/>
    <m/>
    <m/>
  </r>
  <r>
    <s v="ST LUKES O&amp;T"/>
    <n v="2005039"/>
    <n v="13172"/>
    <s v="Joyce Chepkirui"/>
    <n v="65"/>
    <x v="0"/>
    <s v="Female 0721764765"/>
    <s v="Spouse"/>
    <s v="Severe nerve root compressor "/>
    <x v="3"/>
    <s v="09.01.2026"/>
    <s v="23.01.2026"/>
    <n v="14"/>
    <n v="961520"/>
    <s v="January"/>
    <m/>
    <m/>
  </r>
  <r>
    <s v="NAIROBI WOMEN-MERU"/>
    <n v="2013074"/>
    <n v="101343"/>
    <s v="Monicah Kanana"/>
    <n v="68"/>
    <x v="0"/>
    <s v="Female 0715252471"/>
    <s v="Spouse"/>
    <s v="Severe Osteoarthritis "/>
    <x v="3"/>
    <s v="02.01.2026"/>
    <s v="08.01.2026"/>
    <n v="6"/>
    <n v="181295.44"/>
    <s v="January"/>
    <m/>
    <m/>
  </r>
  <r>
    <s v="AGA KAHN MOMBASA"/>
    <n v="2014680"/>
    <n v="37008"/>
    <s v="Mary Nguru "/>
    <n v="79"/>
    <x v="0"/>
    <s v="Female 0710645680"/>
    <s v="Spouse"/>
    <s v="Equinas Syndrome, stenosis l4,l5"/>
    <x v="13"/>
    <s v="03.03.2026 (sha27,440.00)"/>
    <s v="10.03.2026"/>
    <n v="7"/>
    <n v="875388.09"/>
    <s v="March"/>
    <n v="254722258303"/>
    <m/>
  </r>
  <r>
    <s v="UHSF-NRH"/>
    <n v="2512287"/>
    <n v="108867"/>
    <s v="Giannis Jasiri"/>
    <n v="3"/>
    <x v="2"/>
    <s v="Male 0729301040"/>
    <s v="Child"/>
    <s v="Early childhood carries"/>
    <x v="14"/>
    <s v="11.03.2026"/>
    <s v="13.03.2026"/>
    <n v="2"/>
    <n v="45173.32"/>
    <s v="March"/>
    <n v="254722235122"/>
    <m/>
  </r>
  <r>
    <s v="NAKURU SPECIALIST"/>
    <n v="2011817"/>
    <n v="56558"/>
    <s v="Selina Chepkemoi"/>
    <n v="58"/>
    <x v="0"/>
    <s v="Female "/>
    <s v="Spouse"/>
    <s v="Goitre"/>
    <x v="14"/>
    <s v="05.02.2026"/>
    <s v="07.02.2026"/>
    <n v="2"/>
    <n v="268640"/>
    <s v="February "/>
    <m/>
    <m/>
  </r>
  <r>
    <s v="NAIROBI SOUTH HOSP"/>
    <n v="2013651"/>
    <n v="103617"/>
    <s v="Catherine Mutwiri"/>
    <n v="61"/>
    <x v="0"/>
    <s v="Female"/>
    <s v="Spouse"/>
    <s v="Goitre"/>
    <x v="14"/>
    <s v="16.03.2026"/>
    <s v="16.03.2026"/>
    <s v="Day case"/>
    <n v="45000"/>
    <s v="March"/>
    <n v="254722459249"/>
    <m/>
  </r>
  <r>
    <s v="ST LUKES O&amp;T"/>
    <n v="2005908"/>
    <n v="35410"/>
    <s v="Meleniah Ambonya"/>
    <n v="39"/>
    <x v="1"/>
    <s v="Female 0790936000"/>
    <s v="Spouse"/>
    <s v="Goitre"/>
    <x v="14"/>
    <s v="19.01.2026"/>
    <s v="21.01.2026"/>
    <n v="2"/>
    <n v="258825"/>
    <s v="January"/>
    <m/>
    <m/>
  </r>
  <r>
    <s v="AGA KHAN -MOMBASA"/>
    <n v="2001245"/>
    <n v="37016"/>
    <s v="Aboud Abdalla  Rafrouf"/>
    <n v="79"/>
    <x v="0"/>
    <s v="Male 0721215761"/>
    <s v="Contributor"/>
    <s v="Hypotension/dehydration"/>
    <x v="14"/>
    <s v="10.02.2026-DECEASED"/>
    <s v="14.02.2026"/>
    <n v="4"/>
    <n v="1700813"/>
    <s v="February "/>
    <m/>
    <m/>
  </r>
  <r>
    <s v="DR AGARWALS"/>
    <n v="2001053"/>
    <n v="17470"/>
    <s v="Mohammed Ahmed"/>
    <n v="78"/>
    <x v="0"/>
    <s v="Male"/>
    <s v="Contributor"/>
    <s v="Pseudo RE"/>
    <x v="14"/>
    <s v="07.01.2026"/>
    <s v="07.01.2026"/>
    <s v="Ophthalmology"/>
    <n v="60000"/>
    <s v="January"/>
    <m/>
    <m/>
  </r>
  <r>
    <s v="KIMININI COTTAGE"/>
    <n v="2012471"/>
    <n v="47039"/>
    <s v="Solomon Wakoli"/>
    <n v="10"/>
    <x v="2"/>
    <s v="Male 0722744042"/>
    <s v="Child"/>
    <s v="Severe dehydration /GE"/>
    <x v="14"/>
    <s v="30.01.2026"/>
    <s v="03.02.2026"/>
    <n v="4"/>
    <n v="47140"/>
    <s v="February "/>
    <m/>
    <m/>
  </r>
  <r>
    <s v="UHSF- DFMH"/>
    <n v="2504059"/>
    <n v="43518"/>
    <s v="Saadia Shire"/>
    <n v="53"/>
    <x v="0"/>
    <s v="Female 0717335220"/>
    <s v="Spouse"/>
    <s v="Severe dehydration secondary to gastroenteritis"/>
    <x v="14"/>
    <s v="21.02.2026"/>
    <s v="21.02.2026"/>
    <s v="Day case"/>
    <n v="10676.49"/>
    <s v="February "/>
    <m/>
    <m/>
  </r>
  <r>
    <s v="RELIANCE HOSP"/>
    <n v="2504059"/>
    <n v="43518"/>
    <s v="Saadia Shire"/>
    <n v="53"/>
    <x v="0"/>
    <s v="Female 0717335220"/>
    <s v="Spouse"/>
    <s v="Severe dehydration secondary to gastroenteritis"/>
    <x v="14"/>
    <s v="21.02.2026"/>
    <s v="24.02.2026"/>
    <n v="3"/>
    <n v="68985"/>
    <s v="February "/>
    <m/>
    <m/>
  </r>
  <r>
    <s v="AGA KAHN MOMBASA"/>
    <n v="2020047"/>
    <n v="83597"/>
    <s v="Mwanamkuu idd"/>
    <n v="8"/>
    <x v="2"/>
    <s v="Female 0114750084"/>
    <s v="Child"/>
    <s v="Severe dehydration/ heart failure/SLE/sepsis"/>
    <x v="14"/>
    <s v="28.02.2026 Cover Exh (Sha179,760.00)"/>
    <s v="09.03.2026"/>
    <n v="9"/>
    <n v="1192329"/>
    <s v="March"/>
    <n v="254722258303"/>
    <m/>
  </r>
  <r>
    <s v="UHSF - ERH"/>
    <n v="2408158"/>
    <n v="67453"/>
    <s v="Wilbroda Pamba"/>
    <n v="63"/>
    <x v="0"/>
    <s v="Female"/>
    <s v="Spouse"/>
    <s v="Snake bite"/>
    <x v="14"/>
    <s v="27.02.2026-Hosp to bill through smart"/>
    <s v="28.02.2026"/>
    <n v="1"/>
    <n v="10546.8"/>
    <s v="February "/>
    <m/>
    <m/>
  </r>
  <r>
    <s v="MATER HOSP"/>
    <n v="2021362"/>
    <n v="57442"/>
    <s v="Fransis Mwanza"/>
    <n v="61"/>
    <x v="0"/>
    <s v="Male"/>
    <s v="Contributor"/>
    <s v="Thyroid nodule"/>
    <x v="14"/>
    <s v="10.02.2026"/>
    <s v="10.02.2026"/>
    <s v="Day case"/>
    <n v="31034"/>
    <s v="February "/>
    <m/>
    <s v="Orthopedics, Degenerative Joint Disorders, Orthopedics / Neurosurgery"/>
  </r>
  <r>
    <s v="UHSF-LRH"/>
    <n v="2014328"/>
    <n v="7632"/>
    <s v="Elijah Kipkirui"/>
    <n v="68"/>
    <x v="0"/>
    <s v="Male 0796157332"/>
    <s v="Contributor"/>
    <s v="Alcohol use disorder "/>
    <x v="12"/>
    <s v="01.01.2026"/>
    <s v="03.01.2026"/>
    <n v="2"/>
    <n v="36019"/>
    <s v="January"/>
    <m/>
    <m/>
  </r>
  <r>
    <s v="MTRH"/>
    <n v="2005259"/>
    <n v="106787"/>
    <s v="Leah Chebet"/>
    <n v="47"/>
    <x v="1"/>
    <s v="Female 0725560278"/>
    <s v="Spouse"/>
    <s v="Bipolar Mood Disorder "/>
    <x v="12"/>
    <s v="04.01.2026 "/>
    <s v="02.02.2026"/>
    <n v="29"/>
    <n v="115440.52"/>
    <s v="February "/>
    <m/>
    <m/>
  </r>
  <r>
    <s v="OUTSPAN HOSP"/>
    <n v="202056"/>
    <n v="78023"/>
    <s v="Boniface Muiga "/>
    <n v="42"/>
    <x v="1"/>
    <s v="Male 0707355905"/>
    <s v="Contributor"/>
    <s v="PTSD/Schizophrenia "/>
    <x v="12"/>
    <s v="01.01.2026"/>
    <s v="10.01.2026"/>
    <n v="11"/>
    <n v="83422.33"/>
    <s v="January"/>
    <m/>
    <m/>
  </r>
  <r>
    <s v="UHSF-IRH"/>
    <n v="2017620"/>
    <n v="54137"/>
    <s v="Knin Mukami emuria "/>
    <n v="17"/>
    <x v="2"/>
    <s v="Female 0703256873"/>
    <s v="Child "/>
    <s v="Schizophrenia "/>
    <x v="12"/>
    <s v="01.01.2026"/>
    <s v="08.01.2026"/>
    <n v="7"/>
    <n v="39977.86"/>
    <s v="January"/>
    <m/>
    <m/>
  </r>
  <r>
    <s v="MTRH"/>
    <n v="2501066"/>
    <n v="93352"/>
    <s v="Gideon Langat "/>
    <n v="38"/>
    <x v="1"/>
    <s v="Male 0714417008"/>
    <s v="Contributor"/>
    <s v="Schizophrenia "/>
    <x v="12"/>
    <s v="04.03.2026"/>
    <s v="18.03.2026"/>
    <n v="14"/>
    <n v="207033.3"/>
    <s v="March"/>
    <n v="254711864528"/>
    <m/>
  </r>
  <r>
    <s v="UHSF - DFWC"/>
    <n v="2017620"/>
    <n v="54137"/>
    <s v="Knin Mukami Emuria "/>
    <n v="17"/>
    <x v="2"/>
    <s v="Female 0703256873"/>
    <s v="Child "/>
    <s v="Schizophrenia "/>
    <x v="12"/>
    <s v="08.01.2026"/>
    <s v="24.03.2026"/>
    <n v="76"/>
    <n v="667761.6"/>
    <s v="March"/>
    <n v="254722348407"/>
    <m/>
  </r>
  <r>
    <s v="OASIS MENTAL"/>
    <n v="2017620"/>
    <n v="54137"/>
    <s v="Knin Mukami Emuria "/>
    <n v="17"/>
    <x v="2"/>
    <s v="Female 0703256873"/>
    <s v="Child "/>
    <s v="Schizophrenia "/>
    <x v="12"/>
    <s v="25.02.2026 Hospital to bill through SMART"/>
    <s v="25.02.2026"/>
    <s v="Day case"/>
    <n v="75000"/>
    <s v="February "/>
    <m/>
    <m/>
  </r>
  <r>
    <s v="AGA KAHN KISII"/>
    <n v="2013452"/>
    <n v="102717"/>
    <s v="Batiseba Maraa"/>
    <n v="67"/>
    <x v="0"/>
    <s v="Female  0723093703"/>
    <s v="Spouse"/>
    <s v="Aspiration Pneumonia/convulsions/upper gi bleding /dementia "/>
    <x v="4"/>
    <s v="19.03.2026"/>
    <s v="24.03.2026"/>
    <n v="5"/>
    <n v="378474"/>
    <s v="March"/>
    <n v="254710918163"/>
    <m/>
  </r>
  <r>
    <s v="ST MATIA MULUMBA"/>
    <n v="2408065"/>
    <n v="63074"/>
    <s v="Jane Ngina "/>
    <n v="53"/>
    <x v="0"/>
    <s v="Female 0790911593"/>
    <s v="Spouse"/>
    <s v="Asthmatic Attack / Pneumonia "/>
    <x v="4"/>
    <s v="04.03.2026"/>
    <s v="10.03.2026"/>
    <n v="6"/>
    <n v="111045"/>
    <s v="March"/>
    <n v="254768258270"/>
    <m/>
  </r>
  <r>
    <s v="THE KAREN HOSP"/>
    <n v="2004049"/>
    <n v="18559"/>
    <s v="Daniel Musyoka Mbinda"/>
    <n v="71"/>
    <x v="0"/>
    <s v="Male 0721251933"/>
    <s v="Contributor"/>
    <s v="Interstitial lung disease with Severe URTI/Pneumonia/Sinusitis/AKI "/>
    <x v="4"/>
    <s v="10.01.2026"/>
    <s v="24.01.2026"/>
    <n v="14"/>
    <n v="1326407"/>
    <s v="January"/>
    <m/>
    <m/>
  </r>
  <r>
    <s v="NAKURU SPECIALISTS"/>
    <n v="2014847"/>
    <n v="19118"/>
    <s v="Ezra Kibwott"/>
    <n v="17"/>
    <x v="2"/>
    <s v="Male 0721629072"/>
    <s v="Child"/>
    <s v="Pneumonia /Bacteria infection "/>
    <x v="4"/>
    <s v="17.03.2026"/>
    <s v="20.03.2026"/>
    <n v="2"/>
    <n v="76305"/>
    <s v="March"/>
    <n v="254727778715"/>
    <m/>
  </r>
  <r>
    <s v="MTRH"/>
    <n v="2507233"/>
    <n v="63124"/>
    <s v="Ekwam Lotieng "/>
    <n v="57"/>
    <x v="0"/>
    <s v="Male 0722372412"/>
    <s v="Contributor"/>
    <s v="Pneumothorax /Rt Lung contusion "/>
    <x v="4"/>
    <s v="01.01.2026"/>
    <s v="04.01.2026"/>
    <n v="3"/>
    <n v="122397.91"/>
    <s v="January"/>
    <m/>
    <m/>
  </r>
  <r>
    <s v="AGA KHAN KISUMU"/>
    <n v="2009872"/>
    <n v="61492"/>
    <s v="Millicent Adhiambo "/>
    <n v="17"/>
    <x v="2"/>
    <s v="Female "/>
    <s v="Child "/>
    <s v="Severe Pneumonia "/>
    <x v="4"/>
    <s v="02.01.2026"/>
    <s v="04.01.2026"/>
    <n v="2"/>
    <n v="89757"/>
    <s v="January"/>
    <m/>
    <m/>
  </r>
  <r>
    <s v="UHSF- DFMH"/>
    <n v="2018317"/>
    <n v="75670"/>
    <s v="Ian Odhiambo"/>
    <n v="16"/>
    <x v="2"/>
    <s v="Male 0724360651"/>
    <s v="Child"/>
    <s v="Severe Pneumonia "/>
    <x v="4"/>
    <s v="08.02.2026"/>
    <s v="14.02.2026"/>
    <n v="5"/>
    <n v="69935"/>
    <s v="February "/>
    <m/>
    <m/>
  </r>
  <r>
    <s v="DOCTORS CENTRE"/>
    <n v="2001397"/>
    <n v="17666"/>
    <s v="Rose Kamili"/>
    <n v="73"/>
    <x v="0"/>
    <s v="Female 0715205323"/>
    <s v="Spouse"/>
    <s v="Status asthmatics/ bronchiolitis "/>
    <x v="4"/>
    <s v="05.03.2026 (sha 13,440.00)"/>
    <s v="09.03.2026"/>
    <n v="4"/>
    <n v="106515"/>
    <s v="March"/>
    <n v="254722839258"/>
    <m/>
  </r>
  <r>
    <s v="NAIROBI WOMEN-NAIVASHA"/>
    <n v="2000713"/>
    <n v="19277"/>
    <s v="John Kogo "/>
    <n v="71"/>
    <x v="0"/>
    <s v="Male"/>
    <s v="Contributor"/>
    <s v="B’ Severe Pneumonia /PTB"/>
    <x v="15"/>
    <s v="12.02.2026"/>
    <s v="15.02.2026"/>
    <n v="3"/>
    <n v="117500"/>
    <s v="February "/>
    <m/>
    <m/>
  </r>
  <r>
    <s v="CONSOLATA NKUBU"/>
    <n v="2018681"/>
    <n v="12804"/>
    <s v="William Nyamu"/>
    <n v="65"/>
    <x v="0"/>
    <s v="Male 0720920599"/>
    <s v="Contributor"/>
    <s v="Acute  copd exacerbation"/>
    <x v="16"/>
    <s v="11.03.2026"/>
    <s v="16.03.2026"/>
    <n v="6"/>
    <n v="83186"/>
    <s v="March"/>
    <n v="254722624432"/>
    <m/>
  </r>
  <r>
    <s v="Nairobi Women Kitengele"/>
    <n v="2018795"/>
    <n v="110494"/>
    <s v="Heiz Tenik Shekeine"/>
    <n v="12"/>
    <x v="2"/>
    <s v="Male 0724088426"/>
    <s v="Child"/>
    <s v="Acute asthma"/>
    <x v="16"/>
    <s v="27.01.2026"/>
    <s v="30.01.2026"/>
    <n v="3"/>
    <n v="61312.29"/>
    <s v="January"/>
    <m/>
    <m/>
  </r>
  <r>
    <s v="DIANI BEACH HOSP"/>
    <n v="2018550"/>
    <n v="32301"/>
    <s v="Abdrahama Hillow"/>
    <n v="62"/>
    <x v="0"/>
    <s v="Male 0722612206"/>
    <s v="Contributor"/>
    <s v="Acute asthma/decompensated heart failure/htn"/>
    <x v="16"/>
    <s v="16.03.2026"/>
    <s v="18.03.2026"/>
    <n v="3"/>
    <n v="184467"/>
    <s v="March"/>
    <n v="254721421817"/>
    <m/>
  </r>
  <r>
    <s v="ST LUKES O&amp;T"/>
    <n v="2012382"/>
    <n v="52592"/>
    <s v="Lydia Chepkurgat"/>
    <n v="64"/>
    <x v="0"/>
    <s v="Female 0723124386"/>
    <s v="Spouse"/>
    <s v="Acute asthmatic attack"/>
    <x v="16"/>
    <s v="22.03.2026"/>
    <s v="26.03.2026"/>
    <n v="4"/>
    <n v="87198.399999999994"/>
    <s v="March"/>
    <n v="254722579794"/>
    <m/>
  </r>
  <r>
    <s v="ST LUKES O&amp;T"/>
    <n v="2012382"/>
    <n v="52592"/>
    <s v="Lydia Kiboi"/>
    <n v="63"/>
    <x v="0"/>
    <s v="Female 0723124386"/>
    <s v="Spouse"/>
    <s v="Acute asthmatic attack /GE/HTN/DM"/>
    <x v="16"/>
    <s v="26.02.2026"/>
    <s v="04.03.2026"/>
    <n v="6"/>
    <n v="158939"/>
    <s v="March"/>
    <n v="254721362558"/>
    <m/>
  </r>
  <r>
    <s v="NAIROBI WEST HOSP"/>
    <n v="2012416"/>
    <n v="101301"/>
    <s v="Emmy Mashon Weta"/>
    <n v="64"/>
    <x v="0"/>
    <s v="Female 0725361028"/>
    <s v="Spouse  "/>
    <s v="Acute asthmatic attack/pna"/>
    <x v="16"/>
    <s v="07.03.2026 (sha 45,920)"/>
    <s v="13.03.2026"/>
    <n v="6"/>
    <n v="321122"/>
    <s v="March"/>
    <n v="254728762115"/>
    <m/>
  </r>
  <r>
    <s v="NAIROBI SOUTH"/>
    <n v="2010096"/>
    <n v="7076"/>
    <s v="Ambia Omar"/>
    <n v="47"/>
    <x v="1"/>
    <s v="Female"/>
    <s v="Spouse"/>
    <s v="Aspiration /bronchiolitis"/>
    <x v="16"/>
    <s v="09.01.2026"/>
    <s v="10.01.2026"/>
    <n v="1"/>
    <n v="127188.53"/>
    <s v="January"/>
    <m/>
    <m/>
  </r>
  <r>
    <s v="PANDYA HOSP"/>
    <n v="2020141"/>
    <n v="16148"/>
    <s v="Aloysius Mwasaru "/>
    <n v="65"/>
    <x v="0"/>
    <s v="Male 0722864285"/>
    <s v="Contributor"/>
    <s v="Asthma exacerbation cardiomyopathy"/>
    <x v="16"/>
    <s v="26.02.2026"/>
    <s v="03.03.2026"/>
    <n v="5"/>
    <n v="261061"/>
    <s v="March"/>
    <n v="254722699482"/>
    <m/>
  </r>
  <r>
    <s v="ST LUKE O&amp;T"/>
    <n v="2004507"/>
    <n v="16289"/>
    <s v="Joel Ejore "/>
    <n v="64"/>
    <x v="0"/>
    <s v="Male 0722937628 "/>
    <s v="Contributor"/>
    <s v="Asthma in HTN"/>
    <x v="16"/>
    <s v="04.02.2026"/>
    <s v="07.02.2026"/>
    <n v="3"/>
    <n v="77121"/>
    <s v="February "/>
    <m/>
    <m/>
  </r>
  <r>
    <s v="UHSF-DFMH"/>
    <n v="2003133"/>
    <n v="9608"/>
    <s v="Stephen Nyairo"/>
    <n v="69"/>
    <x v="0"/>
    <s v="Male 0723002776"/>
    <s v="Contributor"/>
    <s v="Asthma/COPD"/>
    <x v="16"/>
    <s v="23.01.2026"/>
    <s v="28.01.2026"/>
    <n v="6"/>
    <n v="83035"/>
    <s v="January"/>
    <m/>
    <m/>
  </r>
  <r>
    <s v="OLLMH"/>
    <n v="2023528"/>
    <n v="55634"/>
    <s v="Veronicah  Muthoni"/>
    <n v="63"/>
    <x v="0"/>
    <s v="Female 0722458201"/>
    <s v="Spouse"/>
    <s v="Bacteria Pneumonia in dm"/>
    <x v="16"/>
    <s v="06.02.2026"/>
    <s v="11.02.2026"/>
    <n v="5"/>
    <n v="99345"/>
    <s v="February "/>
    <m/>
    <m/>
  </r>
  <r>
    <s v="KIMININI COTTAGE"/>
    <n v="2021273"/>
    <n v="56896"/>
    <s v="Hellen Masinde"/>
    <n v="59"/>
    <x v="0"/>
    <s v="Female "/>
    <s v="Spouse "/>
    <s v="Bronchitis/pneumonia"/>
    <x v="16"/>
    <s v="06.03.2026"/>
    <s v="07.03.2026"/>
    <n v="1"/>
    <n v="28505"/>
    <s v="March"/>
    <n v="254721334599"/>
    <m/>
  </r>
  <r>
    <s v="NAIROBI WOMEN KITENGELA"/>
    <n v="2503242"/>
    <n v="62746"/>
    <s v=" "/>
    <n v="54"/>
    <x v="0"/>
    <s v="Male 0718617565"/>
    <s v="Spouse"/>
    <s v="Bronchopneumonia"/>
    <x v="16"/>
    <s v="06.02.2026"/>
    <s v="10.02.2026"/>
    <n v="4"/>
    <n v="71629"/>
    <s v="February "/>
    <m/>
    <m/>
  </r>
  <r>
    <s v="UHSF-DFMH"/>
    <n v="2001273"/>
    <n v="20535"/>
    <s v="Samuel Thairu"/>
    <n v="80"/>
    <x v="0"/>
    <s v="Male 0726800511"/>
    <s v="Contributor"/>
    <s v="Chronic obstruction pulmonary disease /HTN/DM/CKD"/>
    <x v="16"/>
    <s v="23.02.2026"/>
    <s v="03.03.2026"/>
    <n v="8"/>
    <n v="147165.88"/>
    <s v="March"/>
    <n v="254722536183"/>
    <m/>
  </r>
  <r>
    <s v="ACK MT KENYA"/>
    <n v="2003637"/>
    <n v="54838"/>
    <s v="Benedict Wanjohi"/>
    <n v="63"/>
    <x v="0"/>
    <s v="Male 0727819227"/>
    <s v="Contributor"/>
    <s v="Copd/Acute Gastrities /htn"/>
    <x v="16"/>
    <s v="02.01.2026"/>
    <s v="08.01.2026"/>
    <n v="6"/>
    <n v="63740"/>
    <s v="January"/>
    <m/>
    <m/>
  </r>
  <r>
    <s v="UHSF-DFMH"/>
    <n v="2003903"/>
    <n v="12834"/>
    <s v="Mark Ndavi"/>
    <n v="67"/>
    <x v="0"/>
    <s v="Male 0722252523"/>
    <s v="Contributor "/>
    <s v="Interstitial Lung disease"/>
    <x v="16"/>
    <s v="08.03.2026 Deceased"/>
    <s v="30.03.2026"/>
    <n v="22"/>
    <n v="339785.02"/>
    <s v="March"/>
    <n v="254722505895"/>
    <m/>
  </r>
  <r>
    <s v="AGA KAHN MOMBASA"/>
    <n v="2019694"/>
    <n v="130106"/>
    <s v="Zainab Husham"/>
    <n v="42"/>
    <x v="1"/>
    <s v="Female"/>
    <s v="Spouse"/>
    <s v="Irritating cough/ bronchitis"/>
    <x v="16"/>
    <s v="31.03.2026"/>
    <s v="31.03.2026"/>
    <s v="Day case"/>
    <n v="203228"/>
    <s v="March"/>
    <n v="254720242011"/>
    <m/>
  </r>
  <r>
    <s v="NAIROBI WEST HOSP"/>
    <n v="2009790"/>
    <n v="18258"/>
    <s v="Halima Adan"/>
    <n v="50"/>
    <x v="1"/>
    <s v="Female 0722839258"/>
    <s v="Spouse"/>
    <s v="Pneumonia in RVD"/>
    <x v="16"/>
    <s v="22.03.2026"/>
    <s v="26.03.2026"/>
    <n v="4"/>
    <n v="161222"/>
    <s v="March"/>
    <n v="254752316316"/>
    <m/>
  </r>
  <r>
    <s v="PCEA TUMUTUMU HOSP"/>
    <n v="2002022"/>
    <n v="13047"/>
    <s v="David Kanyanje"/>
    <n v="69"/>
    <x v="0"/>
    <s v="Male 0718353180"/>
    <s v="Contributor"/>
    <s v="Pneumonia r/o ptb"/>
    <x v="16"/>
    <s v="22.03.2026"/>
    <s v="27.03.2026"/>
    <n v="5"/>
    <n v="87664"/>
    <s v="March"/>
    <n v="724551041"/>
    <m/>
  </r>
  <r>
    <s v="ST DAMIANO HOSP "/>
    <n v="2009830"/>
    <n v="18739"/>
    <s v="Fletcher Vuguza Khisa"/>
    <n v="58"/>
    <x v="0"/>
    <s v="Female 0725906080"/>
    <s v="Spouse"/>
    <s v="Pneumonia with gastritis R/O UTi"/>
    <x v="16"/>
    <s v="01.03.2026"/>
    <s v="03.03.2026"/>
    <n v="2"/>
    <n v="36720"/>
    <s v="March"/>
    <n v="254721898644"/>
    <m/>
  </r>
  <r>
    <s v="UHSF - NRH"/>
    <n v="2022483"/>
    <n v="80695"/>
    <s v="Irsha Roba"/>
    <n v="3"/>
    <x v="2"/>
    <s v="Female 0720019232"/>
    <s v="Child"/>
    <s v="Pneumonia/ ?TB"/>
    <x v="16"/>
    <s v="14.02.2026"/>
    <s v="16.02.2026"/>
    <n v="2"/>
    <n v="34629"/>
    <s v="February "/>
    <m/>
    <m/>
  </r>
  <r>
    <s v="GALAXY HOSP"/>
    <n v="2009253"/>
    <n v="105618"/>
    <s v="Ikram Abdi"/>
    <n v="20"/>
    <x v="2"/>
    <s v="Female 0724465817"/>
    <s v="Child"/>
    <s v="Pneumonia/ asthma"/>
    <x v="16"/>
    <s v="26.02.2026"/>
    <s v="28.02.2026"/>
    <n v="1"/>
    <n v="48520"/>
    <s v="February "/>
    <m/>
    <m/>
  </r>
  <r>
    <s v="NAIROBI WOMEN-NAIVASHA"/>
    <n v="200779"/>
    <n v="1284"/>
    <s v="Margaret Mwari"/>
    <n v="66"/>
    <x v="0"/>
    <s v="Female 0726168442"/>
    <s v="Spouse"/>
    <s v="Pneumonia/ TB/Severe GE"/>
    <x v="16"/>
    <s v="02.02.2026"/>
    <s v="07.02.2026"/>
    <n v="5"/>
    <n v="270736.14"/>
    <s v="February "/>
    <m/>
    <m/>
  </r>
  <r>
    <s v="UHSF- DFMH"/>
    <n v="2022483"/>
    <n v="80695"/>
    <s v="Irsha Roba"/>
    <n v="3"/>
    <x v="2"/>
    <s v="Female 0720019232"/>
    <s v="Child"/>
    <s v="Pneumonia/ with neck abscess"/>
    <x v="16"/>
    <s v="16.02.2026"/>
    <s v="23.02.2026"/>
    <n v="7"/>
    <n v="94977.41"/>
    <s v="February "/>
    <m/>
    <m/>
  </r>
  <r>
    <s v="POPE BENEDICT"/>
    <n v="2001045"/>
    <n v="17578"/>
    <s v="Waweru Mathu"/>
    <n v="80"/>
    <x v="0"/>
    <s v="Male 0722525808"/>
    <s v="Contributor"/>
    <s v="Pneumonia/DM/HTN/Heart disease"/>
    <x v="16"/>
    <s v="25.03.2026"/>
    <s v="29.03.2026"/>
    <n v="2"/>
    <n v="88097"/>
    <s v="March"/>
    <n v="254720369501"/>
    <m/>
  </r>
  <r>
    <s v="AGA KAHN KISUMU"/>
    <n v="2001981"/>
    <n v="101191"/>
    <s v="Emmanuel Yogo"/>
    <n v="73"/>
    <x v="0"/>
    <s v="Male 0711864528"/>
    <s v="Contributor"/>
    <s v="Pneumonia/ge in htn"/>
    <x v="16"/>
    <s v="11.03.2026"/>
    <s v="17.03.2026"/>
    <n v="6"/>
    <n v="410408"/>
    <s v="March"/>
    <n v="254721369143"/>
    <m/>
  </r>
  <r>
    <s v="Nairobi West"/>
    <n v="2001116"/>
    <n v="1035"/>
    <s v="James Ikua"/>
    <n v="86"/>
    <x v="3"/>
    <s v="Male 0725359422"/>
    <s v="Contributor"/>
    <s v="Pneumonia/heart failure/venous ulcers/ckd /dm/htn"/>
    <x v="16"/>
    <s v="21.01.2026"/>
    <s v="31.01.2026"/>
    <n v="10"/>
    <n v="465833.84"/>
    <s v="January"/>
    <m/>
    <m/>
  </r>
  <r>
    <s v="EXCEL HEALTH SERVICE"/>
    <n v="2021285"/>
    <n v="60702"/>
    <s v="Abdifatah Ibrahim"/>
    <n v="8"/>
    <x v="2"/>
    <s v="Male 0798114340"/>
    <s v="Child"/>
    <s v="Pneumonia/sepsis/cerebral palsy"/>
    <x v="16"/>
    <s v="13.01.2026"/>
    <s v="16.01.2026"/>
    <n v="3"/>
    <n v="61634"/>
    <s v="January"/>
    <m/>
    <m/>
  </r>
  <r>
    <s v="BISHOP KIOKO"/>
    <n v="2006683"/>
    <n v="57632"/>
    <s v="Josephine Mwalimu"/>
    <n v="57"/>
    <x v="0"/>
    <s v="Female 0728458750"/>
    <s v="Spouse"/>
    <s v="Severe pna/htn/? HHD"/>
    <x v="16"/>
    <s v="13.01.2026"/>
    <s v="16.01.2026"/>
    <n v="3"/>
    <n v="26277"/>
    <s v="January"/>
    <m/>
    <m/>
  </r>
  <r>
    <s v="NAIROBI SOUTH HOSP"/>
    <n v="2022317"/>
    <n v="103261"/>
    <s v="Fatuma Ismail"/>
    <n v="56"/>
    <x v="0"/>
    <s v="Female"/>
    <s v="Spouse"/>
    <s v="Severe pnemonia"/>
    <x v="16"/>
    <s v="13.02.2026"/>
    <s v="14.02.2026"/>
    <n v="1"/>
    <n v="158625.75"/>
    <s v="February "/>
    <m/>
    <m/>
  </r>
  <r>
    <s v="THE KAREN HOSP"/>
    <n v="2023609"/>
    <n v="21313"/>
    <s v="Mercy Nakumicha"/>
    <n v="49"/>
    <x v="1"/>
    <s v="Female"/>
    <s v="Spouse"/>
    <s v="Severe pneumonia/asthma"/>
    <x v="16"/>
    <s v="15.02.2026"/>
    <s v="15.02.2026"/>
    <s v="Day case"/>
    <n v="150000"/>
    <s v="February "/>
    <m/>
    <m/>
  </r>
  <r>
    <s v="UHSF - NRH"/>
    <n v="2023609"/>
    <n v="21313"/>
    <s v="Mercylydia Nakumicha"/>
    <n v="49"/>
    <x v="1"/>
    <s v="Female 0725439019"/>
    <s v="Spouse"/>
    <s v="Severe pneumonia/asthma"/>
    <x v="16"/>
    <s v="14.02.2026"/>
    <s v="16.02.2026"/>
    <n v="2"/>
    <n v="52463.34"/>
    <s v="February "/>
    <m/>
    <m/>
  </r>
  <r>
    <s v="KIMININI COTTAGE"/>
    <n v="2021273"/>
    <n v="56896"/>
    <s v="Hellen Nanjala"/>
    <n v="59"/>
    <x v="0"/>
    <s v="Female 0722961245"/>
    <s v="Spouse"/>
    <s v="Severe pneumonia/ca breast"/>
    <x v="16"/>
    <s v="12.03.2026"/>
    <s v="13.03.2026"/>
    <n v="1"/>
    <n v="34000"/>
    <s v="March"/>
    <n v="254724712619"/>
    <m/>
  </r>
  <r>
    <s v="UHSF- ERH"/>
    <n v="2021273"/>
    <n v="56896"/>
    <s v="Hellen Nanjala"/>
    <n v="59"/>
    <x v="0"/>
    <s v="Female 0722961245"/>
    <s v="Spouse"/>
    <s v="Severe pneumonia/ca breast"/>
    <x v="16"/>
    <s v="12.03.2026"/>
    <s v="13.03.2026"/>
    <n v="1"/>
    <n v="74069.740000000005"/>
    <s v="March"/>
    <n v="254722708622"/>
    <m/>
  </r>
  <r>
    <s v="Ramata Nursing"/>
    <n v="2403116"/>
    <n v="57766"/>
    <s v="Fayo Hussein"/>
    <n v="19"/>
    <x v="2"/>
    <s v="Male 0728039241"/>
    <s v="Child"/>
    <s v="Severe pneumonia/hyperglycemia"/>
    <x v="16"/>
    <s v="27.01.2026-Hosp to bill through smart"/>
    <s v="31.01.2026"/>
    <n v="4"/>
    <n v="90630"/>
    <s v="January"/>
    <m/>
    <m/>
  </r>
  <r>
    <s v="SILOAM HOSP"/>
    <n v="2004023"/>
    <n v="61041"/>
    <s v="Chillion Onyinkwa"/>
    <n v="65"/>
    <x v="0"/>
    <s v="Male 0712209116"/>
    <s v="Contributor"/>
    <s v="Acute urine retention/obstructive uropathy "/>
    <x v="9"/>
    <s v="22.02.2026"/>
    <s v="24.02.2026"/>
    <n v="2"/>
    <n v="51297"/>
    <s v="February "/>
    <m/>
    <m/>
  </r>
  <r>
    <s v="ST LUKE O&amp;T"/>
    <n v="2004023"/>
    <n v="61041"/>
    <s v="Chillion Onyinkwa"/>
    <n v="65"/>
    <x v="0"/>
    <s v="Male 0712209116"/>
    <s v="Contributor"/>
    <s v="Acute urine retention/obstructive uropathy "/>
    <x v="9"/>
    <s v="24.02.2026"/>
    <s v="25.02.2026"/>
    <n v="1"/>
    <n v="62050"/>
    <s v="February "/>
    <m/>
    <m/>
  </r>
  <r>
    <s v="AGA KAHN KISUMU"/>
    <n v="2013720"/>
    <n v="15793"/>
    <s v="Joseph Ayieko"/>
    <n v="64"/>
    <x v="0"/>
    <s v="Male 0722636922"/>
    <s v="Contributor"/>
    <s v="Prostate Enlargement "/>
    <x v="9"/>
    <s v="25.03.2026"/>
    <s v="26.03.2026"/>
    <n v="1"/>
    <n v="81996"/>
    <s v="March"/>
    <n v="254705864457"/>
    <m/>
  </r>
  <r>
    <s v="JOCHAM HOSP"/>
    <n v="2005002"/>
    <n v="105502"/>
    <s v="Hussein Ali"/>
    <n v="18"/>
    <x v="2"/>
    <s v="Male 0721553798"/>
    <s v="Child "/>
    <s v="Varicocele "/>
    <x v="9"/>
    <s v="13.02.2026-Hosp to bill through smart"/>
    <s v="19.02.2026"/>
    <n v="6"/>
    <n v="300000"/>
    <s v="February "/>
    <m/>
    <m/>
  </r>
  <r>
    <m/>
    <m/>
    <m/>
    <m/>
    <m/>
    <x v="2"/>
    <m/>
    <m/>
    <m/>
    <x v="17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5636F-F0DA-4403-8EF2-85A7B5C996FD}" name="PivotTable3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">
  <location ref="B3:G23" firstHeaderRow="1" firstDataRow="2" firstDataCol="1"/>
  <pivotFields count="17"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axis="axisRow" showAll="0" sortType="descending">
      <items count="53">
        <item m="1" x="30"/>
        <item x="0"/>
        <item x="1"/>
        <item x="2"/>
        <item m="1" x="31"/>
        <item m="1" x="32"/>
        <item m="1" x="33"/>
        <item m="1" x="34"/>
        <item m="1" x="35"/>
        <item x="7"/>
        <item x="8"/>
        <item x="9"/>
        <item m="1" x="36"/>
        <item m="1" x="37"/>
        <item m="1" x="38"/>
        <item m="1" x="39"/>
        <item m="1" x="40"/>
        <item m="1" x="41"/>
        <item m="1" x="42"/>
        <item x="11"/>
        <item m="1" x="43"/>
        <item m="1" x="28"/>
        <item x="3"/>
        <item m="1" x="44"/>
        <item x="12"/>
        <item m="1" x="45"/>
        <item m="1" x="46"/>
        <item x="10"/>
        <item x="6"/>
        <item m="1" x="47"/>
        <item m="1" x="48"/>
        <item x="13"/>
        <item x="14"/>
        <item m="1" x="49"/>
        <item m="1" x="50"/>
        <item x="15"/>
        <item x="16"/>
        <item m="1" x="51"/>
        <item x="17"/>
        <item m="1" x="22"/>
        <item x="5"/>
        <item m="1" x="20"/>
        <item m="1" x="21"/>
        <item m="1" x="23"/>
        <item m="1" x="26"/>
        <item m="1" x="24"/>
        <item m="1" x="29"/>
        <item m="1" x="19"/>
        <item m="1" x="27"/>
        <item m="1" x="18"/>
        <item m="1" x="2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9"/>
  </rowFields>
  <rowItems count="19">
    <i>
      <x v="27"/>
    </i>
    <i>
      <x v="1"/>
    </i>
    <i>
      <x v="11"/>
    </i>
    <i>
      <x v="9"/>
    </i>
    <i>
      <x v="22"/>
    </i>
    <i>
      <x v="51"/>
    </i>
    <i>
      <x v="28"/>
    </i>
    <i>
      <x v="2"/>
    </i>
    <i>
      <x v="24"/>
    </i>
    <i>
      <x v="36"/>
    </i>
    <i>
      <x v="32"/>
    </i>
    <i>
      <x v="19"/>
    </i>
    <i>
      <x v="31"/>
    </i>
    <i>
      <x v="10"/>
    </i>
    <i>
      <x v="40"/>
    </i>
    <i>
      <x v="35"/>
    </i>
    <i>
      <x v="3"/>
    </i>
    <i>
      <x v="3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 of Approved LOU on Account (Kshs)" fld="13" baseField="0" baseItem="0" numFmtId="164"/>
  </dataFields>
  <formats count="34">
    <format dxfId="151">
      <pivotArea collapsedLevelsAreSubtotals="1" fieldPosition="0">
        <references count="1">
          <reference field="9" count="2">
            <x v="16"/>
            <x v="17"/>
          </reference>
        </references>
      </pivotArea>
    </format>
    <format dxfId="150">
      <pivotArea dataOnly="0" labelOnly="1" fieldPosition="0">
        <references count="1">
          <reference field="9" count="2">
            <x v="16"/>
            <x v="17"/>
          </reference>
        </references>
      </pivotArea>
    </format>
    <format dxfId="149">
      <pivotArea collapsedLevelsAreSubtotals="1" fieldPosition="0">
        <references count="1">
          <reference field="9" count="3">
            <x v="18"/>
            <x v="19"/>
            <x v="20"/>
          </reference>
        </references>
      </pivotArea>
    </format>
    <format dxfId="148">
      <pivotArea dataOnly="0" labelOnly="1" fieldPosition="0">
        <references count="1">
          <reference field="9" count="3">
            <x v="18"/>
            <x v="19"/>
            <x v="20"/>
          </reference>
        </references>
      </pivotArea>
    </format>
    <format dxfId="147">
      <pivotArea collapsedLevelsAreSubtotals="1" fieldPosition="0">
        <references count="1">
          <reference field="9" count="1">
            <x v="32"/>
          </reference>
        </references>
      </pivotArea>
    </format>
    <format dxfId="146">
      <pivotArea dataOnly="0" labelOnly="1" fieldPosition="0">
        <references count="1">
          <reference field="9" count="1">
            <x v="32"/>
          </reference>
        </references>
      </pivotArea>
    </format>
    <format dxfId="145">
      <pivotArea collapsedLevelsAreSubtotals="1" fieldPosition="0">
        <references count="1">
          <reference field="9" count="1">
            <x v="33"/>
          </reference>
        </references>
      </pivotArea>
    </format>
    <format dxfId="144">
      <pivotArea dataOnly="0" labelOnly="1" fieldPosition="0">
        <references count="1">
          <reference field="9" count="1">
            <x v="33"/>
          </reference>
        </references>
      </pivotArea>
    </format>
    <format dxfId="143">
      <pivotArea collapsedLevelsAreSubtotals="1" fieldPosition="0">
        <references count="1">
          <reference field="9" count="2">
            <x v="34"/>
            <x v="35"/>
          </reference>
        </references>
      </pivotArea>
    </format>
    <format dxfId="142">
      <pivotArea dataOnly="0" labelOnly="1" fieldPosition="0">
        <references count="1">
          <reference field="9" count="2">
            <x v="34"/>
            <x v="35"/>
          </reference>
        </references>
      </pivotArea>
    </format>
    <format dxfId="141">
      <pivotArea collapsedLevelsAreSubtotals="1" fieldPosition="0">
        <references count="1">
          <reference field="9" count="1">
            <x v="36"/>
          </reference>
        </references>
      </pivotArea>
    </format>
    <format dxfId="140">
      <pivotArea dataOnly="0" labelOnly="1" fieldPosition="0">
        <references count="1">
          <reference field="9" count="1">
            <x v="36"/>
          </reference>
        </references>
      </pivotArea>
    </format>
    <format dxfId="90">
      <pivotArea outline="0" collapsedLevelsAreSubtotals="1" fieldPosition="0"/>
    </format>
    <format dxfId="89">
      <pivotArea field="9" type="button" dataOnly="0" labelOnly="1" outline="0" axis="axisRow" fieldPosition="0"/>
    </format>
    <format dxfId="88">
      <pivotArea dataOnly="0" labelOnly="1" fieldPosition="0">
        <references count="1">
          <reference field="9" count="0"/>
        </references>
      </pivotArea>
    </format>
    <format dxfId="87">
      <pivotArea dataOnly="0" labelOnly="1" grandRow="1" outline="0" fieldPosition="0"/>
    </format>
    <format dxfId="86">
      <pivotArea dataOnly="0" labelOnly="1" fieldPosition="0">
        <references count="1">
          <reference field="5" count="0"/>
        </references>
      </pivotArea>
    </format>
    <format dxfId="85">
      <pivotArea dataOnly="0" labelOnly="1" grandCol="1" outline="0" fieldPosition="0"/>
    </format>
    <format dxfId="84">
      <pivotArea outline="0" collapsedLevelsAreSubtotals="1" fieldPosition="0"/>
    </format>
    <format dxfId="83">
      <pivotArea field="9" type="button" dataOnly="0" labelOnly="1" outline="0" axis="axisRow" fieldPosition="0"/>
    </format>
    <format dxfId="82">
      <pivotArea dataOnly="0" labelOnly="1" fieldPosition="0">
        <references count="1">
          <reference field="9" count="0"/>
        </references>
      </pivotArea>
    </format>
    <format dxfId="81">
      <pivotArea dataOnly="0" labelOnly="1" grandRow="1" outline="0" fieldPosition="0"/>
    </format>
    <format dxfId="80">
      <pivotArea dataOnly="0" labelOnly="1" fieldPosition="0">
        <references count="1">
          <reference field="5" count="0"/>
        </references>
      </pivotArea>
    </format>
    <format dxfId="79">
      <pivotArea dataOnly="0" labelOnly="1" grandCol="1" outline="0" fieldPosition="0"/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type="origin" dataOnly="0" labelOnly="1" outline="0" fieldPosition="0"/>
    </format>
    <format dxfId="75">
      <pivotArea field="5" type="button" dataOnly="0" labelOnly="1" outline="0" axis="axisCol" fieldPosition="0"/>
    </format>
    <format dxfId="74">
      <pivotArea type="topRight" dataOnly="0" labelOnly="1" outline="0" fieldPosition="0"/>
    </format>
    <format dxfId="73">
      <pivotArea field="9" type="button" dataOnly="0" labelOnly="1" outline="0" axis="axisRow" fieldPosition="0"/>
    </format>
    <format dxfId="72">
      <pivotArea dataOnly="0" labelOnly="1" fieldPosition="0">
        <references count="1">
          <reference field="9" count="0"/>
        </references>
      </pivotArea>
    </format>
    <format dxfId="71">
      <pivotArea dataOnly="0" labelOnly="1" grandRow="1" outline="0" fieldPosition="0"/>
    </format>
    <format dxfId="70">
      <pivotArea dataOnly="0" labelOnly="1" fieldPosition="0">
        <references count="1">
          <reference field="5" count="0"/>
        </references>
      </pivotArea>
    </format>
    <format dxfId="6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41EF9E-F07F-40DC-AE70-6AB75BF336D3}" name="Table1" displayName="Table1" ref="A1:M334" totalsRowShown="0" headerRowDxfId="139" tableBorderDxfId="138">
  <autoFilter ref="A1:M334" xr:uid="{1041EF9E-F07F-40DC-AE70-6AB75BF336D3}"/>
  <tableColumns count="13">
    <tableColumn id="1" xr3:uid="{A8DCFEE0-946C-4BBD-A58D-6128B2ACD0EB}" name="Hosp" dataDxfId="137"/>
    <tableColumn id="2" xr3:uid="{D6828401-0458-45C2-AA9F-4407B09B8F09}" name="Mno."/>
    <tableColumn id="3" xr3:uid="{C1FD96C8-832C-4934-A8AA-BDA20CDB1615}" name="SVC No."/>
    <tableColumn id="4" xr3:uid="{88871443-7FF6-4E80-94CD-8843A48F2BE9}" name="Name"/>
    <tableColumn id="5" xr3:uid="{29B8FDA1-79E3-4AC5-859D-9327316330B0}" name="Age"/>
    <tableColumn id="6" xr3:uid="{D64C93FE-3625-4993-9F45-3129838EEE1E}" name="Gender"/>
    <tableColumn id="7" xr3:uid="{9D731B76-3193-4E07-AA1E-66F3EBD0351C}" name="R/Ship"/>
    <tableColumn id="8" xr3:uid="{7E17FCA4-D9EF-4DFF-A2E5-EE5A5D83210A}" name="Diagnosis"/>
    <tableColumn id="9" xr3:uid="{5D2DEB2B-65A4-4610-A189-07BF8DC180EE}" name="DOA"/>
    <tableColumn id="10" xr3:uid="{B9D09547-2A0F-4445-B092-5A8EA49E90C5}" name="DOD"/>
    <tableColumn id="11" xr3:uid="{CD3A8485-18C3-4D35-A2F0-6759E2408F77}" name="Hosp stay Days"/>
    <tableColumn id="12" xr3:uid="{03543259-511C-4388-8A92-23B5CFBB96CE}" name="Approved LOU on Account (Kshs)"/>
    <tableColumn id="13" xr3:uid="{E32F3BFA-5AE1-4383-8CE5-996102E8D10E}" name="Month Paid" dataDxfId="1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A591A7-D692-4DFE-9522-C8D12E833982}" name="Table2" displayName="Table2" ref="A1:M341" totalsRowShown="0" tableBorderDxfId="135">
  <autoFilter ref="A1:M341" xr:uid="{39A591A7-D692-4DFE-9522-C8D12E833982}"/>
  <tableColumns count="13">
    <tableColumn id="1" xr3:uid="{4305B45F-A836-4C37-AACD-CC0CA4B7FFF0}" name="Hosp"/>
    <tableColumn id="2" xr3:uid="{40E5D43C-B8B8-46C5-BCE3-36B954435742}" name="Mno." dataDxfId="134"/>
    <tableColumn id="3" xr3:uid="{406DDEAF-CF9C-4153-BD82-585E7A748B0A}" name="SVC No." dataDxfId="133"/>
    <tableColumn id="4" xr3:uid="{1DBD1FDF-1870-411F-9CED-13466DD578E1}" name="Name" dataDxfId="132"/>
    <tableColumn id="5" xr3:uid="{6965E80C-677D-47E0-8573-853EC72D8020}" name="Age" dataDxfId="131"/>
    <tableColumn id="6" xr3:uid="{F3BCB6C4-CA74-4266-B884-169B7079DB80}" name="Gender" dataDxfId="130"/>
    <tableColumn id="7" xr3:uid="{9AFA6633-877B-496D-A3A5-216E4A2D3E6D}" name="R/Ship" dataDxfId="129"/>
    <tableColumn id="8" xr3:uid="{C49D8C83-4F15-4935-9770-39A112980D26}" name="Diagnosis"/>
    <tableColumn id="9" xr3:uid="{AF5CDC0A-273F-4E0C-8E2F-F0BBD18D8A13}" name="DOA"/>
    <tableColumn id="10" xr3:uid="{F7540449-43E5-4AE3-BD11-17F51042B75E}" name="DOD"/>
    <tableColumn id="11" xr3:uid="{546A6084-288D-4A4A-B48E-07931C044214}" name="Hosp stay Days" dataDxfId="128"/>
    <tableColumn id="12" xr3:uid="{A589B9CE-3156-4540-B061-957446A4509F}" name="Approved LOU on Account (Kshs)" dataDxfId="127"/>
    <tableColumn id="13" xr3:uid="{6325B4DF-65F4-4331-9CEC-BBB3CA9A8D68}" name="Month Paid" dataDxfId="1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D9601E-A576-4C42-8430-C3893E937F34}" name="Table3" displayName="Table3" ref="A1:N328" totalsRowShown="0" tableBorderDxfId="125">
  <autoFilter ref="A1:N328" xr:uid="{95D9601E-A576-4C42-8430-C3893E937F34}"/>
  <tableColumns count="14">
    <tableColumn id="1" xr3:uid="{B75936B1-0576-44F3-ADCD-37185A756D03}" name="Hosp" dataDxfId="124"/>
    <tableColumn id="2" xr3:uid="{198EDB84-5B40-40FB-9349-3DADC690B006}" name="Mno." dataDxfId="123"/>
    <tableColumn id="3" xr3:uid="{40F7F836-3DA0-494A-99E8-A32F0BD372B5}" name="SVC No." dataDxfId="122"/>
    <tableColumn id="4" xr3:uid="{6D14F1BB-81F5-4174-8923-FAEDA057FA81}" name="Name" dataDxfId="121"/>
    <tableColumn id="5" xr3:uid="{8CD4F72E-6633-4580-AE2B-CC9D6521F237}" name="Age" dataDxfId="120"/>
    <tableColumn id="6" xr3:uid="{37A546A9-2109-474B-833D-5EDD59DB33CC}" name="Gender" dataDxfId="119"/>
    <tableColumn id="7" xr3:uid="{F0FC4B8E-61D4-4F32-BB04-EA618CBD0EF1}" name="R/Ship" dataDxfId="118"/>
    <tableColumn id="8" xr3:uid="{EE5E924F-1034-4666-9938-CE6C5C8BFC6A}" name="Diagnosis" dataDxfId="117"/>
    <tableColumn id="9" xr3:uid="{9E0DA24F-27BD-480E-8F52-6E82FEDF2743}" name="DOA" dataDxfId="116"/>
    <tableColumn id="10" xr3:uid="{BDF36C3A-CD18-4B40-9C8E-75022A561C0F}" name="DOD" dataDxfId="115"/>
    <tableColumn id="11" xr3:uid="{3CE4DCB9-4A60-4584-8F02-E08AD234DA68}" name="Hosp stay Days" dataDxfId="114"/>
    <tableColumn id="12" xr3:uid="{28F7DAAA-44D4-4B7C-9D6A-BA5CF622FD13}" name="Approved LOU on Account (Kshs)" dataDxfId="113" dataCellStyle="Comma"/>
    <tableColumn id="13" xr3:uid="{7ABCE4C2-9ECB-43AD-AC43-2C2142E91652}" name="Month Paid" dataDxfId="112" dataCellStyle="Comma"/>
    <tableColumn id="14" xr3:uid="{75384486-8871-463D-98F9-908EEE3D2980}" name="Contact" dataDxfId="111" dataCellStyle="Comm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A1AAE3-7D8E-4853-B44F-D4362CF3E008}" name="Table4" displayName="Table4" ref="A1:Q1003" totalsRowCount="1" headerRowDxfId="110" dataDxfId="109" tableBorderDxfId="108" dataCellStyle="Comma">
  <autoFilter ref="A1:Q1002" xr:uid="{4BA1AAE3-7D8E-4853-B44F-D4362CF3E008}"/>
  <sortState xmlns:xlrd2="http://schemas.microsoft.com/office/spreadsheetml/2017/richdata2" ref="A2:Q1002">
    <sortCondition ref="M2:M1002"/>
  </sortState>
  <tableColumns count="17">
    <tableColumn id="1" xr3:uid="{D670515C-F991-4DAC-A46B-B64BB227D00A}" name="Hosp" dataDxfId="107" totalsRowDxfId="68"/>
    <tableColumn id="2" xr3:uid="{87DFAAAC-90E8-48A7-9855-D864E1B03B71}" name="Mno." dataDxfId="106" totalsRowDxfId="67"/>
    <tableColumn id="3" xr3:uid="{BFA86051-9283-4450-AEE0-D3CF2C5A9467}" name="SVC No." dataDxfId="105" totalsRowDxfId="66"/>
    <tableColumn id="4" xr3:uid="{92FE400F-B885-4C40-8142-B403A9DC51D5}" name="Name" dataDxfId="104" totalsRowDxfId="65"/>
    <tableColumn id="5" xr3:uid="{AB6C361D-66F3-443E-99A1-15F85C1FA3D7}" name="Age" dataDxfId="103" totalsRowDxfId="64"/>
    <tableColumn id="17" xr3:uid="{C6131485-EE9F-431B-842E-E57C481D6396}" name="age bracket" dataDxfId="91" totalsRowDxfId="63">
      <calculatedColumnFormula>IF(E2&lt;=20,"0-19",
IF(E2&lt;=50,"20-49",
IF(E2&lt;=80,"50-79","80+")))</calculatedColumnFormula>
    </tableColumn>
    <tableColumn id="6" xr3:uid="{048EEF1F-BE96-4C1C-ACFC-863B8B86042E}" name="Gender" dataDxfId="102" totalsRowDxfId="62"/>
    <tableColumn id="7" xr3:uid="{23845E61-35B4-45EE-AADD-15D33362A6C2}" name="R/Ship" dataDxfId="101" totalsRowDxfId="61"/>
    <tableColumn id="8" xr3:uid="{4AB881DE-78E3-49D2-8293-FC5214EA5197}" name="Diagnosis" dataDxfId="100" totalsRowDxfId="60"/>
    <tableColumn id="15" xr3:uid="{72289B3D-0FE8-449E-9DCE-D573ECBFBF1E}" name="maind disorder" dataDxfId="99" totalsRowDxfId="59"/>
    <tableColumn id="9" xr3:uid="{99A69A51-BB52-48E8-92E1-13763D29CD71}" name="DOA" dataDxfId="98" totalsRowDxfId="58"/>
    <tableColumn id="10" xr3:uid="{42E99DFD-EB14-451A-A5B2-0609EE40D0C6}" name="DOD" dataDxfId="97" totalsRowDxfId="57"/>
    <tableColumn id="11" xr3:uid="{25CA1F72-0FE6-4651-BC91-71A1CB54DCF3}" name="Hosp stay Days" dataDxfId="96" totalsRowDxfId="56"/>
    <tableColumn id="12" xr3:uid="{8A9A38A1-7561-4615-AA60-F497104637DE}" name="Approved LOU on Account (Kshs)" dataDxfId="95" totalsRowDxfId="55" dataCellStyle="Comma"/>
    <tableColumn id="13" xr3:uid="{9506B664-5378-4929-9E65-9DE61DBE6665}" name="Month Paid" dataDxfId="94" totalsRowDxfId="54" dataCellStyle="Comma"/>
    <tableColumn id="14" xr3:uid="{EDA55737-CC3E-45F9-B74C-D11FB943B5BF}" name="Contact " dataDxfId="93" totalsRowDxfId="53" dataCellStyle="Comma"/>
    <tableColumn id="16" xr3:uid="{3BE4A13A-3604-4C17-A8EB-740D15C1F01A}" name="Column1" dataDxfId="92" dataCellStyle="Comm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525C1A-4650-4D0B-B0E1-CFD7F22F09C4}" name="Table46" displayName="Table46" ref="A1:Q1001" totalsRowShown="0" headerRowDxfId="52" dataDxfId="51" tableBorderDxfId="50" dataCellStyle="Comma">
  <autoFilter ref="A1:Q1001" xr:uid="{4BA1AAE3-7D8E-4853-B44F-D4362CF3E008}">
    <filterColumn colId="12">
      <filters>
        <filter val=" 7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"/>
        <filter val="2 "/>
        <filter val="20"/>
        <filter val="21"/>
        <filter val="22"/>
        <filter val="23"/>
        <filter val="24"/>
        <filter val="27"/>
        <filter val="28"/>
        <filter val="29"/>
        <filter val="3"/>
        <filter val="30"/>
        <filter val="32"/>
        <filter val="4"/>
        <filter val="46"/>
        <filter val="47"/>
        <filter val="48"/>
        <filter val="49"/>
        <filter val="5"/>
        <filter val="6"/>
        <filter val="67"/>
        <filter val="7"/>
        <filter val="75"/>
        <filter val="76"/>
        <filter val="8"/>
        <filter val="9"/>
      </filters>
    </filterColumn>
  </autoFilter>
  <sortState xmlns:xlrd2="http://schemas.microsoft.com/office/spreadsheetml/2017/richdata2" ref="A2:Q1001">
    <sortCondition ref="M2:M1001"/>
  </sortState>
  <tableColumns count="17">
    <tableColumn id="1" xr3:uid="{390D48E2-BD42-44F0-A51D-696346453749}" name="Hosp" dataDxfId="49" totalsRowDxfId="48"/>
    <tableColumn id="2" xr3:uid="{13936F4C-873B-4422-B569-4B8A1BF7CE3A}" name="Mno." dataDxfId="47" totalsRowDxfId="46"/>
    <tableColumn id="3" xr3:uid="{6B1E432D-20A0-43B7-9F83-912A767993E2}" name="SVC No." dataDxfId="45" totalsRowDxfId="44"/>
    <tableColumn id="4" xr3:uid="{869A5014-CDF0-4905-9BE2-D45FC3AA0AA2}" name="Name" dataDxfId="43" totalsRowDxfId="42"/>
    <tableColumn id="5" xr3:uid="{ED5901BA-5540-47D6-BE29-392EC4E21E5E}" name="Age" dataDxfId="41" totalsRowDxfId="40"/>
    <tableColumn id="17" xr3:uid="{7F654898-5471-466E-87D0-FF487AD523C4}" name="age bracket" dataDxfId="39" totalsRowDxfId="38">
      <calculatedColumnFormula>IF(E2&lt;=20,"0-19",
IF(E2&lt;=50,"20-49",
IF(E2&lt;=80,"50-79","80+")))</calculatedColumnFormula>
    </tableColumn>
    <tableColumn id="6" xr3:uid="{32C88E5B-4F0E-4CEE-9DC2-7B172D11E1F0}" name="Gender" dataDxfId="37" totalsRowDxfId="36"/>
    <tableColumn id="7" xr3:uid="{BEA891B4-C1DE-472C-A8FF-11273C233061}" name="R/Ship" dataDxfId="35" totalsRowDxfId="34"/>
    <tableColumn id="8" xr3:uid="{F8878063-1467-45E8-9B93-D39715BEF612}" name="Diagnosis" dataDxfId="33" totalsRowDxfId="32"/>
    <tableColumn id="15" xr3:uid="{2C73EB6E-ADF1-4C11-BF8A-B4F641E0B731}" name="maind disorder" dataDxfId="31" totalsRowDxfId="30"/>
    <tableColumn id="9" xr3:uid="{54B1120D-D701-4484-BE91-D072FB184202}" name="DOA" dataDxfId="29" totalsRowDxfId="28"/>
    <tableColumn id="10" xr3:uid="{B0E6A6C9-27E4-4E2C-93BE-8FE1B6086B63}" name="DOD" dataDxfId="27" totalsRowDxfId="26"/>
    <tableColumn id="11" xr3:uid="{C0B0EC90-7F6E-4554-9015-38CA56C9CBAC}" name="Hosp stay Days" dataDxfId="25" totalsRowDxfId="24"/>
    <tableColumn id="12" xr3:uid="{1F30CEA1-4966-4012-9EFA-475B81DD43C1}" name="Approved LOU on Account (Kshs)" dataDxfId="23" totalsRowDxfId="22" dataCellStyle="Comma"/>
    <tableColumn id="13" xr3:uid="{572263CF-0A3C-4623-B7F1-68B54F83C9F6}" name="Month Paid" dataDxfId="21" totalsRowDxfId="20" dataCellStyle="Comma"/>
    <tableColumn id="14" xr3:uid="{B273836F-5C12-42D4-98F6-62FB2B1A0368}" name="Contact " dataDxfId="19" totalsRowDxfId="18" dataCellStyle="Comma"/>
    <tableColumn id="16" xr3:uid="{7D802DF0-8DFC-4CBE-AD87-B176B41BC958}" name="Column1" dataDxfId="17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75C5E-F780-40F0-B743-5598FA980084}">
  <dimension ref="A1:M334"/>
  <sheetViews>
    <sheetView workbookViewId="0">
      <selection activeCell="H4" sqref="H4"/>
    </sheetView>
  </sheetViews>
  <sheetFormatPr defaultColWidth="30.7109375" defaultRowHeight="15" x14ac:dyDescent="0.25"/>
  <cols>
    <col min="1" max="1" width="17.85546875" customWidth="1"/>
    <col min="2" max="2" width="8" bestFit="1" customWidth="1"/>
    <col min="3" max="3" width="12.42578125" bestFit="1" customWidth="1"/>
    <col min="4" max="4" width="17.28515625" customWidth="1"/>
    <col min="5" max="5" width="6.7109375" bestFit="1" customWidth="1"/>
    <col min="6" max="6" width="19.85546875" bestFit="1" customWidth="1"/>
    <col min="7" max="7" width="10.42578125" bestFit="1" customWidth="1"/>
    <col min="8" max="8" width="23.5703125" customWidth="1"/>
    <col min="9" max="9" width="14.42578125" customWidth="1"/>
    <col min="10" max="10" width="12.5703125" customWidth="1"/>
    <col min="11" max="11" width="14.5703125" customWidth="1"/>
    <col min="12" max="12" width="20.5703125" customWidth="1"/>
    <col min="13" max="13" width="13.140625" customWidth="1"/>
  </cols>
  <sheetData>
    <row r="1" spans="1:13" ht="30" customHeight="1" x14ac:dyDescent="0.25">
      <c r="A1" s="49" t="s">
        <v>0</v>
      </c>
      <c r="B1" s="50" t="s">
        <v>1</v>
      </c>
      <c r="C1" s="51" t="s">
        <v>2</v>
      </c>
      <c r="D1" s="50" t="s">
        <v>3</v>
      </c>
      <c r="E1" s="50" t="s">
        <v>4</v>
      </c>
      <c r="F1" s="50" t="s">
        <v>2255</v>
      </c>
      <c r="G1" s="50" t="s">
        <v>5</v>
      </c>
      <c r="H1" s="50" t="s">
        <v>6</v>
      </c>
      <c r="I1" s="50" t="s">
        <v>7</v>
      </c>
      <c r="J1" s="50" t="s">
        <v>8</v>
      </c>
      <c r="K1" s="52" t="s">
        <v>9</v>
      </c>
      <c r="L1" s="53" t="s">
        <v>10</v>
      </c>
      <c r="M1" s="54" t="s">
        <v>11</v>
      </c>
    </row>
    <row r="2" spans="1:13" x14ac:dyDescent="0.25">
      <c r="A2" s="2" t="s">
        <v>12</v>
      </c>
      <c r="B2" s="3">
        <v>2022001</v>
      </c>
      <c r="C2" s="4">
        <v>16631</v>
      </c>
      <c r="D2" s="3" t="s">
        <v>13</v>
      </c>
      <c r="E2" s="3">
        <v>58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17</v>
      </c>
      <c r="K2" s="3">
        <v>1</v>
      </c>
      <c r="L2" s="5">
        <v>30745.25</v>
      </c>
      <c r="M2" s="1" t="s">
        <v>18</v>
      </c>
    </row>
    <row r="3" spans="1:13" x14ac:dyDescent="0.25">
      <c r="A3" s="6" t="s">
        <v>19</v>
      </c>
      <c r="B3" s="7">
        <v>2001971</v>
      </c>
      <c r="C3" s="8">
        <v>12324</v>
      </c>
      <c r="D3" s="9" t="s">
        <v>20</v>
      </c>
      <c r="E3" s="7">
        <v>67</v>
      </c>
      <c r="F3" s="7" t="s">
        <v>21</v>
      </c>
      <c r="G3" s="7" t="s">
        <v>22</v>
      </c>
      <c r="H3" s="9" t="s">
        <v>23</v>
      </c>
      <c r="I3" s="9" t="s">
        <v>24</v>
      </c>
      <c r="J3" s="7" t="s">
        <v>25</v>
      </c>
      <c r="K3" s="9">
        <v>1</v>
      </c>
      <c r="L3" s="10">
        <v>98666</v>
      </c>
      <c r="M3" s="1" t="s">
        <v>18</v>
      </c>
    </row>
    <row r="4" spans="1:13" x14ac:dyDescent="0.25">
      <c r="A4" s="11" t="s">
        <v>26</v>
      </c>
      <c r="B4" s="12">
        <v>2007413</v>
      </c>
      <c r="C4" s="13">
        <v>20881</v>
      </c>
      <c r="D4" s="12" t="s">
        <v>27</v>
      </c>
      <c r="E4" s="14">
        <v>64</v>
      </c>
      <c r="F4" s="12" t="s">
        <v>28</v>
      </c>
      <c r="G4" s="12" t="s">
        <v>15</v>
      </c>
      <c r="H4" s="12" t="s">
        <v>29</v>
      </c>
      <c r="I4" s="14" t="s">
        <v>30</v>
      </c>
      <c r="J4" s="14" t="s">
        <v>31</v>
      </c>
      <c r="K4" s="12">
        <v>1</v>
      </c>
      <c r="L4" s="15">
        <v>92025</v>
      </c>
      <c r="M4" s="1" t="s">
        <v>18</v>
      </c>
    </row>
    <row r="5" spans="1:13" ht="22.5" x14ac:dyDescent="0.25">
      <c r="A5" s="6" t="s">
        <v>32</v>
      </c>
      <c r="B5" s="7">
        <v>2013527</v>
      </c>
      <c r="C5" s="8">
        <v>65367</v>
      </c>
      <c r="D5" s="9" t="s">
        <v>33</v>
      </c>
      <c r="E5" s="7">
        <v>62</v>
      </c>
      <c r="F5" s="7" t="s">
        <v>34</v>
      </c>
      <c r="G5" s="7" t="s">
        <v>22</v>
      </c>
      <c r="H5" s="9" t="s">
        <v>35</v>
      </c>
      <c r="I5" s="9" t="s">
        <v>36</v>
      </c>
      <c r="J5" s="7" t="s">
        <v>37</v>
      </c>
      <c r="K5" s="9">
        <v>1</v>
      </c>
      <c r="L5" s="10">
        <v>35943</v>
      </c>
      <c r="M5" s="1" t="s">
        <v>18</v>
      </c>
    </row>
    <row r="6" spans="1:13" x14ac:dyDescent="0.25">
      <c r="A6" s="6" t="s">
        <v>38</v>
      </c>
      <c r="B6" s="7">
        <v>2505152</v>
      </c>
      <c r="C6" s="8">
        <v>67191</v>
      </c>
      <c r="D6" s="9" t="s">
        <v>39</v>
      </c>
      <c r="E6" s="7">
        <v>57</v>
      </c>
      <c r="F6" s="7" t="s">
        <v>40</v>
      </c>
      <c r="G6" s="7" t="s">
        <v>22</v>
      </c>
      <c r="H6" s="9" t="s">
        <v>41</v>
      </c>
      <c r="I6" s="9" t="s">
        <v>37</v>
      </c>
      <c r="J6" s="7" t="s">
        <v>42</v>
      </c>
      <c r="K6" s="9">
        <v>1</v>
      </c>
      <c r="L6" s="10">
        <v>67985</v>
      </c>
      <c r="M6" s="1" t="s">
        <v>18</v>
      </c>
    </row>
    <row r="7" spans="1:13" x14ac:dyDescent="0.25">
      <c r="A7" s="2" t="s">
        <v>43</v>
      </c>
      <c r="B7" s="3">
        <v>2018815</v>
      </c>
      <c r="C7" s="4">
        <v>43293</v>
      </c>
      <c r="D7" s="3" t="s">
        <v>44</v>
      </c>
      <c r="E7" s="3">
        <v>60</v>
      </c>
      <c r="F7" s="3" t="s">
        <v>14</v>
      </c>
      <c r="G7" s="3" t="s">
        <v>15</v>
      </c>
      <c r="H7" s="3" t="s">
        <v>45</v>
      </c>
      <c r="I7" s="3" t="s">
        <v>46</v>
      </c>
      <c r="J7" s="3" t="s">
        <v>46</v>
      </c>
      <c r="K7" s="3">
        <v>1</v>
      </c>
      <c r="L7" s="5">
        <v>147677.49</v>
      </c>
      <c r="M7" s="1" t="s">
        <v>18</v>
      </c>
    </row>
    <row r="8" spans="1:13" x14ac:dyDescent="0.25">
      <c r="A8" s="6" t="s">
        <v>47</v>
      </c>
      <c r="B8" s="7">
        <v>2010096</v>
      </c>
      <c r="C8" s="8">
        <v>7076</v>
      </c>
      <c r="D8" s="9" t="s">
        <v>48</v>
      </c>
      <c r="E8" s="7">
        <v>47</v>
      </c>
      <c r="F8" s="7" t="s">
        <v>49</v>
      </c>
      <c r="G8" s="7" t="s">
        <v>15</v>
      </c>
      <c r="H8" s="9" t="s">
        <v>50</v>
      </c>
      <c r="I8" s="9" t="s">
        <v>51</v>
      </c>
      <c r="J8" s="7" t="s">
        <v>52</v>
      </c>
      <c r="K8" s="9">
        <v>1</v>
      </c>
      <c r="L8" s="10">
        <v>127188.53</v>
      </c>
      <c r="M8" s="1" t="s">
        <v>18</v>
      </c>
    </row>
    <row r="9" spans="1:13" ht="22.5" x14ac:dyDescent="0.25">
      <c r="A9" s="6" t="s">
        <v>53</v>
      </c>
      <c r="B9" s="7">
        <v>2006382</v>
      </c>
      <c r="C9" s="8">
        <v>100900</v>
      </c>
      <c r="D9" s="9" t="s">
        <v>54</v>
      </c>
      <c r="E9" s="7">
        <v>69</v>
      </c>
      <c r="F9" s="7" t="s">
        <v>55</v>
      </c>
      <c r="G9" s="7" t="s">
        <v>15</v>
      </c>
      <c r="H9" s="9" t="s">
        <v>56</v>
      </c>
      <c r="I9" s="9" t="s">
        <v>25</v>
      </c>
      <c r="J9" s="7" t="s">
        <v>57</v>
      </c>
      <c r="K9" s="9">
        <v>1</v>
      </c>
      <c r="L9" s="10">
        <v>194820.47</v>
      </c>
      <c r="M9" s="1" t="s">
        <v>18</v>
      </c>
    </row>
    <row r="10" spans="1:13" x14ac:dyDescent="0.25">
      <c r="A10" s="11" t="s">
        <v>58</v>
      </c>
      <c r="B10" s="12">
        <v>2003111</v>
      </c>
      <c r="C10" s="13">
        <v>53272</v>
      </c>
      <c r="D10" s="12" t="s">
        <v>59</v>
      </c>
      <c r="E10" s="14">
        <v>67</v>
      </c>
      <c r="F10" s="12" t="s">
        <v>60</v>
      </c>
      <c r="G10" s="12" t="s">
        <v>22</v>
      </c>
      <c r="H10" s="12" t="s">
        <v>61</v>
      </c>
      <c r="I10" s="14" t="s">
        <v>62</v>
      </c>
      <c r="J10" s="14" t="s">
        <v>30</v>
      </c>
      <c r="K10" s="12">
        <v>1</v>
      </c>
      <c r="L10" s="15">
        <v>68575</v>
      </c>
      <c r="M10" s="1" t="s">
        <v>18</v>
      </c>
    </row>
    <row r="11" spans="1:13" x14ac:dyDescent="0.25">
      <c r="A11" s="6" t="s">
        <v>63</v>
      </c>
      <c r="B11" s="12">
        <v>2017577</v>
      </c>
      <c r="C11" s="13">
        <v>37153</v>
      </c>
      <c r="D11" s="12" t="s">
        <v>64</v>
      </c>
      <c r="E11" s="14">
        <v>48</v>
      </c>
      <c r="F11" s="12" t="s">
        <v>49</v>
      </c>
      <c r="G11" s="12" t="s">
        <v>15</v>
      </c>
      <c r="H11" s="12" t="s">
        <v>65</v>
      </c>
      <c r="I11" s="14" t="s">
        <v>66</v>
      </c>
      <c r="J11" s="14" t="s">
        <v>67</v>
      </c>
      <c r="K11" s="12">
        <v>1</v>
      </c>
      <c r="L11" s="15">
        <v>127109</v>
      </c>
      <c r="M11" s="1" t="s">
        <v>18</v>
      </c>
    </row>
    <row r="12" spans="1:13" x14ac:dyDescent="0.25">
      <c r="A12" s="6" t="s">
        <v>68</v>
      </c>
      <c r="B12" s="7">
        <v>2021242</v>
      </c>
      <c r="C12" s="8">
        <v>60266</v>
      </c>
      <c r="D12" s="9" t="s">
        <v>69</v>
      </c>
      <c r="E12" s="7">
        <v>61</v>
      </c>
      <c r="F12" s="7" t="s">
        <v>60</v>
      </c>
      <c r="G12" s="7" t="s">
        <v>22</v>
      </c>
      <c r="H12" s="9" t="s">
        <v>70</v>
      </c>
      <c r="I12" s="9" t="s">
        <v>51</v>
      </c>
      <c r="J12" s="7" t="s">
        <v>71</v>
      </c>
      <c r="K12" s="9">
        <v>1</v>
      </c>
      <c r="L12" s="10">
        <v>64286</v>
      </c>
      <c r="M12" s="1" t="s">
        <v>18</v>
      </c>
    </row>
    <row r="13" spans="1:13" x14ac:dyDescent="0.25">
      <c r="A13" s="16" t="s">
        <v>72</v>
      </c>
      <c r="B13" s="9">
        <v>2005052</v>
      </c>
      <c r="C13" s="17">
        <v>3711</v>
      </c>
      <c r="D13" s="9" t="s">
        <v>73</v>
      </c>
      <c r="E13" s="9">
        <v>58</v>
      </c>
      <c r="F13" s="9" t="s">
        <v>14</v>
      </c>
      <c r="G13" s="9" t="s">
        <v>15</v>
      </c>
      <c r="H13" s="9" t="s">
        <v>74</v>
      </c>
      <c r="I13" s="9" t="s">
        <v>17</v>
      </c>
      <c r="J13" s="9" t="s">
        <v>17</v>
      </c>
      <c r="K13" s="9">
        <v>1</v>
      </c>
      <c r="L13" s="18">
        <v>53583</v>
      </c>
      <c r="M13" s="1" t="s">
        <v>18</v>
      </c>
    </row>
    <row r="14" spans="1:13" x14ac:dyDescent="0.25">
      <c r="A14" s="11" t="s">
        <v>75</v>
      </c>
      <c r="B14" s="12">
        <v>2005082</v>
      </c>
      <c r="C14" s="13">
        <v>101741</v>
      </c>
      <c r="D14" s="12" t="s">
        <v>76</v>
      </c>
      <c r="E14" s="14">
        <v>69</v>
      </c>
      <c r="F14" s="12" t="s">
        <v>49</v>
      </c>
      <c r="G14" s="12" t="s">
        <v>15</v>
      </c>
      <c r="H14" s="12" t="s">
        <v>77</v>
      </c>
      <c r="I14" s="14" t="s">
        <v>78</v>
      </c>
      <c r="J14" s="14" t="s">
        <v>79</v>
      </c>
      <c r="K14" s="13">
        <v>1</v>
      </c>
      <c r="L14" s="15">
        <v>17875</v>
      </c>
      <c r="M14" s="1" t="s">
        <v>18</v>
      </c>
    </row>
    <row r="15" spans="1:13" ht="33.75" x14ac:dyDescent="0.25">
      <c r="A15" s="11" t="s">
        <v>75</v>
      </c>
      <c r="B15" s="12">
        <v>2022978</v>
      </c>
      <c r="C15" s="13">
        <v>61074</v>
      </c>
      <c r="D15" s="12" t="s">
        <v>80</v>
      </c>
      <c r="E15" s="14">
        <v>62</v>
      </c>
      <c r="F15" s="12" t="s">
        <v>60</v>
      </c>
      <c r="G15" s="12" t="s">
        <v>22</v>
      </c>
      <c r="H15" s="12" t="s">
        <v>81</v>
      </c>
      <c r="I15" s="14" t="s">
        <v>82</v>
      </c>
      <c r="J15" s="14" t="s">
        <v>66</v>
      </c>
      <c r="K15" s="13">
        <v>1</v>
      </c>
      <c r="L15" s="15">
        <v>110559.54</v>
      </c>
      <c r="M15" s="1" t="s">
        <v>18</v>
      </c>
    </row>
    <row r="16" spans="1:13" x14ac:dyDescent="0.25">
      <c r="A16" s="6" t="s">
        <v>53</v>
      </c>
      <c r="B16" s="12">
        <v>2004100</v>
      </c>
      <c r="C16" s="13">
        <v>100573</v>
      </c>
      <c r="D16" s="12" t="s">
        <v>83</v>
      </c>
      <c r="E16" s="14">
        <v>68</v>
      </c>
      <c r="F16" s="12" t="s">
        <v>60</v>
      </c>
      <c r="G16" s="12" t="s">
        <v>22</v>
      </c>
      <c r="H16" s="12" t="s">
        <v>84</v>
      </c>
      <c r="I16" s="14" t="s">
        <v>85</v>
      </c>
      <c r="J16" s="14" t="s">
        <v>85</v>
      </c>
      <c r="K16" s="12">
        <v>1</v>
      </c>
      <c r="L16" s="15">
        <v>30394</v>
      </c>
      <c r="M16" s="1" t="s">
        <v>18</v>
      </c>
    </row>
    <row r="17" spans="1:13" x14ac:dyDescent="0.25">
      <c r="A17" s="19" t="s">
        <v>86</v>
      </c>
      <c r="B17" s="3">
        <v>2009872</v>
      </c>
      <c r="C17" s="4">
        <v>61492</v>
      </c>
      <c r="D17" s="3" t="s">
        <v>87</v>
      </c>
      <c r="E17" s="3">
        <v>17</v>
      </c>
      <c r="F17" s="3" t="s">
        <v>14</v>
      </c>
      <c r="G17" s="3" t="s">
        <v>88</v>
      </c>
      <c r="H17" s="3" t="s">
        <v>89</v>
      </c>
      <c r="I17" s="3" t="s">
        <v>17</v>
      </c>
      <c r="J17" s="3" t="s">
        <v>46</v>
      </c>
      <c r="K17" s="3">
        <v>2</v>
      </c>
      <c r="L17" s="5">
        <v>89757</v>
      </c>
      <c r="M17" s="1" t="s">
        <v>18</v>
      </c>
    </row>
    <row r="18" spans="1:13" x14ac:dyDescent="0.25">
      <c r="A18" s="11" t="s">
        <v>90</v>
      </c>
      <c r="B18" s="12">
        <v>2005385</v>
      </c>
      <c r="C18" s="13">
        <v>18536</v>
      </c>
      <c r="D18" s="12" t="s">
        <v>91</v>
      </c>
      <c r="E18" s="14">
        <v>66</v>
      </c>
      <c r="F18" s="12" t="s">
        <v>92</v>
      </c>
      <c r="G18" s="12" t="s">
        <v>15</v>
      </c>
      <c r="H18" s="12" t="s">
        <v>93</v>
      </c>
      <c r="I18" s="14" t="s">
        <v>94</v>
      </c>
      <c r="J18" s="14" t="s">
        <v>95</v>
      </c>
      <c r="K18" s="12">
        <v>2</v>
      </c>
      <c r="L18" s="15">
        <v>346723</v>
      </c>
      <c r="M18" s="1" t="s">
        <v>18</v>
      </c>
    </row>
    <row r="19" spans="1:13" x14ac:dyDescent="0.25">
      <c r="A19" s="6" t="s">
        <v>19</v>
      </c>
      <c r="B19" s="12">
        <v>2011024</v>
      </c>
      <c r="C19" s="13">
        <v>14180</v>
      </c>
      <c r="D19" s="12" t="s">
        <v>96</v>
      </c>
      <c r="E19" s="14">
        <v>53</v>
      </c>
      <c r="F19" s="12" t="s">
        <v>97</v>
      </c>
      <c r="G19" s="12" t="s">
        <v>15</v>
      </c>
      <c r="H19" s="12" t="s">
        <v>98</v>
      </c>
      <c r="I19" s="14" t="s">
        <v>99</v>
      </c>
      <c r="J19" s="14" t="s">
        <v>66</v>
      </c>
      <c r="K19" s="12">
        <v>2</v>
      </c>
      <c r="L19" s="15">
        <v>71081.7</v>
      </c>
      <c r="M19" s="1" t="s">
        <v>18</v>
      </c>
    </row>
    <row r="20" spans="1:13" x14ac:dyDescent="0.25">
      <c r="A20" s="6" t="s">
        <v>19</v>
      </c>
      <c r="B20" s="9">
        <v>2016395</v>
      </c>
      <c r="C20" s="17">
        <v>56269</v>
      </c>
      <c r="D20" s="9" t="s">
        <v>100</v>
      </c>
      <c r="E20" s="9">
        <v>62</v>
      </c>
      <c r="F20" s="9" t="s">
        <v>101</v>
      </c>
      <c r="G20" s="9" t="s">
        <v>22</v>
      </c>
      <c r="H20" s="9" t="s">
        <v>102</v>
      </c>
      <c r="I20" s="9" t="s">
        <v>103</v>
      </c>
      <c r="J20" s="9" t="s">
        <v>104</v>
      </c>
      <c r="K20" s="9">
        <v>2</v>
      </c>
      <c r="L20" s="18">
        <v>66007.199999999997</v>
      </c>
      <c r="M20" s="1" t="s">
        <v>18</v>
      </c>
    </row>
    <row r="21" spans="1:13" x14ac:dyDescent="0.25">
      <c r="A21" s="6" t="s">
        <v>19</v>
      </c>
      <c r="B21" s="12">
        <v>2001872</v>
      </c>
      <c r="C21" s="13">
        <v>13663</v>
      </c>
      <c r="D21" s="12" t="s">
        <v>105</v>
      </c>
      <c r="E21" s="14">
        <v>65</v>
      </c>
      <c r="F21" s="12" t="s">
        <v>106</v>
      </c>
      <c r="G21" s="12" t="s">
        <v>22</v>
      </c>
      <c r="H21" s="12" t="s">
        <v>107</v>
      </c>
      <c r="I21" s="14" t="s">
        <v>108</v>
      </c>
      <c r="J21" s="14" t="s">
        <v>85</v>
      </c>
      <c r="K21" s="12">
        <v>2</v>
      </c>
      <c r="L21" s="15">
        <v>111665</v>
      </c>
      <c r="M21" s="1" t="s">
        <v>18</v>
      </c>
    </row>
    <row r="22" spans="1:13" x14ac:dyDescent="0.25">
      <c r="A22" s="2" t="s">
        <v>109</v>
      </c>
      <c r="B22" s="7">
        <v>2003401</v>
      </c>
      <c r="C22" s="8">
        <v>31863</v>
      </c>
      <c r="D22" s="9" t="s">
        <v>110</v>
      </c>
      <c r="E22" s="7">
        <v>67</v>
      </c>
      <c r="F22" s="7" t="s">
        <v>111</v>
      </c>
      <c r="G22" s="7" t="s">
        <v>22</v>
      </c>
      <c r="H22" s="9" t="s">
        <v>112</v>
      </c>
      <c r="I22" s="9" t="s">
        <v>71</v>
      </c>
      <c r="J22" s="7" t="s">
        <v>37</v>
      </c>
      <c r="K22" s="9">
        <v>2</v>
      </c>
      <c r="L22" s="10">
        <v>58513</v>
      </c>
      <c r="M22" s="1" t="s">
        <v>18</v>
      </c>
    </row>
    <row r="23" spans="1:13" ht="22.5" x14ac:dyDescent="0.25">
      <c r="A23" s="6" t="s">
        <v>113</v>
      </c>
      <c r="B23" s="7">
        <v>2409155</v>
      </c>
      <c r="C23" s="8">
        <v>32116</v>
      </c>
      <c r="D23" s="9" t="s">
        <v>114</v>
      </c>
      <c r="E23" s="7">
        <v>46</v>
      </c>
      <c r="F23" s="7" t="s">
        <v>115</v>
      </c>
      <c r="G23" s="7" t="s">
        <v>15</v>
      </c>
      <c r="H23" s="9" t="s">
        <v>116</v>
      </c>
      <c r="I23" s="9" t="s">
        <v>25</v>
      </c>
      <c r="J23" s="7" t="s">
        <v>52</v>
      </c>
      <c r="K23" s="9">
        <v>2</v>
      </c>
      <c r="L23" s="10">
        <v>90000</v>
      </c>
      <c r="M23" s="1" t="s">
        <v>18</v>
      </c>
    </row>
    <row r="24" spans="1:13" x14ac:dyDescent="0.25">
      <c r="A24" s="6" t="s">
        <v>117</v>
      </c>
      <c r="B24" s="7">
        <v>2021219</v>
      </c>
      <c r="C24" s="8">
        <v>8847</v>
      </c>
      <c r="D24" s="9" t="s">
        <v>118</v>
      </c>
      <c r="E24" s="7">
        <v>17</v>
      </c>
      <c r="F24" s="7" t="s">
        <v>119</v>
      </c>
      <c r="G24" s="7" t="s">
        <v>88</v>
      </c>
      <c r="H24" s="9" t="s">
        <v>120</v>
      </c>
      <c r="I24" s="9" t="s">
        <v>121</v>
      </c>
      <c r="J24" s="7" t="s">
        <v>25</v>
      </c>
      <c r="K24" s="9">
        <v>2</v>
      </c>
      <c r="L24" s="10">
        <v>35915</v>
      </c>
      <c r="M24" s="1" t="s">
        <v>18</v>
      </c>
    </row>
    <row r="25" spans="1:13" ht="22.5" x14ac:dyDescent="0.25">
      <c r="A25" s="6" t="s">
        <v>38</v>
      </c>
      <c r="B25" s="7">
        <v>2002992</v>
      </c>
      <c r="C25" s="8">
        <v>13568</v>
      </c>
      <c r="D25" s="9" t="s">
        <v>122</v>
      </c>
      <c r="E25" s="7">
        <v>68</v>
      </c>
      <c r="F25" s="7" t="s">
        <v>123</v>
      </c>
      <c r="G25" s="7" t="s">
        <v>22</v>
      </c>
      <c r="H25" s="9" t="s">
        <v>124</v>
      </c>
      <c r="I25" s="9" t="s">
        <v>25</v>
      </c>
      <c r="J25" s="7" t="s">
        <v>52</v>
      </c>
      <c r="K25" s="9">
        <v>2</v>
      </c>
      <c r="L25" s="10">
        <v>98332</v>
      </c>
      <c r="M25" s="1" t="s">
        <v>18</v>
      </c>
    </row>
    <row r="26" spans="1:13" ht="22.5" x14ac:dyDescent="0.25">
      <c r="A26" s="2" t="s">
        <v>43</v>
      </c>
      <c r="B26" s="3">
        <v>202209</v>
      </c>
      <c r="C26" s="4">
        <v>18145</v>
      </c>
      <c r="D26" s="3" t="s">
        <v>125</v>
      </c>
      <c r="E26" s="3">
        <v>66</v>
      </c>
      <c r="F26" s="3" t="s">
        <v>126</v>
      </c>
      <c r="G26" s="3" t="s">
        <v>22</v>
      </c>
      <c r="H26" s="3" t="s">
        <v>127</v>
      </c>
      <c r="I26" s="3" t="s">
        <v>128</v>
      </c>
      <c r="J26" s="3" t="s">
        <v>46</v>
      </c>
      <c r="K26" s="3">
        <v>2</v>
      </c>
      <c r="L26" s="5">
        <v>21275.59</v>
      </c>
      <c r="M26" s="1" t="s">
        <v>18</v>
      </c>
    </row>
    <row r="27" spans="1:13" x14ac:dyDescent="0.25">
      <c r="A27" s="11" t="s">
        <v>129</v>
      </c>
      <c r="B27" s="7">
        <v>2021999</v>
      </c>
      <c r="C27" s="8">
        <v>57902</v>
      </c>
      <c r="D27" s="9" t="s">
        <v>130</v>
      </c>
      <c r="E27" s="7">
        <v>9</v>
      </c>
      <c r="F27" s="7" t="s">
        <v>131</v>
      </c>
      <c r="G27" s="7" t="s">
        <v>132</v>
      </c>
      <c r="H27" s="9" t="s">
        <v>133</v>
      </c>
      <c r="I27" s="9" t="s">
        <v>36</v>
      </c>
      <c r="J27" s="7" t="s">
        <v>42</v>
      </c>
      <c r="K27" s="9">
        <v>2</v>
      </c>
      <c r="L27" s="10">
        <v>56125</v>
      </c>
      <c r="M27" s="1" t="s">
        <v>18</v>
      </c>
    </row>
    <row r="28" spans="1:13" x14ac:dyDescent="0.25">
      <c r="A28" s="6" t="s">
        <v>53</v>
      </c>
      <c r="B28" s="7">
        <v>2002779</v>
      </c>
      <c r="C28" s="8">
        <v>54318</v>
      </c>
      <c r="D28" s="9" t="s">
        <v>134</v>
      </c>
      <c r="E28" s="7">
        <v>70</v>
      </c>
      <c r="F28" s="7" t="s">
        <v>135</v>
      </c>
      <c r="G28" s="7" t="s">
        <v>22</v>
      </c>
      <c r="H28" s="9" t="s">
        <v>136</v>
      </c>
      <c r="I28" s="9" t="s">
        <v>71</v>
      </c>
      <c r="J28" s="7" t="s">
        <v>37</v>
      </c>
      <c r="K28" s="9">
        <v>2</v>
      </c>
      <c r="L28" s="10">
        <v>424616</v>
      </c>
      <c r="M28" s="1" t="s">
        <v>18</v>
      </c>
    </row>
    <row r="29" spans="1:13" x14ac:dyDescent="0.25">
      <c r="A29" s="6" t="s">
        <v>137</v>
      </c>
      <c r="B29" s="12">
        <v>2020896</v>
      </c>
      <c r="C29" s="13">
        <v>63312</v>
      </c>
      <c r="D29" s="12" t="s">
        <v>138</v>
      </c>
      <c r="E29" s="14">
        <v>56</v>
      </c>
      <c r="F29" s="12" t="s">
        <v>139</v>
      </c>
      <c r="G29" s="12" t="s">
        <v>22</v>
      </c>
      <c r="H29" s="12" t="s">
        <v>140</v>
      </c>
      <c r="I29" s="14" t="s">
        <v>78</v>
      </c>
      <c r="J29" s="14" t="s">
        <v>141</v>
      </c>
      <c r="K29" s="12">
        <v>2</v>
      </c>
      <c r="L29" s="15">
        <v>40460</v>
      </c>
      <c r="M29" s="1" t="s">
        <v>18</v>
      </c>
    </row>
    <row r="30" spans="1:13" x14ac:dyDescent="0.25">
      <c r="A30" s="6" t="s">
        <v>142</v>
      </c>
      <c r="B30" s="7">
        <v>2507087</v>
      </c>
      <c r="C30" s="8">
        <v>62819</v>
      </c>
      <c r="D30" s="9" t="s">
        <v>143</v>
      </c>
      <c r="E30" s="7">
        <v>50</v>
      </c>
      <c r="F30" s="7" t="s">
        <v>144</v>
      </c>
      <c r="G30" s="7" t="s">
        <v>15</v>
      </c>
      <c r="H30" s="9" t="s">
        <v>145</v>
      </c>
      <c r="I30" s="9" t="s">
        <v>71</v>
      </c>
      <c r="J30" s="7" t="s">
        <v>37</v>
      </c>
      <c r="K30" s="9">
        <v>2</v>
      </c>
      <c r="L30" s="10">
        <v>146404</v>
      </c>
      <c r="M30" s="1" t="s">
        <v>18</v>
      </c>
    </row>
    <row r="31" spans="1:13" ht="22.5" x14ac:dyDescent="0.25">
      <c r="A31" s="2" t="s">
        <v>146</v>
      </c>
      <c r="B31" s="3">
        <v>2011757</v>
      </c>
      <c r="C31" s="4">
        <v>18873</v>
      </c>
      <c r="D31" s="3" t="s">
        <v>147</v>
      </c>
      <c r="E31" s="3">
        <v>69</v>
      </c>
      <c r="F31" s="3" t="s">
        <v>148</v>
      </c>
      <c r="G31" s="3" t="s">
        <v>15</v>
      </c>
      <c r="H31" s="3" t="s">
        <v>149</v>
      </c>
      <c r="I31" s="3" t="s">
        <v>103</v>
      </c>
      <c r="J31" s="3" t="s">
        <v>104</v>
      </c>
      <c r="K31" s="3">
        <v>2</v>
      </c>
      <c r="L31" s="5">
        <v>54106.77</v>
      </c>
      <c r="M31" s="1" t="s">
        <v>18</v>
      </c>
    </row>
    <row r="32" spans="1:13" ht="22.5" x14ac:dyDescent="0.25">
      <c r="A32" s="20" t="s">
        <v>150</v>
      </c>
      <c r="B32" s="21">
        <v>2003965</v>
      </c>
      <c r="C32" s="22">
        <v>101523</v>
      </c>
      <c r="D32" s="21" t="s">
        <v>151</v>
      </c>
      <c r="E32" s="21">
        <v>68</v>
      </c>
      <c r="F32" s="21" t="s">
        <v>152</v>
      </c>
      <c r="G32" s="21" t="s">
        <v>22</v>
      </c>
      <c r="H32" s="21" t="s">
        <v>153</v>
      </c>
      <c r="I32" s="21" t="s">
        <v>154</v>
      </c>
      <c r="J32" s="21" t="s">
        <v>99</v>
      </c>
      <c r="K32" s="21">
        <v>2</v>
      </c>
      <c r="L32" s="23">
        <v>13795</v>
      </c>
      <c r="M32" s="1" t="s">
        <v>18</v>
      </c>
    </row>
    <row r="33" spans="1:13" x14ac:dyDescent="0.25">
      <c r="A33" s="6" t="s">
        <v>155</v>
      </c>
      <c r="B33" s="7">
        <v>2012605</v>
      </c>
      <c r="C33" s="8">
        <v>74105</v>
      </c>
      <c r="D33" s="9" t="s">
        <v>156</v>
      </c>
      <c r="E33" s="7">
        <v>42</v>
      </c>
      <c r="F33" s="7" t="s">
        <v>157</v>
      </c>
      <c r="G33" s="7" t="s">
        <v>15</v>
      </c>
      <c r="H33" s="9" t="s">
        <v>158</v>
      </c>
      <c r="I33" s="9" t="s">
        <v>25</v>
      </c>
      <c r="J33" s="7" t="s">
        <v>52</v>
      </c>
      <c r="K33" s="9">
        <v>2</v>
      </c>
      <c r="L33" s="10">
        <v>248967</v>
      </c>
      <c r="M33" s="1" t="s">
        <v>18</v>
      </c>
    </row>
    <row r="34" spans="1:13" x14ac:dyDescent="0.25">
      <c r="A34" s="6" t="s">
        <v>159</v>
      </c>
      <c r="B34" s="7">
        <v>2019692</v>
      </c>
      <c r="C34" s="8">
        <v>55598</v>
      </c>
      <c r="D34" s="9" t="s">
        <v>160</v>
      </c>
      <c r="E34" s="7">
        <v>57</v>
      </c>
      <c r="F34" s="7" t="s">
        <v>49</v>
      </c>
      <c r="G34" s="7" t="s">
        <v>15</v>
      </c>
      <c r="H34" s="9" t="s">
        <v>161</v>
      </c>
      <c r="I34" s="9" t="s">
        <v>51</v>
      </c>
      <c r="J34" s="7" t="s">
        <v>71</v>
      </c>
      <c r="K34" s="9">
        <v>2</v>
      </c>
      <c r="L34" s="10">
        <v>39390</v>
      </c>
      <c r="M34" s="1" t="s">
        <v>18</v>
      </c>
    </row>
    <row r="35" spans="1:13" x14ac:dyDescent="0.25">
      <c r="A35" s="16" t="s">
        <v>72</v>
      </c>
      <c r="B35" s="12">
        <v>2005908</v>
      </c>
      <c r="C35" s="13">
        <v>35410</v>
      </c>
      <c r="D35" s="12" t="s">
        <v>162</v>
      </c>
      <c r="E35" s="14">
        <v>39</v>
      </c>
      <c r="F35" s="12" t="s">
        <v>163</v>
      </c>
      <c r="G35" s="12" t="s">
        <v>15</v>
      </c>
      <c r="H35" s="12" t="s">
        <v>164</v>
      </c>
      <c r="I35" s="14" t="s">
        <v>94</v>
      </c>
      <c r="J35" s="14" t="s">
        <v>95</v>
      </c>
      <c r="K35" s="12">
        <v>2</v>
      </c>
      <c r="L35" s="15">
        <v>258825</v>
      </c>
      <c r="M35" s="1" t="s">
        <v>18</v>
      </c>
    </row>
    <row r="36" spans="1:13" x14ac:dyDescent="0.25">
      <c r="A36" s="16" t="s">
        <v>72</v>
      </c>
      <c r="B36" s="9">
        <v>2020535</v>
      </c>
      <c r="C36" s="17">
        <v>62383</v>
      </c>
      <c r="D36" s="9" t="s">
        <v>165</v>
      </c>
      <c r="E36" s="9">
        <v>54</v>
      </c>
      <c r="F36" s="9" t="s">
        <v>166</v>
      </c>
      <c r="G36" s="9" t="s">
        <v>15</v>
      </c>
      <c r="H36" s="9" t="s">
        <v>167</v>
      </c>
      <c r="I36" s="9" t="s">
        <v>104</v>
      </c>
      <c r="J36" s="3" t="s">
        <v>121</v>
      </c>
      <c r="K36" s="9">
        <v>2</v>
      </c>
      <c r="L36" s="18">
        <v>76170</v>
      </c>
      <c r="M36" s="1" t="s">
        <v>18</v>
      </c>
    </row>
    <row r="37" spans="1:13" x14ac:dyDescent="0.25">
      <c r="A37" s="16" t="s">
        <v>72</v>
      </c>
      <c r="B37" s="12">
        <v>2501189</v>
      </c>
      <c r="C37" s="13">
        <v>60947</v>
      </c>
      <c r="D37" s="12" t="s">
        <v>168</v>
      </c>
      <c r="E37" s="14">
        <v>54</v>
      </c>
      <c r="F37" s="12" t="s">
        <v>169</v>
      </c>
      <c r="G37" s="12" t="s">
        <v>15</v>
      </c>
      <c r="H37" s="12" t="s">
        <v>170</v>
      </c>
      <c r="I37" s="14" t="s">
        <v>66</v>
      </c>
      <c r="J37" s="14" t="s">
        <v>62</v>
      </c>
      <c r="K37" s="12">
        <v>2</v>
      </c>
      <c r="L37" s="15">
        <v>340763</v>
      </c>
      <c r="M37" s="1" t="s">
        <v>18</v>
      </c>
    </row>
    <row r="38" spans="1:13" ht="33.75" x14ac:dyDescent="0.25">
      <c r="A38" s="6" t="s">
        <v>171</v>
      </c>
      <c r="B38" s="7">
        <v>2019355</v>
      </c>
      <c r="C38" s="8">
        <v>58943</v>
      </c>
      <c r="D38" s="9" t="s">
        <v>172</v>
      </c>
      <c r="E38" s="7">
        <v>63</v>
      </c>
      <c r="F38" s="7" t="s">
        <v>173</v>
      </c>
      <c r="G38" s="7" t="s">
        <v>22</v>
      </c>
      <c r="H38" s="9" t="s">
        <v>174</v>
      </c>
      <c r="I38" s="9" t="s">
        <v>175</v>
      </c>
      <c r="J38" s="7" t="s">
        <v>25</v>
      </c>
      <c r="K38" s="9">
        <v>2</v>
      </c>
      <c r="L38" s="10">
        <v>288980</v>
      </c>
      <c r="M38" s="1" t="s">
        <v>18</v>
      </c>
    </row>
    <row r="39" spans="1:13" ht="22.5" x14ac:dyDescent="0.25">
      <c r="A39" s="11" t="s">
        <v>75</v>
      </c>
      <c r="B39" s="7">
        <v>2505089</v>
      </c>
      <c r="C39" s="8">
        <v>18838</v>
      </c>
      <c r="D39" s="9" t="s">
        <v>176</v>
      </c>
      <c r="E39" s="7">
        <v>61</v>
      </c>
      <c r="F39" s="7" t="s">
        <v>60</v>
      </c>
      <c r="G39" s="7" t="s">
        <v>22</v>
      </c>
      <c r="H39" s="9" t="s">
        <v>177</v>
      </c>
      <c r="I39" s="9" t="s">
        <v>121</v>
      </c>
      <c r="J39" s="7" t="s">
        <v>25</v>
      </c>
      <c r="K39" s="17">
        <v>2</v>
      </c>
      <c r="L39" s="10">
        <v>73470.48</v>
      </c>
      <c r="M39" s="1" t="s">
        <v>18</v>
      </c>
    </row>
    <row r="40" spans="1:13" x14ac:dyDescent="0.25">
      <c r="A40" s="2" t="s">
        <v>178</v>
      </c>
      <c r="B40" s="3">
        <v>2014328</v>
      </c>
      <c r="C40" s="4">
        <v>7632</v>
      </c>
      <c r="D40" s="3" t="s">
        <v>179</v>
      </c>
      <c r="E40" s="3">
        <v>68</v>
      </c>
      <c r="F40" s="3" t="s">
        <v>180</v>
      </c>
      <c r="G40" s="3" t="s">
        <v>22</v>
      </c>
      <c r="H40" s="3" t="s">
        <v>181</v>
      </c>
      <c r="I40" s="3" t="s">
        <v>103</v>
      </c>
      <c r="J40" s="3" t="s">
        <v>104</v>
      </c>
      <c r="K40" s="4">
        <v>2</v>
      </c>
      <c r="L40" s="5">
        <v>36019</v>
      </c>
      <c r="M40" s="1" t="s">
        <v>18</v>
      </c>
    </row>
    <row r="41" spans="1:13" x14ac:dyDescent="0.25">
      <c r="A41" s="11" t="s">
        <v>182</v>
      </c>
      <c r="B41" s="12">
        <v>2022640</v>
      </c>
      <c r="C41" s="13">
        <v>62828</v>
      </c>
      <c r="D41" s="12" t="s">
        <v>183</v>
      </c>
      <c r="E41" s="14">
        <v>47</v>
      </c>
      <c r="F41" s="12" t="s">
        <v>49</v>
      </c>
      <c r="G41" s="12" t="s">
        <v>15</v>
      </c>
      <c r="H41" s="12" t="s">
        <v>184</v>
      </c>
      <c r="I41" s="14" t="s">
        <v>66</v>
      </c>
      <c r="J41" s="14" t="s">
        <v>62</v>
      </c>
      <c r="K41" s="12">
        <v>2</v>
      </c>
      <c r="L41" s="15">
        <v>40300</v>
      </c>
      <c r="M41" s="1" t="s">
        <v>18</v>
      </c>
    </row>
    <row r="42" spans="1:13" ht="39" x14ac:dyDescent="0.25">
      <c r="A42" s="24" t="s">
        <v>185</v>
      </c>
      <c r="B42" s="25">
        <v>2004761</v>
      </c>
      <c r="C42" s="26">
        <v>31664</v>
      </c>
      <c r="D42" s="25" t="s">
        <v>186</v>
      </c>
      <c r="E42" s="25">
        <v>63</v>
      </c>
      <c r="F42" s="25" t="s">
        <v>187</v>
      </c>
      <c r="G42" s="25" t="s">
        <v>15</v>
      </c>
      <c r="H42" s="25" t="s">
        <v>188</v>
      </c>
      <c r="I42" s="25" t="s">
        <v>189</v>
      </c>
      <c r="J42" s="27" t="s">
        <v>190</v>
      </c>
      <c r="K42" s="26">
        <v>2</v>
      </c>
      <c r="L42" s="28">
        <v>433492.51</v>
      </c>
      <c r="M42" s="1" t="s">
        <v>18</v>
      </c>
    </row>
    <row r="43" spans="1:13" x14ac:dyDescent="0.25">
      <c r="A43" s="11" t="s">
        <v>90</v>
      </c>
      <c r="B43" s="12">
        <v>2003072</v>
      </c>
      <c r="C43" s="13">
        <v>104118</v>
      </c>
      <c r="D43" s="12" t="s">
        <v>191</v>
      </c>
      <c r="E43" s="14">
        <v>66</v>
      </c>
      <c r="F43" s="12" t="s">
        <v>60</v>
      </c>
      <c r="G43" s="12" t="s">
        <v>22</v>
      </c>
      <c r="H43" s="12" t="s">
        <v>192</v>
      </c>
      <c r="I43" s="14" t="s">
        <v>31</v>
      </c>
      <c r="J43" s="14" t="s">
        <v>193</v>
      </c>
      <c r="K43" s="12">
        <v>3</v>
      </c>
      <c r="L43" s="15">
        <v>395281</v>
      </c>
      <c r="M43" s="1" t="s">
        <v>18</v>
      </c>
    </row>
    <row r="44" spans="1:13" x14ac:dyDescent="0.25">
      <c r="A44" s="2" t="s">
        <v>12</v>
      </c>
      <c r="B44" s="12">
        <v>2006683</v>
      </c>
      <c r="C44" s="13">
        <v>57632</v>
      </c>
      <c r="D44" s="12" t="s">
        <v>194</v>
      </c>
      <c r="E44" s="14">
        <v>57</v>
      </c>
      <c r="F44" s="12" t="s">
        <v>195</v>
      </c>
      <c r="G44" s="12" t="s">
        <v>15</v>
      </c>
      <c r="H44" s="12" t="s">
        <v>196</v>
      </c>
      <c r="I44" s="14" t="s">
        <v>37</v>
      </c>
      <c r="J44" s="14" t="s">
        <v>79</v>
      </c>
      <c r="K44" s="12">
        <v>3</v>
      </c>
      <c r="L44" s="15">
        <v>26277</v>
      </c>
      <c r="M44" s="1" t="s">
        <v>18</v>
      </c>
    </row>
    <row r="45" spans="1:13" x14ac:dyDescent="0.25">
      <c r="A45" s="6" t="s">
        <v>19</v>
      </c>
      <c r="B45" s="12">
        <v>2001872</v>
      </c>
      <c r="C45" s="13">
        <v>13663</v>
      </c>
      <c r="D45" s="12" t="s">
        <v>105</v>
      </c>
      <c r="E45" s="14">
        <v>65</v>
      </c>
      <c r="F45" s="12" t="s">
        <v>106</v>
      </c>
      <c r="G45" s="12" t="s">
        <v>22</v>
      </c>
      <c r="H45" s="12" t="s">
        <v>197</v>
      </c>
      <c r="I45" s="14" t="s">
        <v>79</v>
      </c>
      <c r="J45" s="14" t="s">
        <v>94</v>
      </c>
      <c r="K45" s="12">
        <v>3</v>
      </c>
      <c r="L45" s="15">
        <v>88268</v>
      </c>
      <c r="M45" s="1" t="s">
        <v>18</v>
      </c>
    </row>
    <row r="46" spans="1:13" x14ac:dyDescent="0.25">
      <c r="A46" s="20" t="s">
        <v>198</v>
      </c>
      <c r="B46" s="21">
        <v>2001553</v>
      </c>
      <c r="C46" s="13">
        <v>17939</v>
      </c>
      <c r="D46" s="21" t="s">
        <v>199</v>
      </c>
      <c r="E46" s="21">
        <v>65</v>
      </c>
      <c r="F46" s="21" t="s">
        <v>200</v>
      </c>
      <c r="G46" s="21" t="s">
        <v>22</v>
      </c>
      <c r="H46" s="21" t="s">
        <v>201</v>
      </c>
      <c r="I46" s="21" t="s">
        <v>36</v>
      </c>
      <c r="J46" s="21" t="s">
        <v>78</v>
      </c>
      <c r="K46" s="21">
        <v>3</v>
      </c>
      <c r="L46" s="23">
        <v>42200</v>
      </c>
      <c r="M46" s="1" t="s">
        <v>18</v>
      </c>
    </row>
    <row r="47" spans="1:13" x14ac:dyDescent="0.25">
      <c r="A47" s="20" t="s">
        <v>198</v>
      </c>
      <c r="B47" s="12">
        <v>2505128</v>
      </c>
      <c r="C47" s="13">
        <v>13883</v>
      </c>
      <c r="D47" s="12" t="s">
        <v>202</v>
      </c>
      <c r="E47" s="14">
        <v>66</v>
      </c>
      <c r="F47" s="12" t="s">
        <v>203</v>
      </c>
      <c r="G47" s="12" t="s">
        <v>22</v>
      </c>
      <c r="H47" s="12" t="s">
        <v>204</v>
      </c>
      <c r="I47" s="14" t="s">
        <v>94</v>
      </c>
      <c r="J47" s="14" t="s">
        <v>66</v>
      </c>
      <c r="K47" s="12">
        <v>3</v>
      </c>
      <c r="L47" s="15">
        <v>70060</v>
      </c>
      <c r="M47" s="1" t="s">
        <v>18</v>
      </c>
    </row>
    <row r="48" spans="1:13" ht="33.75" x14ac:dyDescent="0.25">
      <c r="A48" s="20" t="s">
        <v>198</v>
      </c>
      <c r="B48" s="12">
        <v>2022970</v>
      </c>
      <c r="C48" s="13">
        <v>59899</v>
      </c>
      <c r="D48" s="12" t="s">
        <v>205</v>
      </c>
      <c r="E48" s="14">
        <v>63</v>
      </c>
      <c r="F48" s="12" t="s">
        <v>60</v>
      </c>
      <c r="G48" s="12" t="s">
        <v>22</v>
      </c>
      <c r="H48" s="12" t="s">
        <v>206</v>
      </c>
      <c r="I48" s="14" t="s">
        <v>207</v>
      </c>
      <c r="J48" s="14" t="s">
        <v>193</v>
      </c>
      <c r="K48" s="12">
        <v>3</v>
      </c>
      <c r="L48" s="15">
        <v>48100</v>
      </c>
      <c r="M48" s="1" t="s">
        <v>18</v>
      </c>
    </row>
    <row r="49" spans="1:13" ht="22.5" x14ac:dyDescent="0.25">
      <c r="A49" s="19" t="s">
        <v>208</v>
      </c>
      <c r="B49" s="9">
        <v>2001925</v>
      </c>
      <c r="C49" s="8">
        <v>11055</v>
      </c>
      <c r="D49" s="29" t="s">
        <v>209</v>
      </c>
      <c r="E49" s="29">
        <v>70</v>
      </c>
      <c r="F49" s="29" t="s">
        <v>210</v>
      </c>
      <c r="G49" s="29" t="s">
        <v>22</v>
      </c>
      <c r="H49" s="29" t="s">
        <v>211</v>
      </c>
      <c r="I49" s="29" t="s">
        <v>104</v>
      </c>
      <c r="J49" s="30" t="s">
        <v>24</v>
      </c>
      <c r="K49" s="9">
        <v>3</v>
      </c>
      <c r="L49" s="18">
        <v>218615</v>
      </c>
      <c r="M49" s="1" t="s">
        <v>18</v>
      </c>
    </row>
    <row r="50" spans="1:13" ht="33.75" x14ac:dyDescent="0.25">
      <c r="A50" s="11" t="s">
        <v>212</v>
      </c>
      <c r="B50" s="12">
        <v>2003111</v>
      </c>
      <c r="C50" s="13">
        <v>53272</v>
      </c>
      <c r="D50" s="12" t="s">
        <v>59</v>
      </c>
      <c r="E50" s="14">
        <v>67</v>
      </c>
      <c r="F50" s="12" t="s">
        <v>213</v>
      </c>
      <c r="G50" s="12" t="s">
        <v>22</v>
      </c>
      <c r="H50" s="12" t="s">
        <v>214</v>
      </c>
      <c r="I50" s="14" t="s">
        <v>215</v>
      </c>
      <c r="J50" s="14" t="s">
        <v>66</v>
      </c>
      <c r="K50" s="12">
        <v>3</v>
      </c>
      <c r="L50" s="15">
        <v>30457</v>
      </c>
      <c r="M50" s="1" t="s">
        <v>18</v>
      </c>
    </row>
    <row r="51" spans="1:13" x14ac:dyDescent="0.25">
      <c r="A51" s="2" t="s">
        <v>109</v>
      </c>
      <c r="B51" s="3">
        <v>2018563</v>
      </c>
      <c r="C51" s="4">
        <v>32126</v>
      </c>
      <c r="D51" s="3" t="s">
        <v>216</v>
      </c>
      <c r="E51" s="3">
        <v>64</v>
      </c>
      <c r="F51" s="3" t="s">
        <v>217</v>
      </c>
      <c r="G51" s="3" t="s">
        <v>22</v>
      </c>
      <c r="H51" s="3" t="s">
        <v>149</v>
      </c>
      <c r="I51" s="3" t="s">
        <v>103</v>
      </c>
      <c r="J51" s="3" t="s">
        <v>46</v>
      </c>
      <c r="K51" s="3">
        <v>3</v>
      </c>
      <c r="L51" s="5">
        <v>98901</v>
      </c>
      <c r="M51" s="1" t="s">
        <v>18</v>
      </c>
    </row>
    <row r="52" spans="1:13" x14ac:dyDescent="0.25">
      <c r="A52" s="6" t="s">
        <v>32</v>
      </c>
      <c r="B52" s="12">
        <v>2021285</v>
      </c>
      <c r="C52" s="13">
        <v>60702</v>
      </c>
      <c r="D52" s="12" t="s">
        <v>218</v>
      </c>
      <c r="E52" s="14">
        <v>8</v>
      </c>
      <c r="F52" s="12" t="s">
        <v>219</v>
      </c>
      <c r="G52" s="12" t="s">
        <v>132</v>
      </c>
      <c r="H52" s="12" t="s">
        <v>220</v>
      </c>
      <c r="I52" s="14" t="s">
        <v>37</v>
      </c>
      <c r="J52" s="14" t="s">
        <v>79</v>
      </c>
      <c r="K52" s="12">
        <v>3</v>
      </c>
      <c r="L52" s="15">
        <v>61634</v>
      </c>
      <c r="M52" s="1" t="s">
        <v>18</v>
      </c>
    </row>
    <row r="53" spans="1:13" x14ac:dyDescent="0.25">
      <c r="A53" s="20" t="s">
        <v>221</v>
      </c>
      <c r="B53" s="12">
        <v>2403101</v>
      </c>
      <c r="C53" s="13">
        <v>90937</v>
      </c>
      <c r="D53" s="12" t="s">
        <v>222</v>
      </c>
      <c r="E53" s="14">
        <v>36</v>
      </c>
      <c r="F53" s="12" t="s">
        <v>223</v>
      </c>
      <c r="G53" s="12" t="s">
        <v>15</v>
      </c>
      <c r="H53" s="12" t="s">
        <v>224</v>
      </c>
      <c r="I53" s="14" t="s">
        <v>78</v>
      </c>
      <c r="J53" s="14" t="s">
        <v>154</v>
      </c>
      <c r="K53" s="12">
        <v>3</v>
      </c>
      <c r="L53" s="15">
        <v>92981.61</v>
      </c>
      <c r="M53" s="1" t="s">
        <v>18</v>
      </c>
    </row>
    <row r="54" spans="1:13" x14ac:dyDescent="0.25">
      <c r="A54" s="11" t="s">
        <v>129</v>
      </c>
      <c r="B54" s="12">
        <v>2407508</v>
      </c>
      <c r="C54" s="13">
        <v>57704</v>
      </c>
      <c r="D54" s="12" t="s">
        <v>225</v>
      </c>
      <c r="E54" s="14">
        <v>61</v>
      </c>
      <c r="F54" s="12" t="s">
        <v>226</v>
      </c>
      <c r="G54" s="12" t="s">
        <v>22</v>
      </c>
      <c r="H54" s="12" t="s">
        <v>227</v>
      </c>
      <c r="I54" s="14" t="s">
        <v>62</v>
      </c>
      <c r="J54" s="14" t="s">
        <v>108</v>
      </c>
      <c r="K54" s="12">
        <v>3</v>
      </c>
      <c r="L54" s="15">
        <v>266375</v>
      </c>
      <c r="M54" s="1" t="s">
        <v>18</v>
      </c>
    </row>
    <row r="55" spans="1:13" ht="22.5" x14ac:dyDescent="0.25">
      <c r="A55" s="2" t="s">
        <v>228</v>
      </c>
      <c r="B55" s="9">
        <v>2507233</v>
      </c>
      <c r="C55" s="17">
        <v>63124</v>
      </c>
      <c r="D55" s="9" t="s">
        <v>229</v>
      </c>
      <c r="E55" s="9">
        <v>57</v>
      </c>
      <c r="F55" s="9" t="s">
        <v>230</v>
      </c>
      <c r="G55" s="9" t="s">
        <v>22</v>
      </c>
      <c r="H55" s="9" t="s">
        <v>231</v>
      </c>
      <c r="I55" s="9" t="s">
        <v>103</v>
      </c>
      <c r="J55" s="9" t="s">
        <v>46</v>
      </c>
      <c r="K55" s="9">
        <v>3</v>
      </c>
      <c r="L55" s="18">
        <v>122397.91</v>
      </c>
      <c r="M55" s="1" t="s">
        <v>18</v>
      </c>
    </row>
    <row r="56" spans="1:13" x14ac:dyDescent="0.25">
      <c r="A56" s="20" t="s">
        <v>232</v>
      </c>
      <c r="B56" s="21">
        <v>2502163</v>
      </c>
      <c r="C56" s="22">
        <v>58577</v>
      </c>
      <c r="D56" s="21" t="s">
        <v>233</v>
      </c>
      <c r="E56" s="21">
        <v>64</v>
      </c>
      <c r="F56" s="21" t="s">
        <v>234</v>
      </c>
      <c r="G56" s="21" t="s">
        <v>22</v>
      </c>
      <c r="H56" s="21" t="s">
        <v>235</v>
      </c>
      <c r="I56" s="21" t="s">
        <v>141</v>
      </c>
      <c r="J56" s="21" t="s">
        <v>95</v>
      </c>
      <c r="K56" s="21">
        <v>3</v>
      </c>
      <c r="L56" s="23">
        <v>121220</v>
      </c>
      <c r="M56" s="1" t="s">
        <v>18</v>
      </c>
    </row>
    <row r="57" spans="1:13" ht="33.75" x14ac:dyDescent="0.25">
      <c r="A57" s="6" t="s">
        <v>53</v>
      </c>
      <c r="B57" s="7">
        <v>2001506</v>
      </c>
      <c r="C57" s="8">
        <v>5299</v>
      </c>
      <c r="D57" s="9" t="s">
        <v>236</v>
      </c>
      <c r="E57" s="7">
        <v>73</v>
      </c>
      <c r="F57" s="7" t="s">
        <v>237</v>
      </c>
      <c r="G57" s="7" t="s">
        <v>22</v>
      </c>
      <c r="H57" s="9" t="s">
        <v>238</v>
      </c>
      <c r="I57" s="9" t="s">
        <v>239</v>
      </c>
      <c r="J57" s="7" t="s">
        <v>25</v>
      </c>
      <c r="K57" s="9">
        <v>3</v>
      </c>
      <c r="L57" s="10">
        <v>134466</v>
      </c>
      <c r="M57" s="1" t="s">
        <v>18</v>
      </c>
    </row>
    <row r="58" spans="1:13" x14ac:dyDescent="0.25">
      <c r="A58" s="6" t="s">
        <v>53</v>
      </c>
      <c r="B58" s="12">
        <v>2002878</v>
      </c>
      <c r="C58" s="13">
        <v>17707</v>
      </c>
      <c r="D58" s="12" t="s">
        <v>240</v>
      </c>
      <c r="E58" s="14">
        <v>68</v>
      </c>
      <c r="F58" s="12" t="s">
        <v>60</v>
      </c>
      <c r="G58" s="12" t="s">
        <v>22</v>
      </c>
      <c r="H58" s="12" t="s">
        <v>241</v>
      </c>
      <c r="I58" s="14" t="s">
        <v>31</v>
      </c>
      <c r="J58" s="14" t="s">
        <v>85</v>
      </c>
      <c r="K58" s="12">
        <v>3</v>
      </c>
      <c r="L58" s="15">
        <v>110750</v>
      </c>
      <c r="M58" s="1" t="s">
        <v>18</v>
      </c>
    </row>
    <row r="59" spans="1:13" ht="22.5" x14ac:dyDescent="0.25">
      <c r="A59" s="6" t="s">
        <v>137</v>
      </c>
      <c r="B59" s="7">
        <v>2001458</v>
      </c>
      <c r="C59" s="8">
        <v>100165</v>
      </c>
      <c r="D59" s="9" t="s">
        <v>242</v>
      </c>
      <c r="E59" s="7">
        <v>73</v>
      </c>
      <c r="F59" s="7" t="s">
        <v>243</v>
      </c>
      <c r="G59" s="7" t="s">
        <v>22</v>
      </c>
      <c r="H59" s="9" t="s">
        <v>244</v>
      </c>
      <c r="I59" s="9" t="s">
        <v>245</v>
      </c>
      <c r="J59" s="7" t="s">
        <v>25</v>
      </c>
      <c r="K59" s="9">
        <v>3</v>
      </c>
      <c r="L59" s="10">
        <v>54105</v>
      </c>
      <c r="M59" s="1" t="s">
        <v>18</v>
      </c>
    </row>
    <row r="60" spans="1:13" x14ac:dyDescent="0.25">
      <c r="A60" s="6" t="s">
        <v>63</v>
      </c>
      <c r="B60" s="12">
        <v>2502100</v>
      </c>
      <c r="C60" s="13">
        <v>60353</v>
      </c>
      <c r="D60" s="12" t="s">
        <v>246</v>
      </c>
      <c r="E60" s="14">
        <v>45</v>
      </c>
      <c r="F60" s="12" t="s">
        <v>247</v>
      </c>
      <c r="G60" s="12" t="s">
        <v>15</v>
      </c>
      <c r="H60" s="12" t="s">
        <v>248</v>
      </c>
      <c r="I60" s="14" t="s">
        <v>78</v>
      </c>
      <c r="J60" s="14" t="s">
        <v>154</v>
      </c>
      <c r="K60" s="12">
        <v>3</v>
      </c>
      <c r="L60" s="15">
        <v>128419</v>
      </c>
      <c r="M60" s="1" t="s">
        <v>18</v>
      </c>
    </row>
    <row r="61" spans="1:13" x14ac:dyDescent="0.25">
      <c r="A61" s="2" t="s">
        <v>249</v>
      </c>
      <c r="B61" s="3">
        <v>2003623</v>
      </c>
      <c r="C61" s="4">
        <v>10135</v>
      </c>
      <c r="D61" s="3" t="s">
        <v>250</v>
      </c>
      <c r="E61" s="3">
        <v>60</v>
      </c>
      <c r="F61" s="3" t="s">
        <v>251</v>
      </c>
      <c r="G61" s="3" t="s">
        <v>22</v>
      </c>
      <c r="H61" s="3" t="s">
        <v>252</v>
      </c>
      <c r="I61" s="3" t="s">
        <v>103</v>
      </c>
      <c r="J61" s="3" t="s">
        <v>46</v>
      </c>
      <c r="K61" s="3">
        <v>3</v>
      </c>
      <c r="L61" s="5">
        <v>100000</v>
      </c>
      <c r="M61" s="1" t="s">
        <v>18</v>
      </c>
    </row>
    <row r="62" spans="1:13" ht="33.75" x14ac:dyDescent="0.25">
      <c r="A62" s="2" t="s">
        <v>249</v>
      </c>
      <c r="B62" s="3">
        <v>2011690</v>
      </c>
      <c r="C62" s="4">
        <v>6844</v>
      </c>
      <c r="D62" s="3" t="s">
        <v>253</v>
      </c>
      <c r="E62" s="3">
        <v>67</v>
      </c>
      <c r="F62" s="3" t="s">
        <v>254</v>
      </c>
      <c r="G62" s="3" t="s">
        <v>15</v>
      </c>
      <c r="H62" s="3" t="s">
        <v>255</v>
      </c>
      <c r="I62" s="3" t="s">
        <v>256</v>
      </c>
      <c r="J62" s="3" t="s">
        <v>46</v>
      </c>
      <c r="K62" s="3">
        <v>3</v>
      </c>
      <c r="L62" s="5">
        <v>106968</v>
      </c>
      <c r="M62" s="1" t="s">
        <v>18</v>
      </c>
    </row>
    <row r="63" spans="1:13" x14ac:dyDescent="0.25">
      <c r="A63" s="11" t="s">
        <v>257</v>
      </c>
      <c r="B63" s="12">
        <v>2019944</v>
      </c>
      <c r="C63" s="13">
        <v>85557</v>
      </c>
      <c r="D63" s="12" t="s">
        <v>258</v>
      </c>
      <c r="E63" s="14">
        <v>8</v>
      </c>
      <c r="F63" s="12" t="s">
        <v>259</v>
      </c>
      <c r="G63" s="12" t="s">
        <v>132</v>
      </c>
      <c r="H63" s="12" t="s">
        <v>260</v>
      </c>
      <c r="I63" s="14" t="s">
        <v>78</v>
      </c>
      <c r="J63" s="14" t="s">
        <v>154</v>
      </c>
      <c r="K63" s="12">
        <v>3</v>
      </c>
      <c r="L63" s="15">
        <v>72190</v>
      </c>
      <c r="M63" s="1" t="s">
        <v>18</v>
      </c>
    </row>
    <row r="64" spans="1:13" x14ac:dyDescent="0.25">
      <c r="A64" s="11" t="s">
        <v>75</v>
      </c>
      <c r="B64" s="12">
        <v>2011004</v>
      </c>
      <c r="C64" s="13">
        <v>101184</v>
      </c>
      <c r="D64" s="12" t="s">
        <v>261</v>
      </c>
      <c r="E64" s="14">
        <v>64</v>
      </c>
      <c r="F64" s="12" t="s">
        <v>262</v>
      </c>
      <c r="G64" s="12" t="s">
        <v>15</v>
      </c>
      <c r="H64" s="12" t="s">
        <v>263</v>
      </c>
      <c r="I64" s="14" t="s">
        <v>94</v>
      </c>
      <c r="J64" s="14" t="s">
        <v>66</v>
      </c>
      <c r="K64" s="13">
        <v>3</v>
      </c>
      <c r="L64" s="15">
        <v>52351</v>
      </c>
      <c r="M64" s="1" t="s">
        <v>18</v>
      </c>
    </row>
    <row r="65" spans="1:13" x14ac:dyDescent="0.25">
      <c r="A65" s="11" t="s">
        <v>75</v>
      </c>
      <c r="B65" s="12">
        <v>2003903</v>
      </c>
      <c r="C65" s="13">
        <v>12834</v>
      </c>
      <c r="D65" s="12" t="s">
        <v>264</v>
      </c>
      <c r="E65" s="14">
        <v>67</v>
      </c>
      <c r="F65" s="12" t="s">
        <v>265</v>
      </c>
      <c r="G65" s="12" t="s">
        <v>22</v>
      </c>
      <c r="H65" s="12" t="s">
        <v>266</v>
      </c>
      <c r="I65" s="14" t="s">
        <v>37</v>
      </c>
      <c r="J65" s="14" t="s">
        <v>79</v>
      </c>
      <c r="K65" s="13">
        <v>3</v>
      </c>
      <c r="L65" s="15">
        <v>55674</v>
      </c>
      <c r="M65" s="1" t="s">
        <v>18</v>
      </c>
    </row>
    <row r="66" spans="1:13" x14ac:dyDescent="0.25">
      <c r="A66" s="11" t="s">
        <v>75</v>
      </c>
      <c r="B66" s="12">
        <v>2005082</v>
      </c>
      <c r="C66" s="13">
        <v>101741</v>
      </c>
      <c r="D66" s="12" t="s">
        <v>76</v>
      </c>
      <c r="E66" s="14">
        <v>69</v>
      </c>
      <c r="F66" s="12" t="s">
        <v>49</v>
      </c>
      <c r="G66" s="12" t="s">
        <v>15</v>
      </c>
      <c r="H66" s="12" t="s">
        <v>77</v>
      </c>
      <c r="I66" s="14" t="s">
        <v>79</v>
      </c>
      <c r="J66" s="14" t="s">
        <v>94</v>
      </c>
      <c r="K66" s="13">
        <v>3</v>
      </c>
      <c r="L66" s="15">
        <v>31636.59</v>
      </c>
      <c r="M66" s="1" t="s">
        <v>18</v>
      </c>
    </row>
    <row r="67" spans="1:13" ht="33.75" x14ac:dyDescent="0.25">
      <c r="A67" s="6" t="s">
        <v>267</v>
      </c>
      <c r="B67" s="7">
        <v>2005735</v>
      </c>
      <c r="C67" s="8">
        <v>74055</v>
      </c>
      <c r="D67" s="9" t="s">
        <v>268</v>
      </c>
      <c r="E67" s="7">
        <v>17</v>
      </c>
      <c r="F67" s="7" t="s">
        <v>49</v>
      </c>
      <c r="G67" s="7" t="s">
        <v>132</v>
      </c>
      <c r="H67" s="9" t="s">
        <v>269</v>
      </c>
      <c r="I67" s="9" t="s">
        <v>270</v>
      </c>
      <c r="J67" s="7" t="s">
        <v>42</v>
      </c>
      <c r="K67" s="17">
        <v>3</v>
      </c>
      <c r="L67" s="10">
        <v>115518.16</v>
      </c>
      <c r="M67" s="1" t="s">
        <v>18</v>
      </c>
    </row>
    <row r="68" spans="1:13" x14ac:dyDescent="0.25">
      <c r="A68" s="6" t="s">
        <v>267</v>
      </c>
      <c r="B68" s="7">
        <v>2015860</v>
      </c>
      <c r="C68" s="8">
        <v>52961</v>
      </c>
      <c r="D68" s="9" t="s">
        <v>271</v>
      </c>
      <c r="E68" s="7">
        <v>63</v>
      </c>
      <c r="F68" s="7" t="s">
        <v>272</v>
      </c>
      <c r="G68" s="7" t="s">
        <v>15</v>
      </c>
      <c r="H68" s="9" t="s">
        <v>273</v>
      </c>
      <c r="I68" s="9" t="s">
        <v>71</v>
      </c>
      <c r="J68" s="7" t="s">
        <v>42</v>
      </c>
      <c r="K68" s="17">
        <v>3</v>
      </c>
      <c r="L68" s="10">
        <v>70958.53</v>
      </c>
      <c r="M68" s="1" t="s">
        <v>18</v>
      </c>
    </row>
    <row r="69" spans="1:13" ht="45" x14ac:dyDescent="0.25">
      <c r="A69" s="11" t="s">
        <v>274</v>
      </c>
      <c r="B69" s="12">
        <v>2015037</v>
      </c>
      <c r="C69" s="13">
        <v>19683</v>
      </c>
      <c r="D69" s="12" t="s">
        <v>275</v>
      </c>
      <c r="E69" s="14">
        <v>61</v>
      </c>
      <c r="F69" s="12" t="s">
        <v>276</v>
      </c>
      <c r="G69" s="12" t="s">
        <v>22</v>
      </c>
      <c r="H69" s="12" t="s">
        <v>277</v>
      </c>
      <c r="I69" s="14" t="s">
        <v>278</v>
      </c>
      <c r="J69" s="14" t="s">
        <v>31</v>
      </c>
      <c r="K69" s="13">
        <v>3</v>
      </c>
      <c r="L69" s="15">
        <v>95262</v>
      </c>
      <c r="M69" s="1" t="s">
        <v>18</v>
      </c>
    </row>
    <row r="70" spans="1:13" x14ac:dyDescent="0.25">
      <c r="A70" s="16" t="s">
        <v>72</v>
      </c>
      <c r="B70" s="12">
        <v>2005052</v>
      </c>
      <c r="C70" s="13">
        <v>13711</v>
      </c>
      <c r="D70" s="12" t="s">
        <v>279</v>
      </c>
      <c r="E70" s="14">
        <v>57</v>
      </c>
      <c r="F70" s="12" t="s">
        <v>280</v>
      </c>
      <c r="G70" s="12" t="s">
        <v>15</v>
      </c>
      <c r="H70" s="12" t="s">
        <v>281</v>
      </c>
      <c r="I70" s="14" t="s">
        <v>37</v>
      </c>
      <c r="J70" s="14" t="s">
        <v>141</v>
      </c>
      <c r="K70" s="12">
        <v>3</v>
      </c>
      <c r="L70" s="15">
        <v>286504.59999999998</v>
      </c>
      <c r="M70" s="1" t="s">
        <v>18</v>
      </c>
    </row>
    <row r="71" spans="1:13" x14ac:dyDescent="0.25">
      <c r="A71" s="16" t="s">
        <v>72</v>
      </c>
      <c r="B71" s="12">
        <v>2013832</v>
      </c>
      <c r="C71" s="13">
        <v>15912</v>
      </c>
      <c r="D71" s="12" t="s">
        <v>282</v>
      </c>
      <c r="E71" s="14">
        <v>61</v>
      </c>
      <c r="F71" s="12" t="s">
        <v>283</v>
      </c>
      <c r="G71" s="12" t="s">
        <v>15</v>
      </c>
      <c r="H71" s="12" t="s">
        <v>284</v>
      </c>
      <c r="I71" s="14" t="s">
        <v>37</v>
      </c>
      <c r="J71" s="14" t="s">
        <v>141</v>
      </c>
      <c r="K71" s="12">
        <v>3</v>
      </c>
      <c r="L71" s="15">
        <v>467078.09</v>
      </c>
      <c r="M71" s="1" t="s">
        <v>18</v>
      </c>
    </row>
    <row r="72" spans="1:13" x14ac:dyDescent="0.25">
      <c r="A72" s="24" t="s">
        <v>285</v>
      </c>
      <c r="B72" s="25">
        <v>2022134</v>
      </c>
      <c r="C72" s="26">
        <v>32050</v>
      </c>
      <c r="D72" s="25" t="s">
        <v>286</v>
      </c>
      <c r="E72" s="25">
        <v>54</v>
      </c>
      <c r="F72" s="25" t="s">
        <v>287</v>
      </c>
      <c r="G72" s="25" t="s">
        <v>15</v>
      </c>
      <c r="H72" s="25" t="s">
        <v>288</v>
      </c>
      <c r="I72" s="25" t="s">
        <v>108</v>
      </c>
      <c r="J72" s="27" t="s">
        <v>289</v>
      </c>
      <c r="K72" s="26">
        <v>3</v>
      </c>
      <c r="L72" s="28">
        <v>99489</v>
      </c>
      <c r="M72" s="1" t="s">
        <v>18</v>
      </c>
    </row>
    <row r="73" spans="1:13" ht="22.5" x14ac:dyDescent="0.25">
      <c r="A73" s="24" t="s">
        <v>290</v>
      </c>
      <c r="B73" s="25">
        <v>2018795</v>
      </c>
      <c r="C73" s="26">
        <v>110494</v>
      </c>
      <c r="D73" s="25" t="s">
        <v>291</v>
      </c>
      <c r="E73" s="25">
        <v>12</v>
      </c>
      <c r="F73" s="25" t="s">
        <v>292</v>
      </c>
      <c r="G73" s="25" t="s">
        <v>132</v>
      </c>
      <c r="H73" s="25" t="s">
        <v>293</v>
      </c>
      <c r="I73" s="25" t="s">
        <v>108</v>
      </c>
      <c r="J73" s="27" t="s">
        <v>289</v>
      </c>
      <c r="K73" s="26">
        <v>3</v>
      </c>
      <c r="L73" s="28">
        <v>61312.29</v>
      </c>
      <c r="M73" s="1" t="s">
        <v>18</v>
      </c>
    </row>
    <row r="74" spans="1:13" x14ac:dyDescent="0.25">
      <c r="A74" s="24" t="s">
        <v>294</v>
      </c>
      <c r="B74" s="25">
        <v>2018394</v>
      </c>
      <c r="C74" s="26">
        <v>58884</v>
      </c>
      <c r="D74" s="25" t="s">
        <v>295</v>
      </c>
      <c r="E74" s="25">
        <v>60</v>
      </c>
      <c r="F74" s="25" t="s">
        <v>296</v>
      </c>
      <c r="G74" s="25" t="s">
        <v>15</v>
      </c>
      <c r="H74" s="25" t="s">
        <v>297</v>
      </c>
      <c r="I74" s="25" t="s">
        <v>108</v>
      </c>
      <c r="J74" s="27" t="s">
        <v>289</v>
      </c>
      <c r="K74" s="26">
        <v>3</v>
      </c>
      <c r="L74" s="31">
        <v>139057.07999999999</v>
      </c>
      <c r="M74" s="1" t="s">
        <v>18</v>
      </c>
    </row>
    <row r="75" spans="1:13" x14ac:dyDescent="0.25">
      <c r="A75" s="24" t="s">
        <v>298</v>
      </c>
      <c r="B75" s="25">
        <v>2013074</v>
      </c>
      <c r="C75" s="26">
        <v>101343</v>
      </c>
      <c r="D75" s="25" t="s">
        <v>299</v>
      </c>
      <c r="E75" s="25">
        <v>64</v>
      </c>
      <c r="F75" s="25" t="s">
        <v>300</v>
      </c>
      <c r="G75" s="25" t="s">
        <v>22</v>
      </c>
      <c r="H75" s="25" t="s">
        <v>301</v>
      </c>
      <c r="I75" s="25" t="s">
        <v>108</v>
      </c>
      <c r="J75" s="27" t="s">
        <v>289</v>
      </c>
      <c r="K75" s="26">
        <v>3</v>
      </c>
      <c r="L75" s="28">
        <v>53855.74</v>
      </c>
      <c r="M75" s="1" t="s">
        <v>18</v>
      </c>
    </row>
    <row r="76" spans="1:13" x14ac:dyDescent="0.25">
      <c r="A76" s="11" t="s">
        <v>302</v>
      </c>
      <c r="B76" s="12">
        <v>2012457</v>
      </c>
      <c r="C76" s="13">
        <v>12417</v>
      </c>
      <c r="D76" s="12" t="s">
        <v>303</v>
      </c>
      <c r="E76" s="14">
        <v>66</v>
      </c>
      <c r="F76" s="12" t="s">
        <v>60</v>
      </c>
      <c r="G76" s="12" t="s">
        <v>22</v>
      </c>
      <c r="H76" s="12" t="s">
        <v>304</v>
      </c>
      <c r="I76" s="14" t="s">
        <v>66</v>
      </c>
      <c r="J76" s="14" t="s">
        <v>31</v>
      </c>
      <c r="K76" s="12">
        <v>4</v>
      </c>
      <c r="L76" s="15">
        <v>144851</v>
      </c>
      <c r="M76" s="1" t="s">
        <v>18</v>
      </c>
    </row>
    <row r="77" spans="1:13" x14ac:dyDescent="0.25">
      <c r="A77" s="19" t="s">
        <v>86</v>
      </c>
      <c r="B77" s="12">
        <v>2009869</v>
      </c>
      <c r="C77" s="13">
        <v>61492</v>
      </c>
      <c r="D77" s="12" t="s">
        <v>305</v>
      </c>
      <c r="E77" s="14">
        <v>59</v>
      </c>
      <c r="F77" s="12" t="s">
        <v>306</v>
      </c>
      <c r="G77" s="12" t="s">
        <v>22</v>
      </c>
      <c r="H77" s="12" t="s">
        <v>307</v>
      </c>
      <c r="I77" s="14" t="s">
        <v>308</v>
      </c>
      <c r="J77" s="14" t="s">
        <v>95</v>
      </c>
      <c r="K77" s="12">
        <v>4</v>
      </c>
      <c r="L77" s="15">
        <v>209512</v>
      </c>
      <c r="M77" s="1" t="s">
        <v>18</v>
      </c>
    </row>
    <row r="78" spans="1:13" x14ac:dyDescent="0.25">
      <c r="A78" s="2" t="s">
        <v>309</v>
      </c>
      <c r="B78" s="12">
        <v>2018941</v>
      </c>
      <c r="C78" s="13">
        <v>31738</v>
      </c>
      <c r="D78" s="12" t="s">
        <v>310</v>
      </c>
      <c r="E78" s="14">
        <v>67</v>
      </c>
      <c r="F78" s="12" t="s">
        <v>311</v>
      </c>
      <c r="G78" s="12" t="s">
        <v>15</v>
      </c>
      <c r="H78" s="12" t="s">
        <v>312</v>
      </c>
      <c r="I78" s="14" t="s">
        <v>94</v>
      </c>
      <c r="J78" s="14" t="s">
        <v>67</v>
      </c>
      <c r="K78" s="12">
        <v>4</v>
      </c>
      <c r="L78" s="15">
        <v>230024</v>
      </c>
      <c r="M78" s="1" t="s">
        <v>18</v>
      </c>
    </row>
    <row r="79" spans="1:13" x14ac:dyDescent="0.25">
      <c r="A79" s="6" t="s">
        <v>19</v>
      </c>
      <c r="B79" s="7">
        <v>2008980</v>
      </c>
      <c r="C79" s="8">
        <v>59457</v>
      </c>
      <c r="D79" s="9" t="s">
        <v>313</v>
      </c>
      <c r="E79" s="7">
        <v>65</v>
      </c>
      <c r="F79" s="7" t="s">
        <v>314</v>
      </c>
      <c r="G79" s="7" t="s">
        <v>15</v>
      </c>
      <c r="H79" s="9" t="s">
        <v>315</v>
      </c>
      <c r="I79" s="9" t="s">
        <v>51</v>
      </c>
      <c r="J79" s="7" t="s">
        <v>37</v>
      </c>
      <c r="K79" s="9">
        <v>4</v>
      </c>
      <c r="L79" s="10">
        <v>108913</v>
      </c>
      <c r="M79" s="1" t="s">
        <v>18</v>
      </c>
    </row>
    <row r="80" spans="1:13" x14ac:dyDescent="0.25">
      <c r="A80" s="6" t="s">
        <v>19</v>
      </c>
      <c r="B80" s="12">
        <v>2020673</v>
      </c>
      <c r="C80" s="13">
        <v>19381</v>
      </c>
      <c r="D80" s="12" t="s">
        <v>316</v>
      </c>
      <c r="E80" s="14">
        <v>54</v>
      </c>
      <c r="F80" s="12" t="s">
        <v>317</v>
      </c>
      <c r="G80" s="12" t="s">
        <v>15</v>
      </c>
      <c r="H80" s="12" t="s">
        <v>318</v>
      </c>
      <c r="I80" s="14" t="s">
        <v>99</v>
      </c>
      <c r="J80" s="14" t="s">
        <v>62</v>
      </c>
      <c r="K80" s="12">
        <v>4</v>
      </c>
      <c r="L80" s="15">
        <v>320000</v>
      </c>
      <c r="M80" s="1" t="s">
        <v>18</v>
      </c>
    </row>
    <row r="81" spans="1:13" x14ac:dyDescent="0.25">
      <c r="A81" s="6" t="s">
        <v>319</v>
      </c>
      <c r="B81" s="12">
        <v>2022801</v>
      </c>
      <c r="C81" s="13">
        <v>16631</v>
      </c>
      <c r="D81" s="12" t="s">
        <v>320</v>
      </c>
      <c r="E81" s="14">
        <v>51</v>
      </c>
      <c r="F81" s="12" t="s">
        <v>321</v>
      </c>
      <c r="G81" s="12" t="s">
        <v>15</v>
      </c>
      <c r="H81" s="12" t="s">
        <v>322</v>
      </c>
      <c r="I81" s="14" t="s">
        <v>94</v>
      </c>
      <c r="J81" s="14" t="s">
        <v>67</v>
      </c>
      <c r="K81" s="12">
        <v>4</v>
      </c>
      <c r="L81" s="15">
        <v>114592</v>
      </c>
      <c r="M81" s="1" t="s">
        <v>18</v>
      </c>
    </row>
    <row r="82" spans="1:13" x14ac:dyDescent="0.25">
      <c r="A82" s="19" t="s">
        <v>208</v>
      </c>
      <c r="B82" s="12">
        <v>2012013</v>
      </c>
      <c r="C82" s="13">
        <v>106164</v>
      </c>
      <c r="D82" s="12" t="s">
        <v>323</v>
      </c>
      <c r="E82" s="14">
        <v>51</v>
      </c>
      <c r="F82" s="12" t="s">
        <v>324</v>
      </c>
      <c r="G82" s="12" t="s">
        <v>15</v>
      </c>
      <c r="H82" s="12" t="s">
        <v>325</v>
      </c>
      <c r="I82" s="14" t="s">
        <v>94</v>
      </c>
      <c r="J82" s="14" t="s">
        <v>67</v>
      </c>
      <c r="K82" s="12">
        <v>4</v>
      </c>
      <c r="L82" s="15">
        <v>248160</v>
      </c>
      <c r="M82" s="1" t="s">
        <v>18</v>
      </c>
    </row>
    <row r="83" spans="1:13" ht="22.5" x14ac:dyDescent="0.25">
      <c r="A83" s="20" t="s">
        <v>221</v>
      </c>
      <c r="B83" s="21">
        <v>2020117</v>
      </c>
      <c r="C83" s="22">
        <v>7872</v>
      </c>
      <c r="D83" s="21" t="s">
        <v>326</v>
      </c>
      <c r="E83" s="21">
        <v>60</v>
      </c>
      <c r="F83" s="21" t="s">
        <v>327</v>
      </c>
      <c r="G83" s="21" t="s">
        <v>15</v>
      </c>
      <c r="H83" s="21" t="s">
        <v>328</v>
      </c>
      <c r="I83" s="21" t="s">
        <v>79</v>
      </c>
      <c r="J83" s="21" t="s">
        <v>99</v>
      </c>
      <c r="K83" s="21">
        <v>4</v>
      </c>
      <c r="L83" s="23">
        <v>97505.07</v>
      </c>
      <c r="M83" s="1" t="s">
        <v>18</v>
      </c>
    </row>
    <row r="84" spans="1:13" ht="33.75" x14ac:dyDescent="0.25">
      <c r="A84" s="20" t="s">
        <v>329</v>
      </c>
      <c r="B84" s="21">
        <v>2002219</v>
      </c>
      <c r="C84" s="13">
        <v>13196</v>
      </c>
      <c r="D84" s="21" t="s">
        <v>330</v>
      </c>
      <c r="E84" s="21">
        <v>70</v>
      </c>
      <c r="F84" s="21" t="s">
        <v>331</v>
      </c>
      <c r="G84" s="21" t="s">
        <v>22</v>
      </c>
      <c r="H84" s="21" t="s">
        <v>332</v>
      </c>
      <c r="I84" s="21" t="s">
        <v>333</v>
      </c>
      <c r="J84" s="21" t="s">
        <v>78</v>
      </c>
      <c r="K84" s="21">
        <v>4</v>
      </c>
      <c r="L84" s="23">
        <v>42420</v>
      </c>
      <c r="M84" s="1" t="s">
        <v>18</v>
      </c>
    </row>
    <row r="85" spans="1:13" x14ac:dyDescent="0.25">
      <c r="A85" s="6" t="s">
        <v>38</v>
      </c>
      <c r="B85" s="12">
        <v>2012328</v>
      </c>
      <c r="C85" s="13">
        <v>101557</v>
      </c>
      <c r="D85" s="12" t="s">
        <v>334</v>
      </c>
      <c r="E85" s="14">
        <v>67</v>
      </c>
      <c r="F85" s="12" t="s">
        <v>335</v>
      </c>
      <c r="G85" s="12" t="s">
        <v>22</v>
      </c>
      <c r="H85" s="12" t="s">
        <v>336</v>
      </c>
      <c r="I85" s="14" t="s">
        <v>36</v>
      </c>
      <c r="J85" s="14" t="s">
        <v>79</v>
      </c>
      <c r="K85" s="12">
        <v>4</v>
      </c>
      <c r="L85" s="15">
        <v>173896</v>
      </c>
      <c r="M85" s="1" t="s">
        <v>18</v>
      </c>
    </row>
    <row r="86" spans="1:13" x14ac:dyDescent="0.25">
      <c r="A86" s="11" t="s">
        <v>337</v>
      </c>
      <c r="B86" s="12">
        <v>2009883</v>
      </c>
      <c r="C86" s="13">
        <v>7601</v>
      </c>
      <c r="D86" s="12" t="s">
        <v>338</v>
      </c>
      <c r="E86" s="12">
        <v>69</v>
      </c>
      <c r="F86" s="12" t="s">
        <v>60</v>
      </c>
      <c r="G86" s="12" t="s">
        <v>22</v>
      </c>
      <c r="H86" s="12" t="s">
        <v>339</v>
      </c>
      <c r="I86" s="12" t="s">
        <v>66</v>
      </c>
      <c r="J86" s="12" t="s">
        <v>31</v>
      </c>
      <c r="K86" s="12">
        <v>4</v>
      </c>
      <c r="L86" s="32">
        <v>178761</v>
      </c>
      <c r="M86" s="1" t="s">
        <v>18</v>
      </c>
    </row>
    <row r="87" spans="1:13" x14ac:dyDescent="0.25">
      <c r="A87" s="11" t="s">
        <v>340</v>
      </c>
      <c r="B87" s="12">
        <v>2003427</v>
      </c>
      <c r="C87" s="13">
        <v>9108</v>
      </c>
      <c r="D87" s="12" t="s">
        <v>341</v>
      </c>
      <c r="E87" s="14">
        <v>68</v>
      </c>
      <c r="F87" s="12" t="s">
        <v>342</v>
      </c>
      <c r="G87" s="12" t="s">
        <v>22</v>
      </c>
      <c r="H87" s="12" t="s">
        <v>343</v>
      </c>
      <c r="I87" s="14" t="s">
        <v>67</v>
      </c>
      <c r="J87" s="14" t="s">
        <v>108</v>
      </c>
      <c r="K87" s="12">
        <v>4</v>
      </c>
      <c r="L87" s="15">
        <v>62800</v>
      </c>
      <c r="M87" s="1" t="s">
        <v>18</v>
      </c>
    </row>
    <row r="88" spans="1:13" ht="22.5" x14ac:dyDescent="0.25">
      <c r="A88" s="6" t="s">
        <v>142</v>
      </c>
      <c r="B88" s="7">
        <v>2407161</v>
      </c>
      <c r="C88" s="8">
        <v>104386</v>
      </c>
      <c r="D88" s="9" t="s">
        <v>344</v>
      </c>
      <c r="E88" s="7">
        <v>60</v>
      </c>
      <c r="F88" s="7" t="s">
        <v>345</v>
      </c>
      <c r="G88" s="7" t="s">
        <v>15</v>
      </c>
      <c r="H88" s="9" t="s">
        <v>346</v>
      </c>
      <c r="I88" s="9" t="s">
        <v>51</v>
      </c>
      <c r="J88" s="7" t="s">
        <v>37</v>
      </c>
      <c r="K88" s="9">
        <v>4</v>
      </c>
      <c r="L88" s="10">
        <v>187681.97</v>
      </c>
      <c r="M88" s="1" t="s">
        <v>18</v>
      </c>
    </row>
    <row r="89" spans="1:13" x14ac:dyDescent="0.25">
      <c r="A89" s="6" t="s">
        <v>68</v>
      </c>
      <c r="B89" s="7">
        <v>2011133</v>
      </c>
      <c r="C89" s="8">
        <v>12331</v>
      </c>
      <c r="D89" s="9" t="s">
        <v>347</v>
      </c>
      <c r="E89" s="7">
        <v>68</v>
      </c>
      <c r="F89" s="7" t="s">
        <v>348</v>
      </c>
      <c r="G89" s="7" t="s">
        <v>15</v>
      </c>
      <c r="H89" s="9" t="s">
        <v>349</v>
      </c>
      <c r="I89" s="9" t="s">
        <v>57</v>
      </c>
      <c r="J89" s="7" t="s">
        <v>36</v>
      </c>
      <c r="K89" s="9">
        <v>4</v>
      </c>
      <c r="L89" s="10">
        <v>568737</v>
      </c>
      <c r="M89" s="1" t="s">
        <v>18</v>
      </c>
    </row>
    <row r="90" spans="1:13" x14ac:dyDescent="0.25">
      <c r="A90" s="11" t="s">
        <v>350</v>
      </c>
      <c r="B90" s="12">
        <v>2003346</v>
      </c>
      <c r="C90" s="13">
        <v>11127</v>
      </c>
      <c r="D90" s="12" t="s">
        <v>351</v>
      </c>
      <c r="E90" s="14">
        <v>68</v>
      </c>
      <c r="F90" s="12" t="s">
        <v>352</v>
      </c>
      <c r="G90" s="12" t="s">
        <v>22</v>
      </c>
      <c r="H90" s="12" t="s">
        <v>353</v>
      </c>
      <c r="I90" s="14" t="s">
        <v>36</v>
      </c>
      <c r="J90" s="14" t="s">
        <v>79</v>
      </c>
      <c r="K90" s="12">
        <v>4</v>
      </c>
      <c r="L90" s="15">
        <v>201643</v>
      </c>
      <c r="M90" s="1" t="s">
        <v>18</v>
      </c>
    </row>
    <row r="91" spans="1:13" x14ac:dyDescent="0.25">
      <c r="A91" s="33" t="s">
        <v>354</v>
      </c>
      <c r="B91" s="27">
        <v>2407267</v>
      </c>
      <c r="C91" s="34">
        <v>56814</v>
      </c>
      <c r="D91" s="27" t="s">
        <v>355</v>
      </c>
      <c r="E91" s="27">
        <v>62</v>
      </c>
      <c r="F91" s="27" t="s">
        <v>356</v>
      </c>
      <c r="G91" s="27" t="s">
        <v>15</v>
      </c>
      <c r="H91" s="27" t="s">
        <v>357</v>
      </c>
      <c r="I91" s="27" t="s">
        <v>85</v>
      </c>
      <c r="J91" s="27" t="s">
        <v>190</v>
      </c>
      <c r="K91" s="34">
        <v>3</v>
      </c>
      <c r="L91" s="28">
        <v>25721</v>
      </c>
      <c r="M91" s="1" t="s">
        <v>18</v>
      </c>
    </row>
    <row r="92" spans="1:13" x14ac:dyDescent="0.25">
      <c r="A92" s="11" t="s">
        <v>350</v>
      </c>
      <c r="B92" s="12">
        <v>2019013</v>
      </c>
      <c r="C92" s="13">
        <v>105870</v>
      </c>
      <c r="D92" s="12" t="s">
        <v>358</v>
      </c>
      <c r="E92" s="14">
        <v>49</v>
      </c>
      <c r="F92" s="12" t="s">
        <v>359</v>
      </c>
      <c r="G92" s="12" t="s">
        <v>15</v>
      </c>
      <c r="H92" s="12" t="s">
        <v>360</v>
      </c>
      <c r="I92" s="14" t="s">
        <v>30</v>
      </c>
      <c r="J92" s="14" t="s">
        <v>85</v>
      </c>
      <c r="K92" s="12">
        <v>4</v>
      </c>
      <c r="L92" s="15">
        <v>50173</v>
      </c>
      <c r="M92" s="1" t="s">
        <v>18</v>
      </c>
    </row>
    <row r="93" spans="1:13" ht="22.5" x14ac:dyDescent="0.25">
      <c r="A93" s="6" t="s">
        <v>155</v>
      </c>
      <c r="B93" s="7">
        <v>2002439</v>
      </c>
      <c r="C93" s="8">
        <v>55156</v>
      </c>
      <c r="D93" s="9" t="s">
        <v>361</v>
      </c>
      <c r="E93" s="7">
        <v>71</v>
      </c>
      <c r="F93" s="7" t="s">
        <v>362</v>
      </c>
      <c r="G93" s="7" t="s">
        <v>22</v>
      </c>
      <c r="H93" s="9" t="s">
        <v>363</v>
      </c>
      <c r="I93" s="9" t="s">
        <v>52</v>
      </c>
      <c r="J93" s="7" t="s">
        <v>42</v>
      </c>
      <c r="K93" s="9">
        <v>4</v>
      </c>
      <c r="L93" s="10">
        <v>130181</v>
      </c>
      <c r="M93" s="1" t="s">
        <v>18</v>
      </c>
    </row>
    <row r="94" spans="1:13" x14ac:dyDescent="0.25">
      <c r="A94" s="16" t="s">
        <v>72</v>
      </c>
      <c r="B94" s="12">
        <v>2005584</v>
      </c>
      <c r="C94" s="13">
        <v>17356</v>
      </c>
      <c r="D94" s="12" t="s">
        <v>364</v>
      </c>
      <c r="E94" s="14">
        <v>76</v>
      </c>
      <c r="F94" s="12" t="s">
        <v>365</v>
      </c>
      <c r="G94" s="12" t="s">
        <v>15</v>
      </c>
      <c r="H94" s="12" t="s">
        <v>366</v>
      </c>
      <c r="I94" s="14" t="s">
        <v>95</v>
      </c>
      <c r="J94" s="14" t="s">
        <v>30</v>
      </c>
      <c r="K94" s="12">
        <v>4</v>
      </c>
      <c r="L94" s="15">
        <v>147998</v>
      </c>
      <c r="M94" s="1" t="s">
        <v>18</v>
      </c>
    </row>
    <row r="95" spans="1:13" x14ac:dyDescent="0.25">
      <c r="A95" s="16" t="s">
        <v>72</v>
      </c>
      <c r="B95" s="9">
        <v>2503065</v>
      </c>
      <c r="C95" s="17">
        <v>59127</v>
      </c>
      <c r="D95" s="9" t="s">
        <v>367</v>
      </c>
      <c r="E95" s="9">
        <v>59</v>
      </c>
      <c r="F95" s="9" t="s">
        <v>368</v>
      </c>
      <c r="G95" s="9" t="s">
        <v>22</v>
      </c>
      <c r="H95" s="9" t="s">
        <v>369</v>
      </c>
      <c r="I95" s="9" t="s">
        <v>103</v>
      </c>
      <c r="J95" s="3" t="s">
        <v>121</v>
      </c>
      <c r="K95" s="9">
        <v>4</v>
      </c>
      <c r="L95" s="18">
        <v>165234</v>
      </c>
      <c r="M95" s="1" t="s">
        <v>18</v>
      </c>
    </row>
    <row r="96" spans="1:13" x14ac:dyDescent="0.25">
      <c r="A96" s="16" t="s">
        <v>72</v>
      </c>
      <c r="B96" s="12">
        <v>2407491</v>
      </c>
      <c r="C96" s="13">
        <v>58327</v>
      </c>
      <c r="D96" s="12" t="s">
        <v>370</v>
      </c>
      <c r="E96" s="14">
        <v>59</v>
      </c>
      <c r="F96" s="12" t="s">
        <v>371</v>
      </c>
      <c r="G96" s="12" t="s">
        <v>15</v>
      </c>
      <c r="H96" s="12" t="s">
        <v>372</v>
      </c>
      <c r="I96" s="14" t="s">
        <v>67</v>
      </c>
      <c r="J96" s="14" t="s">
        <v>108</v>
      </c>
      <c r="K96" s="12">
        <v>4</v>
      </c>
      <c r="L96" s="15">
        <v>149582.6</v>
      </c>
      <c r="M96" s="1" t="s">
        <v>18</v>
      </c>
    </row>
    <row r="97" spans="1:13" x14ac:dyDescent="0.25">
      <c r="A97" s="6" t="s">
        <v>373</v>
      </c>
      <c r="B97" s="12">
        <v>2007704</v>
      </c>
      <c r="C97" s="13">
        <v>100569</v>
      </c>
      <c r="D97" s="12" t="s">
        <v>374</v>
      </c>
      <c r="E97" s="14">
        <v>64</v>
      </c>
      <c r="F97" s="12" t="s">
        <v>375</v>
      </c>
      <c r="G97" s="12" t="s">
        <v>22</v>
      </c>
      <c r="H97" s="12" t="s">
        <v>376</v>
      </c>
      <c r="I97" s="14" t="s">
        <v>36</v>
      </c>
      <c r="J97" s="14" t="s">
        <v>141</v>
      </c>
      <c r="K97" s="12">
        <v>4</v>
      </c>
      <c r="L97" s="15">
        <v>384200</v>
      </c>
      <c r="M97" s="1" t="s">
        <v>18</v>
      </c>
    </row>
    <row r="98" spans="1:13" x14ac:dyDescent="0.25">
      <c r="A98" s="24" t="s">
        <v>377</v>
      </c>
      <c r="B98" s="25">
        <v>2019239</v>
      </c>
      <c r="C98" s="26">
        <v>16425</v>
      </c>
      <c r="D98" s="25" t="s">
        <v>378</v>
      </c>
      <c r="E98" s="25">
        <v>63</v>
      </c>
      <c r="F98" s="25" t="s">
        <v>60</v>
      </c>
      <c r="G98" s="25" t="s">
        <v>22</v>
      </c>
      <c r="H98" s="25" t="s">
        <v>379</v>
      </c>
      <c r="I98" s="25" t="s">
        <v>31</v>
      </c>
      <c r="J98" s="25" t="s">
        <v>289</v>
      </c>
      <c r="K98" s="26">
        <v>4</v>
      </c>
      <c r="L98" s="31">
        <v>337550</v>
      </c>
      <c r="M98" s="1" t="s">
        <v>18</v>
      </c>
    </row>
    <row r="99" spans="1:13" x14ac:dyDescent="0.25">
      <c r="A99" s="24" t="s">
        <v>380</v>
      </c>
      <c r="B99" s="25">
        <v>2002927</v>
      </c>
      <c r="C99" s="26">
        <v>16219</v>
      </c>
      <c r="D99" s="25" t="s">
        <v>381</v>
      </c>
      <c r="E99" s="25">
        <v>72</v>
      </c>
      <c r="F99" s="25" t="s">
        <v>382</v>
      </c>
      <c r="G99" s="25" t="s">
        <v>22</v>
      </c>
      <c r="H99" s="25" t="s">
        <v>383</v>
      </c>
      <c r="I99" s="25" t="s">
        <v>108</v>
      </c>
      <c r="J99" s="27" t="s">
        <v>190</v>
      </c>
      <c r="K99" s="26">
        <v>4</v>
      </c>
      <c r="L99" s="28">
        <v>180455</v>
      </c>
      <c r="M99" s="1" t="s">
        <v>18</v>
      </c>
    </row>
    <row r="100" spans="1:13" ht="33.75" x14ac:dyDescent="0.25">
      <c r="A100" s="6" t="s">
        <v>267</v>
      </c>
      <c r="B100" s="7">
        <v>2022956</v>
      </c>
      <c r="C100" s="8">
        <v>62197</v>
      </c>
      <c r="D100" s="9" t="s">
        <v>384</v>
      </c>
      <c r="E100" s="7">
        <v>61</v>
      </c>
      <c r="F100" s="7" t="s">
        <v>385</v>
      </c>
      <c r="G100" s="7" t="s">
        <v>22</v>
      </c>
      <c r="H100" s="9" t="s">
        <v>386</v>
      </c>
      <c r="I100" s="9" t="s">
        <v>270</v>
      </c>
      <c r="J100" s="7" t="s">
        <v>42</v>
      </c>
      <c r="K100" s="17">
        <v>4</v>
      </c>
      <c r="L100" s="10">
        <v>104004</v>
      </c>
      <c r="M100" s="1" t="s">
        <v>18</v>
      </c>
    </row>
    <row r="101" spans="1:13" x14ac:dyDescent="0.25">
      <c r="A101" s="33" t="s">
        <v>354</v>
      </c>
      <c r="B101" s="27">
        <v>2001273</v>
      </c>
      <c r="C101" s="34">
        <v>20535</v>
      </c>
      <c r="D101" s="27" t="s">
        <v>387</v>
      </c>
      <c r="E101" s="27">
        <v>80</v>
      </c>
      <c r="F101" s="27" t="s">
        <v>388</v>
      </c>
      <c r="G101" s="27" t="s">
        <v>22</v>
      </c>
      <c r="H101" s="27" t="s">
        <v>389</v>
      </c>
      <c r="I101" s="27" t="s">
        <v>108</v>
      </c>
      <c r="J101" s="27" t="s">
        <v>190</v>
      </c>
      <c r="K101" s="34">
        <v>4</v>
      </c>
      <c r="L101" s="31">
        <v>71187.899999999994</v>
      </c>
      <c r="M101" s="1" t="s">
        <v>18</v>
      </c>
    </row>
    <row r="102" spans="1:13" ht="33.75" x14ac:dyDescent="0.25">
      <c r="A102" s="11" t="s">
        <v>75</v>
      </c>
      <c r="B102" s="7">
        <v>2019543</v>
      </c>
      <c r="C102" s="8">
        <v>16396</v>
      </c>
      <c r="D102" s="9" t="s">
        <v>390</v>
      </c>
      <c r="E102" s="7">
        <v>58</v>
      </c>
      <c r="F102" s="7" t="s">
        <v>391</v>
      </c>
      <c r="G102" s="7" t="s">
        <v>15</v>
      </c>
      <c r="H102" s="9" t="s">
        <v>392</v>
      </c>
      <c r="I102" s="9" t="s">
        <v>393</v>
      </c>
      <c r="J102" s="7" t="s">
        <v>25</v>
      </c>
      <c r="K102" s="17">
        <v>5</v>
      </c>
      <c r="L102" s="10">
        <v>43182.65</v>
      </c>
      <c r="M102" s="1" t="s">
        <v>18</v>
      </c>
    </row>
    <row r="103" spans="1:13" ht="33.75" x14ac:dyDescent="0.25">
      <c r="A103" s="24" t="s">
        <v>394</v>
      </c>
      <c r="B103" s="25">
        <v>2403116</v>
      </c>
      <c r="C103" s="26">
        <v>57766</v>
      </c>
      <c r="D103" s="25" t="s">
        <v>395</v>
      </c>
      <c r="E103" s="25">
        <v>19</v>
      </c>
      <c r="F103" s="25" t="s">
        <v>396</v>
      </c>
      <c r="G103" s="25" t="s">
        <v>132</v>
      </c>
      <c r="H103" s="25" t="s">
        <v>397</v>
      </c>
      <c r="I103" s="25" t="s">
        <v>398</v>
      </c>
      <c r="J103" s="27" t="s">
        <v>190</v>
      </c>
      <c r="K103" s="26">
        <v>4</v>
      </c>
      <c r="L103" s="28">
        <v>90630</v>
      </c>
      <c r="M103" s="1" t="s">
        <v>18</v>
      </c>
    </row>
    <row r="104" spans="1:13" x14ac:dyDescent="0.25">
      <c r="A104" s="6" t="s">
        <v>19</v>
      </c>
      <c r="B104" s="9">
        <v>2405116</v>
      </c>
      <c r="C104" s="8">
        <v>52917</v>
      </c>
      <c r="D104" s="29" t="s">
        <v>399</v>
      </c>
      <c r="E104" s="29">
        <v>64</v>
      </c>
      <c r="F104" s="29" t="s">
        <v>400</v>
      </c>
      <c r="G104" s="29" t="s">
        <v>22</v>
      </c>
      <c r="H104" s="29" t="s">
        <v>401</v>
      </c>
      <c r="I104" s="29" t="s">
        <v>103</v>
      </c>
      <c r="J104" s="29" t="s">
        <v>24</v>
      </c>
      <c r="K104" s="9">
        <v>5</v>
      </c>
      <c r="L104" s="18">
        <v>148490.70000000001</v>
      </c>
      <c r="M104" s="1" t="s">
        <v>18</v>
      </c>
    </row>
    <row r="105" spans="1:13" ht="33.75" x14ac:dyDescent="0.25">
      <c r="A105" s="6" t="s">
        <v>319</v>
      </c>
      <c r="B105" s="7">
        <v>2001321</v>
      </c>
      <c r="C105" s="8">
        <v>9425</v>
      </c>
      <c r="D105" s="9" t="s">
        <v>402</v>
      </c>
      <c r="E105" s="7">
        <v>73</v>
      </c>
      <c r="F105" s="7" t="s">
        <v>403</v>
      </c>
      <c r="G105" s="7" t="s">
        <v>22</v>
      </c>
      <c r="H105" s="9" t="s">
        <v>404</v>
      </c>
      <c r="I105" s="9" t="s">
        <v>405</v>
      </c>
      <c r="J105" s="7" t="s">
        <v>71</v>
      </c>
      <c r="K105" s="9">
        <v>5</v>
      </c>
      <c r="L105" s="10">
        <v>479902</v>
      </c>
      <c r="M105" s="1" t="s">
        <v>18</v>
      </c>
    </row>
    <row r="106" spans="1:13" x14ac:dyDescent="0.25">
      <c r="A106" s="11" t="s">
        <v>228</v>
      </c>
      <c r="B106" s="12">
        <v>2002456</v>
      </c>
      <c r="C106" s="13">
        <v>12997</v>
      </c>
      <c r="D106" s="12" t="s">
        <v>406</v>
      </c>
      <c r="E106" s="14">
        <v>65</v>
      </c>
      <c r="F106" s="12" t="s">
        <v>407</v>
      </c>
      <c r="G106" s="12" t="s">
        <v>22</v>
      </c>
      <c r="H106" s="12" t="s">
        <v>408</v>
      </c>
      <c r="I106" s="14" t="s">
        <v>67</v>
      </c>
      <c r="J106" s="14" t="s">
        <v>85</v>
      </c>
      <c r="K106" s="12">
        <v>5</v>
      </c>
      <c r="L106" s="15">
        <v>110462.98</v>
      </c>
      <c r="M106" s="1" t="s">
        <v>18</v>
      </c>
    </row>
    <row r="107" spans="1:13" ht="22.5" x14ac:dyDescent="0.25">
      <c r="A107" s="6" t="s">
        <v>47</v>
      </c>
      <c r="B107" s="7">
        <v>2002532</v>
      </c>
      <c r="C107" s="8">
        <v>18558</v>
      </c>
      <c r="D107" s="9" t="s">
        <v>409</v>
      </c>
      <c r="E107" s="7">
        <v>73</v>
      </c>
      <c r="F107" s="7" t="s">
        <v>410</v>
      </c>
      <c r="G107" s="7" t="s">
        <v>22</v>
      </c>
      <c r="H107" s="9" t="s">
        <v>411</v>
      </c>
      <c r="I107" s="9" t="s">
        <v>412</v>
      </c>
      <c r="J107" s="7" t="s">
        <v>25</v>
      </c>
      <c r="K107" s="9">
        <v>5</v>
      </c>
      <c r="L107" s="10">
        <v>503236</v>
      </c>
      <c r="M107" s="1" t="s">
        <v>18</v>
      </c>
    </row>
    <row r="108" spans="1:13" ht="22.5" x14ac:dyDescent="0.25">
      <c r="A108" s="6" t="s">
        <v>53</v>
      </c>
      <c r="B108" s="21">
        <v>2009312</v>
      </c>
      <c r="C108" s="13">
        <v>18253</v>
      </c>
      <c r="D108" s="21" t="s">
        <v>413</v>
      </c>
      <c r="E108" s="21">
        <v>61</v>
      </c>
      <c r="F108" s="21" t="s">
        <v>414</v>
      </c>
      <c r="G108" s="21" t="s">
        <v>15</v>
      </c>
      <c r="H108" s="21" t="s">
        <v>415</v>
      </c>
      <c r="I108" s="21" t="s">
        <v>52</v>
      </c>
      <c r="J108" s="21" t="s">
        <v>78</v>
      </c>
      <c r="K108" s="21">
        <v>5</v>
      </c>
      <c r="L108" s="23">
        <v>150667</v>
      </c>
      <c r="M108" s="1" t="s">
        <v>18</v>
      </c>
    </row>
    <row r="109" spans="1:13" x14ac:dyDescent="0.25">
      <c r="A109" s="6" t="s">
        <v>53</v>
      </c>
      <c r="B109" s="12">
        <v>2003782</v>
      </c>
      <c r="C109" s="13">
        <v>10152</v>
      </c>
      <c r="D109" s="12" t="s">
        <v>416</v>
      </c>
      <c r="E109" s="14">
        <v>68</v>
      </c>
      <c r="F109" s="12" t="s">
        <v>417</v>
      </c>
      <c r="G109" s="12" t="s">
        <v>22</v>
      </c>
      <c r="H109" s="12" t="s">
        <v>418</v>
      </c>
      <c r="I109" s="14" t="s">
        <v>67</v>
      </c>
      <c r="J109" s="14" t="s">
        <v>85</v>
      </c>
      <c r="K109" s="12">
        <v>5</v>
      </c>
      <c r="L109" s="15">
        <v>310767</v>
      </c>
      <c r="M109" s="1" t="s">
        <v>18</v>
      </c>
    </row>
    <row r="110" spans="1:13" x14ac:dyDescent="0.25">
      <c r="A110" s="16" t="s">
        <v>72</v>
      </c>
      <c r="B110" s="12">
        <v>2001580</v>
      </c>
      <c r="C110" s="13">
        <v>100644</v>
      </c>
      <c r="D110" s="12" t="s">
        <v>419</v>
      </c>
      <c r="E110" s="14">
        <v>68</v>
      </c>
      <c r="F110" s="12" t="s">
        <v>420</v>
      </c>
      <c r="G110" s="12" t="s">
        <v>22</v>
      </c>
      <c r="H110" s="12" t="s">
        <v>421</v>
      </c>
      <c r="I110" s="14" t="s">
        <v>99</v>
      </c>
      <c r="J110" s="14" t="s">
        <v>30</v>
      </c>
      <c r="K110" s="12">
        <v>5</v>
      </c>
      <c r="L110" s="15">
        <v>629327.19999999995</v>
      </c>
      <c r="M110" s="1" t="s">
        <v>18</v>
      </c>
    </row>
    <row r="111" spans="1:13" x14ac:dyDescent="0.25">
      <c r="A111" s="6" t="s">
        <v>422</v>
      </c>
      <c r="B111" s="12">
        <v>2011454</v>
      </c>
      <c r="C111" s="13">
        <v>13452</v>
      </c>
      <c r="D111" s="12" t="s">
        <v>423</v>
      </c>
      <c r="E111" s="14">
        <v>65</v>
      </c>
      <c r="F111" s="12" t="s">
        <v>424</v>
      </c>
      <c r="G111" s="12" t="s">
        <v>15</v>
      </c>
      <c r="H111" s="12" t="s">
        <v>425</v>
      </c>
      <c r="I111" s="14" t="s">
        <v>42</v>
      </c>
      <c r="J111" s="14" t="s">
        <v>94</v>
      </c>
      <c r="K111" s="12">
        <v>5</v>
      </c>
      <c r="L111" s="15">
        <v>251693</v>
      </c>
      <c r="M111" s="1" t="s">
        <v>18</v>
      </c>
    </row>
    <row r="112" spans="1:13" ht="22.5" x14ac:dyDescent="0.25">
      <c r="A112" s="24" t="s">
        <v>426</v>
      </c>
      <c r="B112" s="27">
        <v>2005059</v>
      </c>
      <c r="C112" s="34">
        <v>18820</v>
      </c>
      <c r="D112" s="27" t="s">
        <v>427</v>
      </c>
      <c r="E112" s="25">
        <v>55</v>
      </c>
      <c r="F112" s="25" t="s">
        <v>428</v>
      </c>
      <c r="G112" s="25" t="s">
        <v>15</v>
      </c>
      <c r="H112" s="25" t="s">
        <v>429</v>
      </c>
      <c r="I112" s="25" t="s">
        <v>30</v>
      </c>
      <c r="J112" s="27" t="s">
        <v>289</v>
      </c>
      <c r="K112" s="26">
        <v>5</v>
      </c>
      <c r="L112" s="31">
        <v>225061</v>
      </c>
      <c r="M112" s="1" t="s">
        <v>18</v>
      </c>
    </row>
    <row r="113" spans="1:13" ht="33.75" x14ac:dyDescent="0.25">
      <c r="A113" s="11" t="s">
        <v>430</v>
      </c>
      <c r="B113" s="12">
        <v>2018355</v>
      </c>
      <c r="C113" s="13">
        <v>63541</v>
      </c>
      <c r="D113" s="12" t="s">
        <v>431</v>
      </c>
      <c r="E113" s="14">
        <v>61</v>
      </c>
      <c r="F113" s="12" t="s">
        <v>60</v>
      </c>
      <c r="G113" s="12" t="s">
        <v>22</v>
      </c>
      <c r="H113" s="12" t="s">
        <v>432</v>
      </c>
      <c r="I113" s="14" t="s">
        <v>215</v>
      </c>
      <c r="J113" s="14" t="s">
        <v>67</v>
      </c>
      <c r="K113" s="13">
        <v>5</v>
      </c>
      <c r="L113" s="15">
        <v>23992.3</v>
      </c>
      <c r="M113" s="1" t="s">
        <v>18</v>
      </c>
    </row>
    <row r="114" spans="1:13" x14ac:dyDescent="0.25">
      <c r="A114" s="6" t="s">
        <v>433</v>
      </c>
      <c r="B114" s="7">
        <v>2003637</v>
      </c>
      <c r="C114" s="8">
        <v>54838</v>
      </c>
      <c r="D114" s="9" t="s">
        <v>434</v>
      </c>
      <c r="E114" s="7">
        <v>63</v>
      </c>
      <c r="F114" s="7" t="s">
        <v>435</v>
      </c>
      <c r="G114" s="7" t="s">
        <v>22</v>
      </c>
      <c r="H114" s="9" t="s">
        <v>436</v>
      </c>
      <c r="I114" s="9" t="s">
        <v>17</v>
      </c>
      <c r="J114" s="7" t="s">
        <v>57</v>
      </c>
      <c r="K114" s="9">
        <v>6</v>
      </c>
      <c r="L114" s="10">
        <v>63740</v>
      </c>
      <c r="M114" s="1" t="s">
        <v>18</v>
      </c>
    </row>
    <row r="115" spans="1:13" x14ac:dyDescent="0.25">
      <c r="A115" s="2" t="s">
        <v>309</v>
      </c>
      <c r="B115" s="12">
        <v>2020047</v>
      </c>
      <c r="C115" s="13">
        <v>83597</v>
      </c>
      <c r="D115" s="12" t="s">
        <v>437</v>
      </c>
      <c r="E115" s="14">
        <v>8</v>
      </c>
      <c r="F115" s="12" t="s">
        <v>438</v>
      </c>
      <c r="G115" s="12" t="s">
        <v>132</v>
      </c>
      <c r="H115" s="12" t="s">
        <v>439</v>
      </c>
      <c r="I115" s="14" t="s">
        <v>52</v>
      </c>
      <c r="J115" s="14" t="s">
        <v>141</v>
      </c>
      <c r="K115" s="12">
        <v>6</v>
      </c>
      <c r="L115" s="15">
        <v>298952.53000000003</v>
      </c>
      <c r="M115" s="1" t="s">
        <v>18</v>
      </c>
    </row>
    <row r="116" spans="1:13" x14ac:dyDescent="0.25">
      <c r="A116" s="19" t="s">
        <v>208</v>
      </c>
      <c r="B116" s="12">
        <v>2002525</v>
      </c>
      <c r="C116" s="13">
        <v>10337</v>
      </c>
      <c r="D116" s="12" t="s">
        <v>440</v>
      </c>
      <c r="E116" s="14">
        <v>69</v>
      </c>
      <c r="F116" s="12" t="s">
        <v>441</v>
      </c>
      <c r="G116" s="12" t="s">
        <v>22</v>
      </c>
      <c r="H116" s="12" t="s">
        <v>442</v>
      </c>
      <c r="I116" s="14" t="s">
        <v>79</v>
      </c>
      <c r="J116" s="14" t="s">
        <v>66</v>
      </c>
      <c r="K116" s="12">
        <v>6</v>
      </c>
      <c r="L116" s="15">
        <v>180225</v>
      </c>
      <c r="M116" s="1" t="s">
        <v>18</v>
      </c>
    </row>
    <row r="117" spans="1:13" x14ac:dyDescent="0.25">
      <c r="A117" s="2" t="s">
        <v>43</v>
      </c>
      <c r="B117" s="12">
        <v>2010446</v>
      </c>
      <c r="C117" s="13">
        <v>100598</v>
      </c>
      <c r="D117" s="12" t="s">
        <v>443</v>
      </c>
      <c r="E117" s="14"/>
      <c r="F117" s="12" t="s">
        <v>444</v>
      </c>
      <c r="G117" s="12" t="s">
        <v>22</v>
      </c>
      <c r="H117" s="12" t="s">
        <v>445</v>
      </c>
      <c r="I117" s="14" t="s">
        <v>67</v>
      </c>
      <c r="J117" s="14" t="s">
        <v>85</v>
      </c>
      <c r="K117" s="12">
        <v>6</v>
      </c>
      <c r="L117" s="15">
        <v>240964</v>
      </c>
      <c r="M117" s="1" t="s">
        <v>18</v>
      </c>
    </row>
    <row r="118" spans="1:13" x14ac:dyDescent="0.25">
      <c r="A118" s="6" t="s">
        <v>53</v>
      </c>
      <c r="B118" s="12">
        <v>2409102</v>
      </c>
      <c r="C118" s="13">
        <v>83166</v>
      </c>
      <c r="D118" s="12" t="s">
        <v>446</v>
      </c>
      <c r="E118" s="14">
        <v>35</v>
      </c>
      <c r="F118" s="12" t="s">
        <v>447</v>
      </c>
      <c r="G118" s="12" t="s">
        <v>15</v>
      </c>
      <c r="H118" s="12" t="s">
        <v>448</v>
      </c>
      <c r="I118" s="14" t="s">
        <v>141</v>
      </c>
      <c r="J118" s="14" t="s">
        <v>67</v>
      </c>
      <c r="K118" s="12">
        <v>6</v>
      </c>
      <c r="L118" s="15">
        <v>233533</v>
      </c>
      <c r="M118" s="1" t="s">
        <v>18</v>
      </c>
    </row>
    <row r="119" spans="1:13" x14ac:dyDescent="0.25">
      <c r="A119" s="6" t="s">
        <v>449</v>
      </c>
      <c r="B119" s="7">
        <v>2013074</v>
      </c>
      <c r="C119" s="8">
        <v>101343</v>
      </c>
      <c r="D119" s="9" t="s">
        <v>450</v>
      </c>
      <c r="E119" s="7">
        <v>68</v>
      </c>
      <c r="F119" s="7" t="s">
        <v>451</v>
      </c>
      <c r="G119" s="7" t="s">
        <v>15</v>
      </c>
      <c r="H119" s="9" t="s">
        <v>452</v>
      </c>
      <c r="I119" s="9" t="s">
        <v>17</v>
      </c>
      <c r="J119" s="7" t="s">
        <v>57</v>
      </c>
      <c r="K119" s="9">
        <v>6</v>
      </c>
      <c r="L119" s="10">
        <v>181295.44</v>
      </c>
      <c r="M119" s="1" t="s">
        <v>18</v>
      </c>
    </row>
    <row r="120" spans="1:13" x14ac:dyDescent="0.25">
      <c r="A120" s="11" t="s">
        <v>337</v>
      </c>
      <c r="B120" s="12">
        <v>2016925</v>
      </c>
      <c r="C120" s="13">
        <v>100384</v>
      </c>
      <c r="D120" s="12" t="s">
        <v>453</v>
      </c>
      <c r="E120" s="14">
        <v>66</v>
      </c>
      <c r="F120" s="12" t="s">
        <v>454</v>
      </c>
      <c r="G120" s="12" t="s">
        <v>22</v>
      </c>
      <c r="H120" s="12" t="s">
        <v>455</v>
      </c>
      <c r="I120" s="14" t="s">
        <v>94</v>
      </c>
      <c r="J120" s="14" t="s">
        <v>62</v>
      </c>
      <c r="K120" s="12">
        <v>6</v>
      </c>
      <c r="L120" s="15">
        <v>159557</v>
      </c>
      <c r="M120" s="1" t="s">
        <v>18</v>
      </c>
    </row>
    <row r="121" spans="1:13" x14ac:dyDescent="0.25">
      <c r="A121" s="11" t="s">
        <v>456</v>
      </c>
      <c r="B121" s="12">
        <v>2015712</v>
      </c>
      <c r="C121" s="13">
        <v>13892</v>
      </c>
      <c r="D121" s="12" t="s">
        <v>457</v>
      </c>
      <c r="E121" s="14">
        <v>58</v>
      </c>
      <c r="F121" s="12" t="s">
        <v>458</v>
      </c>
      <c r="G121" s="12" t="s">
        <v>15</v>
      </c>
      <c r="H121" s="12" t="s">
        <v>459</v>
      </c>
      <c r="I121" s="14" t="s">
        <v>36</v>
      </c>
      <c r="J121" s="14" t="s">
        <v>141</v>
      </c>
      <c r="K121" s="13">
        <v>5</v>
      </c>
      <c r="L121" s="15">
        <v>139283</v>
      </c>
      <c r="M121" s="1" t="s">
        <v>18</v>
      </c>
    </row>
    <row r="122" spans="1:13" x14ac:dyDescent="0.25">
      <c r="A122" s="11" t="s">
        <v>354</v>
      </c>
      <c r="B122" s="12">
        <v>2003133</v>
      </c>
      <c r="C122" s="13">
        <v>9608</v>
      </c>
      <c r="D122" s="12" t="s">
        <v>460</v>
      </c>
      <c r="E122" s="14">
        <v>69</v>
      </c>
      <c r="F122" s="12" t="s">
        <v>461</v>
      </c>
      <c r="G122" s="12" t="s">
        <v>22</v>
      </c>
      <c r="H122" s="12" t="s">
        <v>462</v>
      </c>
      <c r="I122" s="14" t="s">
        <v>67</v>
      </c>
      <c r="J122" s="14" t="s">
        <v>85</v>
      </c>
      <c r="K122" s="13">
        <v>6</v>
      </c>
      <c r="L122" s="15">
        <v>83035</v>
      </c>
      <c r="M122" s="1" t="s">
        <v>18</v>
      </c>
    </row>
    <row r="123" spans="1:13" x14ac:dyDescent="0.25">
      <c r="A123" s="6" t="s">
        <v>63</v>
      </c>
      <c r="B123" s="7">
        <v>2020497</v>
      </c>
      <c r="C123" s="8">
        <v>32267</v>
      </c>
      <c r="D123" s="9" t="s">
        <v>463</v>
      </c>
      <c r="E123" s="7">
        <v>52</v>
      </c>
      <c r="F123" s="7" t="s">
        <v>464</v>
      </c>
      <c r="G123" s="7" t="s">
        <v>15</v>
      </c>
      <c r="H123" s="9" t="s">
        <v>465</v>
      </c>
      <c r="I123" s="9" t="s">
        <v>57</v>
      </c>
      <c r="J123" s="7" t="s">
        <v>42</v>
      </c>
      <c r="K123" s="9">
        <v>6</v>
      </c>
      <c r="L123" s="10">
        <v>134113</v>
      </c>
      <c r="M123" s="1" t="s">
        <v>18</v>
      </c>
    </row>
    <row r="124" spans="1:13" ht="22.5" x14ac:dyDescent="0.25">
      <c r="A124" s="6" t="s">
        <v>68</v>
      </c>
      <c r="B124" s="7">
        <v>2009348</v>
      </c>
      <c r="C124" s="8">
        <v>31903</v>
      </c>
      <c r="D124" s="9" t="s">
        <v>466</v>
      </c>
      <c r="E124" s="7">
        <v>63</v>
      </c>
      <c r="F124" s="7" t="s">
        <v>467</v>
      </c>
      <c r="G124" s="7" t="s">
        <v>22</v>
      </c>
      <c r="H124" s="9" t="s">
        <v>468</v>
      </c>
      <c r="I124" s="9" t="s">
        <v>25</v>
      </c>
      <c r="J124" s="7" t="s">
        <v>37</v>
      </c>
      <c r="K124" s="9">
        <v>6</v>
      </c>
      <c r="L124" s="10">
        <v>107015</v>
      </c>
      <c r="M124" s="1" t="s">
        <v>18</v>
      </c>
    </row>
    <row r="125" spans="1:13" x14ac:dyDescent="0.25">
      <c r="A125" s="11" t="s">
        <v>456</v>
      </c>
      <c r="B125" s="7">
        <v>2017620</v>
      </c>
      <c r="C125" s="8">
        <v>54137</v>
      </c>
      <c r="D125" s="9" t="s">
        <v>469</v>
      </c>
      <c r="E125" s="7">
        <v>17</v>
      </c>
      <c r="F125" s="7" t="s">
        <v>470</v>
      </c>
      <c r="G125" s="7" t="s">
        <v>88</v>
      </c>
      <c r="H125" s="9" t="s">
        <v>471</v>
      </c>
      <c r="I125" s="9" t="s">
        <v>103</v>
      </c>
      <c r="J125" s="7" t="s">
        <v>57</v>
      </c>
      <c r="K125" s="17">
        <v>7</v>
      </c>
      <c r="L125" s="10">
        <v>39977.86</v>
      </c>
      <c r="M125" s="1" t="s">
        <v>18</v>
      </c>
    </row>
    <row r="126" spans="1:13" x14ac:dyDescent="0.25">
      <c r="A126" s="6" t="s">
        <v>155</v>
      </c>
      <c r="B126" s="12">
        <v>2007480</v>
      </c>
      <c r="C126" s="13">
        <v>63926</v>
      </c>
      <c r="D126" s="12" t="s">
        <v>472</v>
      </c>
      <c r="E126" s="14">
        <v>54</v>
      </c>
      <c r="F126" s="12" t="s">
        <v>473</v>
      </c>
      <c r="G126" s="12" t="s">
        <v>15</v>
      </c>
      <c r="H126" s="12" t="s">
        <v>474</v>
      </c>
      <c r="I126" s="14" t="s">
        <v>52</v>
      </c>
      <c r="J126" s="14" t="s">
        <v>141</v>
      </c>
      <c r="K126" s="12">
        <v>6</v>
      </c>
      <c r="L126" s="15">
        <v>163919</v>
      </c>
      <c r="M126" s="1" t="s">
        <v>18</v>
      </c>
    </row>
    <row r="127" spans="1:13" ht="33.75" x14ac:dyDescent="0.25">
      <c r="A127" s="24" t="s">
        <v>228</v>
      </c>
      <c r="B127" s="27">
        <v>2002609</v>
      </c>
      <c r="C127" s="34">
        <v>14782</v>
      </c>
      <c r="D127" s="27" t="s">
        <v>475</v>
      </c>
      <c r="E127" s="25">
        <v>68</v>
      </c>
      <c r="F127" s="25" t="s">
        <v>476</v>
      </c>
      <c r="G127" s="25" t="s">
        <v>22</v>
      </c>
      <c r="H127" s="25" t="s">
        <v>477</v>
      </c>
      <c r="I127" s="25" t="s">
        <v>478</v>
      </c>
      <c r="J127" s="27" t="s">
        <v>190</v>
      </c>
      <c r="K127" s="26">
        <v>6</v>
      </c>
      <c r="L127" s="28">
        <v>428828.37</v>
      </c>
      <c r="M127" s="1" t="s">
        <v>18</v>
      </c>
    </row>
    <row r="128" spans="1:13" x14ac:dyDescent="0.25">
      <c r="A128" s="19" t="s">
        <v>86</v>
      </c>
      <c r="B128" s="12">
        <v>2009846</v>
      </c>
      <c r="C128" s="13">
        <v>10966</v>
      </c>
      <c r="D128" s="12" t="s">
        <v>479</v>
      </c>
      <c r="E128" s="14">
        <v>70</v>
      </c>
      <c r="F128" s="12" t="s">
        <v>480</v>
      </c>
      <c r="G128" s="12" t="s">
        <v>22</v>
      </c>
      <c r="H128" s="12" t="s">
        <v>481</v>
      </c>
      <c r="I128" s="14" t="s">
        <v>482</v>
      </c>
      <c r="J128" s="14" t="s">
        <v>79</v>
      </c>
      <c r="K128" s="12">
        <v>7</v>
      </c>
      <c r="L128" s="15">
        <v>566422.69999999995</v>
      </c>
      <c r="M128" s="1" t="s">
        <v>18</v>
      </c>
    </row>
    <row r="129" spans="1:13" x14ac:dyDescent="0.25">
      <c r="A129" s="11" t="s">
        <v>483</v>
      </c>
      <c r="B129" s="12">
        <v>2001487</v>
      </c>
      <c r="C129" s="13">
        <v>11768</v>
      </c>
      <c r="D129" s="12" t="s">
        <v>484</v>
      </c>
      <c r="E129" s="14">
        <v>69</v>
      </c>
      <c r="F129" s="12" t="s">
        <v>485</v>
      </c>
      <c r="G129" s="12" t="s">
        <v>22</v>
      </c>
      <c r="H129" s="12" t="s">
        <v>486</v>
      </c>
      <c r="I129" s="14" t="s">
        <v>94</v>
      </c>
      <c r="J129" s="14" t="s">
        <v>31</v>
      </c>
      <c r="K129" s="12">
        <v>7</v>
      </c>
      <c r="L129" s="15">
        <v>212867</v>
      </c>
      <c r="M129" s="1" t="s">
        <v>18</v>
      </c>
    </row>
    <row r="130" spans="1:13" x14ac:dyDescent="0.25">
      <c r="A130" s="6" t="s">
        <v>47</v>
      </c>
      <c r="B130" s="7">
        <v>2001375</v>
      </c>
      <c r="C130" s="8">
        <v>17244</v>
      </c>
      <c r="D130" s="9" t="s">
        <v>487</v>
      </c>
      <c r="E130" s="7">
        <v>83</v>
      </c>
      <c r="F130" s="7" t="s">
        <v>488</v>
      </c>
      <c r="G130" s="7" t="s">
        <v>22</v>
      </c>
      <c r="H130" s="9" t="s">
        <v>489</v>
      </c>
      <c r="I130" s="9" t="s">
        <v>103</v>
      </c>
      <c r="J130" s="7" t="s">
        <v>57</v>
      </c>
      <c r="K130" s="9">
        <v>7</v>
      </c>
      <c r="L130" s="10">
        <v>411716.34</v>
      </c>
      <c r="M130" s="1" t="s">
        <v>18</v>
      </c>
    </row>
    <row r="131" spans="1:13" x14ac:dyDescent="0.25">
      <c r="A131" s="6" t="s">
        <v>63</v>
      </c>
      <c r="B131" s="21">
        <v>2001514</v>
      </c>
      <c r="C131" s="13">
        <v>31068</v>
      </c>
      <c r="D131" s="21" t="s">
        <v>490</v>
      </c>
      <c r="E131" s="21">
        <v>72</v>
      </c>
      <c r="F131" s="21" t="s">
        <v>491</v>
      </c>
      <c r="G131" s="21" t="s">
        <v>22</v>
      </c>
      <c r="H131" s="21" t="s">
        <v>492</v>
      </c>
      <c r="I131" s="21" t="s">
        <v>57</v>
      </c>
      <c r="J131" s="21" t="s">
        <v>78</v>
      </c>
      <c r="K131" s="21">
        <v>7</v>
      </c>
      <c r="L131" s="23">
        <v>209416</v>
      </c>
      <c r="M131" s="1" t="s">
        <v>18</v>
      </c>
    </row>
    <row r="132" spans="1:13" x14ac:dyDescent="0.25">
      <c r="A132" s="6" t="s">
        <v>68</v>
      </c>
      <c r="B132" s="12">
        <v>2020906</v>
      </c>
      <c r="C132" s="13">
        <v>103963</v>
      </c>
      <c r="D132" s="12" t="s">
        <v>493</v>
      </c>
      <c r="E132" s="14">
        <v>64</v>
      </c>
      <c r="F132" s="12" t="s">
        <v>494</v>
      </c>
      <c r="G132" s="12" t="s">
        <v>22</v>
      </c>
      <c r="H132" s="12" t="s">
        <v>495</v>
      </c>
      <c r="I132" s="14" t="s">
        <v>94</v>
      </c>
      <c r="J132" s="14" t="s">
        <v>30</v>
      </c>
      <c r="K132" s="12">
        <v>7</v>
      </c>
      <c r="L132" s="15">
        <v>93660</v>
      </c>
      <c r="M132" s="1" t="s">
        <v>18</v>
      </c>
    </row>
    <row r="133" spans="1:13" x14ac:dyDescent="0.25">
      <c r="A133" s="16" t="s">
        <v>72</v>
      </c>
      <c r="B133" s="12">
        <v>2003958</v>
      </c>
      <c r="C133" s="13">
        <v>31482</v>
      </c>
      <c r="D133" s="12" t="s">
        <v>496</v>
      </c>
      <c r="E133" s="14">
        <v>61</v>
      </c>
      <c r="F133" s="12" t="s">
        <v>497</v>
      </c>
      <c r="G133" s="12" t="s">
        <v>22</v>
      </c>
      <c r="H133" s="12" t="s">
        <v>498</v>
      </c>
      <c r="I133" s="14" t="s">
        <v>79</v>
      </c>
      <c r="J133" s="14" t="s">
        <v>62</v>
      </c>
      <c r="K133" s="12">
        <v>7</v>
      </c>
      <c r="L133" s="15">
        <v>283064</v>
      </c>
      <c r="M133" s="1" t="s">
        <v>18</v>
      </c>
    </row>
    <row r="134" spans="1:13" x14ac:dyDescent="0.25">
      <c r="A134" s="6" t="s">
        <v>499</v>
      </c>
      <c r="B134" s="12">
        <v>2022173</v>
      </c>
      <c r="C134" s="13">
        <v>13297</v>
      </c>
      <c r="D134" s="12" t="s">
        <v>500</v>
      </c>
      <c r="E134" s="14">
        <v>64</v>
      </c>
      <c r="F134" s="12" t="s">
        <v>501</v>
      </c>
      <c r="G134" s="12" t="s">
        <v>15</v>
      </c>
      <c r="H134" s="12" t="s">
        <v>502</v>
      </c>
      <c r="I134" s="14" t="s">
        <v>36</v>
      </c>
      <c r="J134" s="14" t="s">
        <v>94</v>
      </c>
      <c r="K134" s="12">
        <v>7</v>
      </c>
      <c r="L134" s="15">
        <v>142720</v>
      </c>
      <c r="M134" s="1" t="s">
        <v>18</v>
      </c>
    </row>
    <row r="135" spans="1:13" x14ac:dyDescent="0.25">
      <c r="A135" s="6" t="s">
        <v>38</v>
      </c>
      <c r="B135" s="12">
        <v>2508078</v>
      </c>
      <c r="C135" s="13">
        <v>102807</v>
      </c>
      <c r="D135" s="12" t="s">
        <v>503</v>
      </c>
      <c r="E135" s="14">
        <v>61</v>
      </c>
      <c r="F135" s="12" t="s">
        <v>504</v>
      </c>
      <c r="G135" s="12" t="s">
        <v>22</v>
      </c>
      <c r="H135" s="12" t="s">
        <v>505</v>
      </c>
      <c r="I135" s="14" t="s">
        <v>57</v>
      </c>
      <c r="J135" s="14" t="s">
        <v>79</v>
      </c>
      <c r="K135" s="12">
        <v>8</v>
      </c>
      <c r="L135" s="15">
        <v>210125</v>
      </c>
      <c r="M135" s="1" t="s">
        <v>18</v>
      </c>
    </row>
    <row r="136" spans="1:13" x14ac:dyDescent="0.25">
      <c r="A136" s="11" t="s">
        <v>178</v>
      </c>
      <c r="B136" s="12">
        <v>2022537</v>
      </c>
      <c r="C136" s="13">
        <v>32636</v>
      </c>
      <c r="D136" s="12" t="s">
        <v>506</v>
      </c>
      <c r="E136" s="14">
        <v>60</v>
      </c>
      <c r="F136" s="12" t="s">
        <v>507</v>
      </c>
      <c r="G136" s="12" t="s">
        <v>22</v>
      </c>
      <c r="H136" s="12" t="s">
        <v>508</v>
      </c>
      <c r="I136" s="14" t="s">
        <v>66</v>
      </c>
      <c r="J136" s="14" t="s">
        <v>85</v>
      </c>
      <c r="K136" s="13">
        <v>7</v>
      </c>
      <c r="L136" s="15">
        <v>69941</v>
      </c>
      <c r="M136" s="1" t="s">
        <v>18</v>
      </c>
    </row>
    <row r="137" spans="1:13" ht="22.5" x14ac:dyDescent="0.25">
      <c r="A137" s="11" t="s">
        <v>75</v>
      </c>
      <c r="B137" s="7">
        <v>2005082</v>
      </c>
      <c r="C137" s="8">
        <v>101741</v>
      </c>
      <c r="D137" s="9" t="s">
        <v>509</v>
      </c>
      <c r="E137" s="7">
        <v>68</v>
      </c>
      <c r="F137" s="7" t="s">
        <v>510</v>
      </c>
      <c r="G137" s="7" t="s">
        <v>15</v>
      </c>
      <c r="H137" s="9" t="s">
        <v>511</v>
      </c>
      <c r="I137" s="9" t="s">
        <v>46</v>
      </c>
      <c r="J137" s="7" t="s">
        <v>36</v>
      </c>
      <c r="K137" s="17">
        <v>8</v>
      </c>
      <c r="L137" s="10">
        <v>133798</v>
      </c>
      <c r="M137" s="1" t="s">
        <v>18</v>
      </c>
    </row>
    <row r="138" spans="1:13" x14ac:dyDescent="0.25">
      <c r="A138" s="6" t="s">
        <v>373</v>
      </c>
      <c r="B138" s="12">
        <v>2001198</v>
      </c>
      <c r="C138" s="13">
        <v>18587</v>
      </c>
      <c r="D138" s="12" t="s">
        <v>512</v>
      </c>
      <c r="E138" s="14">
        <v>76</v>
      </c>
      <c r="F138" s="12" t="s">
        <v>513</v>
      </c>
      <c r="G138" s="12" t="s">
        <v>22</v>
      </c>
      <c r="H138" s="12" t="s">
        <v>514</v>
      </c>
      <c r="I138" s="14" t="s">
        <v>78</v>
      </c>
      <c r="J138" s="14" t="s">
        <v>67</v>
      </c>
      <c r="K138" s="12">
        <v>8</v>
      </c>
      <c r="L138" s="15">
        <v>768485</v>
      </c>
      <c r="M138" s="1" t="s">
        <v>18</v>
      </c>
    </row>
    <row r="139" spans="1:13" x14ac:dyDescent="0.25">
      <c r="A139" s="24" t="s">
        <v>515</v>
      </c>
      <c r="B139" s="27">
        <v>2004274</v>
      </c>
      <c r="C139" s="34">
        <v>12673</v>
      </c>
      <c r="D139" s="27" t="s">
        <v>516</v>
      </c>
      <c r="E139" s="25">
        <v>68</v>
      </c>
      <c r="F139" s="25" t="s">
        <v>517</v>
      </c>
      <c r="G139" s="25" t="s">
        <v>22</v>
      </c>
      <c r="H139" s="25" t="s">
        <v>518</v>
      </c>
      <c r="I139" s="25" t="s">
        <v>66</v>
      </c>
      <c r="J139" s="27" t="s">
        <v>289</v>
      </c>
      <c r="K139" s="26">
        <v>8</v>
      </c>
      <c r="L139" s="28">
        <v>379882</v>
      </c>
      <c r="M139" s="1" t="s">
        <v>18</v>
      </c>
    </row>
    <row r="140" spans="1:13" ht="22.5" x14ac:dyDescent="0.25">
      <c r="A140" s="6" t="s">
        <v>38</v>
      </c>
      <c r="B140" s="21">
        <v>2001006</v>
      </c>
      <c r="C140" s="13">
        <v>18347</v>
      </c>
      <c r="D140" s="21" t="s">
        <v>519</v>
      </c>
      <c r="E140" s="21">
        <v>69</v>
      </c>
      <c r="F140" s="21" t="s">
        <v>520</v>
      </c>
      <c r="G140" s="21" t="s">
        <v>22</v>
      </c>
      <c r="H140" s="21" t="s">
        <v>521</v>
      </c>
      <c r="I140" s="21" t="s">
        <v>121</v>
      </c>
      <c r="J140" s="21" t="s">
        <v>78</v>
      </c>
      <c r="K140" s="21">
        <v>10</v>
      </c>
      <c r="L140" s="23">
        <v>439915</v>
      </c>
      <c r="M140" s="1" t="s">
        <v>18</v>
      </c>
    </row>
    <row r="141" spans="1:13" ht="33.75" x14ac:dyDescent="0.25">
      <c r="A141" s="6" t="s">
        <v>522</v>
      </c>
      <c r="B141" s="7">
        <v>2018815</v>
      </c>
      <c r="C141" s="8">
        <v>43293</v>
      </c>
      <c r="D141" s="9" t="s">
        <v>44</v>
      </c>
      <c r="E141" s="7">
        <v>60</v>
      </c>
      <c r="F141" s="7" t="s">
        <v>523</v>
      </c>
      <c r="G141" s="7" t="s">
        <v>15</v>
      </c>
      <c r="H141" s="9" t="s">
        <v>524</v>
      </c>
      <c r="I141" s="9" t="s">
        <v>525</v>
      </c>
      <c r="J141" s="7" t="s">
        <v>42</v>
      </c>
      <c r="K141" s="9">
        <v>10</v>
      </c>
      <c r="L141" s="10">
        <v>511509.72</v>
      </c>
      <c r="M141" s="1" t="s">
        <v>18</v>
      </c>
    </row>
    <row r="142" spans="1:13" x14ac:dyDescent="0.25">
      <c r="A142" s="6" t="s">
        <v>522</v>
      </c>
      <c r="B142" s="12">
        <v>2002069</v>
      </c>
      <c r="C142" s="13">
        <v>16836</v>
      </c>
      <c r="D142" s="12" t="s">
        <v>526</v>
      </c>
      <c r="E142" s="14">
        <v>68</v>
      </c>
      <c r="F142" s="12" t="s">
        <v>527</v>
      </c>
      <c r="G142" s="12" t="s">
        <v>22</v>
      </c>
      <c r="H142" s="12" t="s">
        <v>227</v>
      </c>
      <c r="I142" s="14" t="s">
        <v>36</v>
      </c>
      <c r="J142" s="14" t="s">
        <v>66</v>
      </c>
      <c r="K142" s="12">
        <v>10</v>
      </c>
      <c r="L142" s="15">
        <v>273389.63</v>
      </c>
      <c r="M142" s="1" t="s">
        <v>18</v>
      </c>
    </row>
    <row r="143" spans="1:13" x14ac:dyDescent="0.25">
      <c r="A143" s="6" t="s">
        <v>68</v>
      </c>
      <c r="B143" s="12">
        <v>2018243</v>
      </c>
      <c r="C143" s="13">
        <v>62659</v>
      </c>
      <c r="D143" s="12" t="s">
        <v>528</v>
      </c>
      <c r="E143" s="14">
        <v>59</v>
      </c>
      <c r="F143" s="12" t="s">
        <v>529</v>
      </c>
      <c r="G143" s="12" t="s">
        <v>22</v>
      </c>
      <c r="H143" s="12" t="s">
        <v>530</v>
      </c>
      <c r="I143" s="14" t="s">
        <v>37</v>
      </c>
      <c r="J143" s="14" t="s">
        <v>67</v>
      </c>
      <c r="K143" s="12">
        <v>10</v>
      </c>
      <c r="L143" s="15">
        <v>320187</v>
      </c>
      <c r="M143" s="1" t="s">
        <v>18</v>
      </c>
    </row>
    <row r="144" spans="1:13" ht="33.75" x14ac:dyDescent="0.25">
      <c r="A144" s="6" t="s">
        <v>155</v>
      </c>
      <c r="B144" s="21">
        <v>2407209</v>
      </c>
      <c r="C144" s="13">
        <v>58921</v>
      </c>
      <c r="D144" s="21" t="s">
        <v>531</v>
      </c>
      <c r="E144" s="21">
        <v>44</v>
      </c>
      <c r="F144" s="21" t="s">
        <v>532</v>
      </c>
      <c r="G144" s="21" t="s">
        <v>15</v>
      </c>
      <c r="H144" s="21" t="s">
        <v>533</v>
      </c>
      <c r="I144" s="21" t="s">
        <v>121</v>
      </c>
      <c r="J144" s="21" t="s">
        <v>78</v>
      </c>
      <c r="K144" s="21">
        <v>10</v>
      </c>
      <c r="L144" s="23">
        <v>236795</v>
      </c>
      <c r="M144" s="1" t="s">
        <v>18</v>
      </c>
    </row>
    <row r="145" spans="1:13" ht="33.75" x14ac:dyDescent="0.25">
      <c r="A145" s="24" t="s">
        <v>534</v>
      </c>
      <c r="B145" s="27">
        <v>2001116</v>
      </c>
      <c r="C145" s="34">
        <v>1035</v>
      </c>
      <c r="D145" s="27" t="s">
        <v>535</v>
      </c>
      <c r="E145" s="25">
        <v>86</v>
      </c>
      <c r="F145" s="25" t="s">
        <v>536</v>
      </c>
      <c r="G145" s="25" t="s">
        <v>22</v>
      </c>
      <c r="H145" s="25" t="s">
        <v>537</v>
      </c>
      <c r="I145" s="25" t="s">
        <v>95</v>
      </c>
      <c r="J145" s="27" t="s">
        <v>190</v>
      </c>
      <c r="K145" s="34">
        <v>10</v>
      </c>
      <c r="L145" s="28">
        <v>465833.84</v>
      </c>
      <c r="M145" s="1" t="s">
        <v>18</v>
      </c>
    </row>
    <row r="146" spans="1:13" x14ac:dyDescent="0.25">
      <c r="A146" s="6" t="s">
        <v>522</v>
      </c>
      <c r="B146" s="7">
        <v>202056</v>
      </c>
      <c r="C146" s="8">
        <v>78023</v>
      </c>
      <c r="D146" s="9" t="s">
        <v>538</v>
      </c>
      <c r="E146" s="7">
        <v>42</v>
      </c>
      <c r="F146" s="7" t="s">
        <v>539</v>
      </c>
      <c r="G146" s="7" t="s">
        <v>22</v>
      </c>
      <c r="H146" s="9" t="s">
        <v>540</v>
      </c>
      <c r="I146" s="9" t="s">
        <v>103</v>
      </c>
      <c r="J146" s="7" t="s">
        <v>52</v>
      </c>
      <c r="K146" s="9">
        <v>11</v>
      </c>
      <c r="L146" s="10">
        <v>83422.33</v>
      </c>
      <c r="M146" s="1" t="s">
        <v>18</v>
      </c>
    </row>
    <row r="147" spans="1:13" x14ac:dyDescent="0.25">
      <c r="A147" s="16" t="s">
        <v>72</v>
      </c>
      <c r="B147" s="12">
        <v>2005039</v>
      </c>
      <c r="C147" s="13">
        <v>13172</v>
      </c>
      <c r="D147" s="12" t="s">
        <v>541</v>
      </c>
      <c r="E147" s="14">
        <v>65</v>
      </c>
      <c r="F147" s="12" t="s">
        <v>542</v>
      </c>
      <c r="G147" s="12" t="s">
        <v>15</v>
      </c>
      <c r="H147" s="12" t="s">
        <v>543</v>
      </c>
      <c r="I147" s="14" t="s">
        <v>51</v>
      </c>
      <c r="J147" s="14" t="s">
        <v>67</v>
      </c>
      <c r="K147" s="12">
        <v>14</v>
      </c>
      <c r="L147" s="15">
        <v>961520</v>
      </c>
      <c r="M147" s="1" t="s">
        <v>18</v>
      </c>
    </row>
    <row r="148" spans="1:13" x14ac:dyDescent="0.25">
      <c r="A148" s="11" t="s">
        <v>544</v>
      </c>
      <c r="B148" s="12">
        <v>2004049</v>
      </c>
      <c r="C148" s="13">
        <v>18559</v>
      </c>
      <c r="D148" s="12" t="s">
        <v>545</v>
      </c>
      <c r="E148" s="14">
        <v>71</v>
      </c>
      <c r="F148" s="12" t="s">
        <v>546</v>
      </c>
      <c r="G148" s="12" t="s">
        <v>22</v>
      </c>
      <c r="H148" s="12" t="s">
        <v>547</v>
      </c>
      <c r="I148" s="14" t="s">
        <v>52</v>
      </c>
      <c r="J148" s="14" t="s">
        <v>62</v>
      </c>
      <c r="K148" s="12">
        <v>14</v>
      </c>
      <c r="L148" s="15">
        <v>1326407</v>
      </c>
      <c r="M148" s="1" t="s">
        <v>18</v>
      </c>
    </row>
    <row r="149" spans="1:13" x14ac:dyDescent="0.25">
      <c r="A149" s="2" t="s">
        <v>228</v>
      </c>
      <c r="B149" s="12">
        <v>2501032</v>
      </c>
      <c r="C149" s="13">
        <v>19598</v>
      </c>
      <c r="D149" s="12" t="s">
        <v>548</v>
      </c>
      <c r="E149" s="14">
        <v>44</v>
      </c>
      <c r="F149" s="12" t="s">
        <v>549</v>
      </c>
      <c r="G149" s="12" t="s">
        <v>22</v>
      </c>
      <c r="H149" s="12" t="s">
        <v>550</v>
      </c>
      <c r="I149" s="14" t="s">
        <v>24</v>
      </c>
      <c r="J149" s="14" t="s">
        <v>95</v>
      </c>
      <c r="K149" s="12">
        <v>15</v>
      </c>
      <c r="L149" s="15">
        <v>364420.36</v>
      </c>
      <c r="M149" s="1" t="s">
        <v>18</v>
      </c>
    </row>
    <row r="150" spans="1:13" x14ac:dyDescent="0.25">
      <c r="A150" s="6" t="s">
        <v>53</v>
      </c>
      <c r="B150" s="12">
        <v>2000086</v>
      </c>
      <c r="C150" s="13">
        <v>17770</v>
      </c>
      <c r="D150" s="12" t="s">
        <v>551</v>
      </c>
      <c r="E150" s="14">
        <v>72</v>
      </c>
      <c r="F150" s="12" t="s">
        <v>552</v>
      </c>
      <c r="G150" s="12" t="s">
        <v>22</v>
      </c>
      <c r="H150" s="12" t="s">
        <v>553</v>
      </c>
      <c r="I150" s="14" t="s">
        <v>25</v>
      </c>
      <c r="J150" s="14" t="s">
        <v>66</v>
      </c>
      <c r="K150" s="12">
        <v>15</v>
      </c>
      <c r="L150" s="15">
        <v>612546</v>
      </c>
      <c r="M150" s="1" t="s">
        <v>18</v>
      </c>
    </row>
    <row r="151" spans="1:13" x14ac:dyDescent="0.25">
      <c r="A151" s="6" t="s">
        <v>19</v>
      </c>
      <c r="B151" s="7">
        <v>2013935</v>
      </c>
      <c r="C151" s="8">
        <v>18811</v>
      </c>
      <c r="D151" s="9" t="s">
        <v>554</v>
      </c>
      <c r="E151" s="7">
        <v>60</v>
      </c>
      <c r="F151" s="7" t="s">
        <v>60</v>
      </c>
      <c r="G151" s="7" t="s">
        <v>22</v>
      </c>
      <c r="H151" s="9" t="s">
        <v>555</v>
      </c>
      <c r="I151" s="9" t="s">
        <v>57</v>
      </c>
      <c r="J151" s="7" t="s">
        <v>57</v>
      </c>
      <c r="K151" s="9" t="s">
        <v>556</v>
      </c>
      <c r="L151" s="10">
        <v>146477</v>
      </c>
      <c r="M151" s="1" t="s">
        <v>18</v>
      </c>
    </row>
    <row r="152" spans="1:13" x14ac:dyDescent="0.25">
      <c r="A152" s="6" t="s">
        <v>19</v>
      </c>
      <c r="B152" s="12">
        <v>2002795</v>
      </c>
      <c r="C152" s="13">
        <v>8034</v>
      </c>
      <c r="D152" s="12" t="s">
        <v>557</v>
      </c>
      <c r="E152" s="14">
        <v>66</v>
      </c>
      <c r="F152" s="12" t="s">
        <v>49</v>
      </c>
      <c r="G152" s="12" t="s">
        <v>15</v>
      </c>
      <c r="H152" s="12" t="s">
        <v>558</v>
      </c>
      <c r="I152" s="14" t="s">
        <v>85</v>
      </c>
      <c r="J152" s="14" t="s">
        <v>85</v>
      </c>
      <c r="K152" s="12" t="s">
        <v>556</v>
      </c>
      <c r="L152" s="15">
        <v>104500</v>
      </c>
      <c r="M152" s="1" t="s">
        <v>18</v>
      </c>
    </row>
    <row r="153" spans="1:13" ht="33.75" x14ac:dyDescent="0.25">
      <c r="A153" s="6" t="s">
        <v>53</v>
      </c>
      <c r="B153" s="12">
        <v>2001220</v>
      </c>
      <c r="C153" s="22">
        <v>16779</v>
      </c>
      <c r="D153" s="21" t="s">
        <v>559</v>
      </c>
      <c r="E153" s="21">
        <v>66</v>
      </c>
      <c r="F153" s="21" t="s">
        <v>60</v>
      </c>
      <c r="G153" s="21" t="s">
        <v>22</v>
      </c>
      <c r="H153" s="21" t="s">
        <v>560</v>
      </c>
      <c r="I153" s="35" t="s">
        <v>561</v>
      </c>
      <c r="J153" s="21" t="s">
        <v>78</v>
      </c>
      <c r="K153" s="9" t="s">
        <v>556</v>
      </c>
      <c r="L153" s="23">
        <v>50000</v>
      </c>
      <c r="M153" s="1" t="s">
        <v>18</v>
      </c>
    </row>
    <row r="154" spans="1:13" ht="33.75" x14ac:dyDescent="0.25">
      <c r="A154" s="20" t="s">
        <v>562</v>
      </c>
      <c r="B154" s="21">
        <v>2002887</v>
      </c>
      <c r="C154" s="13">
        <v>54892</v>
      </c>
      <c r="D154" s="21" t="s">
        <v>563</v>
      </c>
      <c r="E154" s="21">
        <v>64</v>
      </c>
      <c r="F154" s="21" t="s">
        <v>49</v>
      </c>
      <c r="G154" s="21" t="s">
        <v>15</v>
      </c>
      <c r="H154" s="21" t="s">
        <v>564</v>
      </c>
      <c r="I154" s="35" t="s">
        <v>561</v>
      </c>
      <c r="J154" s="21" t="s">
        <v>78</v>
      </c>
      <c r="K154" s="9" t="s">
        <v>556</v>
      </c>
      <c r="L154" s="23">
        <v>46099.4</v>
      </c>
      <c r="M154" s="1" t="s">
        <v>18</v>
      </c>
    </row>
    <row r="155" spans="1:13" x14ac:dyDescent="0.25">
      <c r="A155" s="6" t="s">
        <v>565</v>
      </c>
      <c r="B155" s="7">
        <v>2018319</v>
      </c>
      <c r="C155" s="8">
        <v>101582</v>
      </c>
      <c r="D155" s="9" t="s">
        <v>566</v>
      </c>
      <c r="E155" s="7">
        <v>49</v>
      </c>
      <c r="F155" s="7" t="s">
        <v>49</v>
      </c>
      <c r="G155" s="7" t="s">
        <v>15</v>
      </c>
      <c r="H155" s="9" t="s">
        <v>567</v>
      </c>
      <c r="I155" s="9" t="s">
        <v>37</v>
      </c>
      <c r="J155" s="7" t="s">
        <v>37</v>
      </c>
      <c r="K155" s="9" t="s">
        <v>556</v>
      </c>
      <c r="L155" s="10">
        <v>60000</v>
      </c>
      <c r="M155" s="1" t="s">
        <v>18</v>
      </c>
    </row>
    <row r="156" spans="1:13" ht="33.75" x14ac:dyDescent="0.25">
      <c r="A156" s="11" t="s">
        <v>337</v>
      </c>
      <c r="B156" s="7">
        <v>2003890</v>
      </c>
      <c r="C156" s="8">
        <v>15129</v>
      </c>
      <c r="D156" s="9" t="s">
        <v>568</v>
      </c>
      <c r="E156" s="7">
        <v>65</v>
      </c>
      <c r="F156" s="7" t="s">
        <v>60</v>
      </c>
      <c r="G156" s="7" t="s">
        <v>22</v>
      </c>
      <c r="H156" s="9" t="s">
        <v>567</v>
      </c>
      <c r="I156" s="9" t="s">
        <v>569</v>
      </c>
      <c r="J156" s="7" t="s">
        <v>51</v>
      </c>
      <c r="K156" s="9" t="s">
        <v>556</v>
      </c>
      <c r="L156" s="10">
        <v>30000</v>
      </c>
      <c r="M156" s="1" t="s">
        <v>18</v>
      </c>
    </row>
    <row r="157" spans="1:13" x14ac:dyDescent="0.25">
      <c r="A157" s="6" t="s">
        <v>570</v>
      </c>
      <c r="B157" s="7">
        <v>2006695</v>
      </c>
      <c r="C157" s="8">
        <v>100802</v>
      </c>
      <c r="D157" s="9" t="s">
        <v>571</v>
      </c>
      <c r="E157" s="7">
        <v>65</v>
      </c>
      <c r="F157" s="7" t="s">
        <v>60</v>
      </c>
      <c r="G157" s="7" t="s">
        <v>22</v>
      </c>
      <c r="H157" s="9" t="s">
        <v>572</v>
      </c>
      <c r="I157" s="9" t="s">
        <v>37</v>
      </c>
      <c r="J157" s="7" t="s">
        <v>37</v>
      </c>
      <c r="K157" s="9" t="s">
        <v>556</v>
      </c>
      <c r="L157" s="10">
        <v>30000</v>
      </c>
      <c r="M157" s="1" t="s">
        <v>18</v>
      </c>
    </row>
    <row r="158" spans="1:13" x14ac:dyDescent="0.25">
      <c r="A158" s="6" t="s">
        <v>142</v>
      </c>
      <c r="B158" s="7">
        <v>2014747</v>
      </c>
      <c r="C158" s="8">
        <v>34481</v>
      </c>
      <c r="D158" s="9" t="s">
        <v>573</v>
      </c>
      <c r="E158" s="7">
        <v>32</v>
      </c>
      <c r="F158" s="7" t="s">
        <v>49</v>
      </c>
      <c r="G158" s="7" t="s">
        <v>15</v>
      </c>
      <c r="H158" s="9" t="s">
        <v>574</v>
      </c>
      <c r="I158" s="9" t="s">
        <v>57</v>
      </c>
      <c r="J158" s="7" t="s">
        <v>57</v>
      </c>
      <c r="K158" s="9" t="s">
        <v>556</v>
      </c>
      <c r="L158" s="10">
        <v>104777</v>
      </c>
      <c r="M158" s="1" t="s">
        <v>18</v>
      </c>
    </row>
    <row r="159" spans="1:13" ht="33.75" x14ac:dyDescent="0.25">
      <c r="A159" s="11" t="s">
        <v>354</v>
      </c>
      <c r="B159" s="12">
        <v>2019550</v>
      </c>
      <c r="C159" s="13">
        <v>60099</v>
      </c>
      <c r="D159" s="12" t="s">
        <v>575</v>
      </c>
      <c r="E159" s="14">
        <v>62</v>
      </c>
      <c r="F159" s="12" t="s">
        <v>576</v>
      </c>
      <c r="G159" s="12" t="s">
        <v>22</v>
      </c>
      <c r="H159" s="12" t="s">
        <v>577</v>
      </c>
      <c r="I159" s="14" t="s">
        <v>578</v>
      </c>
      <c r="J159" s="14" t="s">
        <v>154</v>
      </c>
      <c r="K159" s="13">
        <v>17</v>
      </c>
      <c r="L159" s="15">
        <v>315970</v>
      </c>
      <c r="M159" s="1" t="s">
        <v>18</v>
      </c>
    </row>
    <row r="160" spans="1:13" ht="22.5" x14ac:dyDescent="0.25">
      <c r="A160" s="11" t="s">
        <v>579</v>
      </c>
      <c r="B160" s="12">
        <v>2508213</v>
      </c>
      <c r="C160" s="13">
        <v>67872</v>
      </c>
      <c r="D160" s="12" t="s">
        <v>580</v>
      </c>
      <c r="E160" s="14">
        <v>19</v>
      </c>
      <c r="F160" s="12" t="s">
        <v>581</v>
      </c>
      <c r="G160" s="12" t="s">
        <v>132</v>
      </c>
      <c r="H160" s="12" t="s">
        <v>582</v>
      </c>
      <c r="I160" s="14" t="s">
        <v>583</v>
      </c>
      <c r="J160" s="14" t="s">
        <v>85</v>
      </c>
      <c r="K160" s="13">
        <v>21</v>
      </c>
      <c r="L160" s="15">
        <v>181815</v>
      </c>
      <c r="M160" s="1" t="s">
        <v>18</v>
      </c>
    </row>
    <row r="161" spans="1:13" ht="22.5" x14ac:dyDescent="0.25">
      <c r="A161" s="11" t="s">
        <v>75</v>
      </c>
      <c r="B161" s="7">
        <v>2505061</v>
      </c>
      <c r="C161" s="8">
        <v>59211</v>
      </c>
      <c r="D161" s="9" t="s">
        <v>584</v>
      </c>
      <c r="E161" s="7">
        <v>59</v>
      </c>
      <c r="F161" s="7" t="s">
        <v>585</v>
      </c>
      <c r="G161" s="7" t="s">
        <v>22</v>
      </c>
      <c r="H161" s="9" t="s">
        <v>586</v>
      </c>
      <c r="I161" s="9" t="s">
        <v>51</v>
      </c>
      <c r="J161" s="7" t="s">
        <v>51</v>
      </c>
      <c r="K161" s="17" t="s">
        <v>556</v>
      </c>
      <c r="L161" s="10">
        <v>70463.55</v>
      </c>
      <c r="M161" s="1" t="s">
        <v>18</v>
      </c>
    </row>
    <row r="162" spans="1:13" x14ac:dyDescent="0.25">
      <c r="A162" s="11" t="s">
        <v>75</v>
      </c>
      <c r="B162" s="12">
        <v>2505061</v>
      </c>
      <c r="C162" s="13">
        <v>59211</v>
      </c>
      <c r="D162" s="12" t="s">
        <v>587</v>
      </c>
      <c r="E162" s="14">
        <v>70</v>
      </c>
      <c r="F162" s="12" t="s">
        <v>60</v>
      </c>
      <c r="G162" s="12" t="s">
        <v>22</v>
      </c>
      <c r="H162" s="12" t="s">
        <v>588</v>
      </c>
      <c r="I162" s="14" t="s">
        <v>95</v>
      </c>
      <c r="J162" s="14" t="s">
        <v>95</v>
      </c>
      <c r="K162" s="13" t="s">
        <v>556</v>
      </c>
      <c r="L162" s="15">
        <v>33725</v>
      </c>
      <c r="M162" s="1" t="s">
        <v>18</v>
      </c>
    </row>
    <row r="163" spans="1:13" x14ac:dyDescent="0.25">
      <c r="A163" s="6" t="s">
        <v>155</v>
      </c>
      <c r="B163" s="12">
        <v>2008457</v>
      </c>
      <c r="C163" s="13">
        <v>107319</v>
      </c>
      <c r="D163" s="12" t="s">
        <v>589</v>
      </c>
      <c r="E163" s="14">
        <v>20</v>
      </c>
      <c r="F163" s="12" t="s">
        <v>49</v>
      </c>
      <c r="G163" s="12" t="s">
        <v>132</v>
      </c>
      <c r="H163" s="12" t="s">
        <v>590</v>
      </c>
      <c r="I163" s="14" t="s">
        <v>66</v>
      </c>
      <c r="J163" s="14" t="s">
        <v>66</v>
      </c>
      <c r="K163" s="12" t="s">
        <v>556</v>
      </c>
      <c r="L163" s="15">
        <v>30000</v>
      </c>
      <c r="M163" s="1" t="s">
        <v>18</v>
      </c>
    </row>
    <row r="164" spans="1:13" ht="33.75" x14ac:dyDescent="0.25">
      <c r="A164" s="6" t="s">
        <v>155</v>
      </c>
      <c r="B164" s="12">
        <v>2014589</v>
      </c>
      <c r="C164" s="13">
        <v>101449</v>
      </c>
      <c r="D164" s="12" t="s">
        <v>591</v>
      </c>
      <c r="E164" s="14">
        <v>66</v>
      </c>
      <c r="F164" s="12" t="s">
        <v>60</v>
      </c>
      <c r="G164" s="12" t="s">
        <v>22</v>
      </c>
      <c r="H164" s="12" t="s">
        <v>592</v>
      </c>
      <c r="I164" s="14" t="s">
        <v>215</v>
      </c>
      <c r="J164" s="14" t="s">
        <v>94</v>
      </c>
      <c r="K164" s="12" t="s">
        <v>556</v>
      </c>
      <c r="L164" s="15">
        <v>40000</v>
      </c>
      <c r="M164" s="1" t="s">
        <v>18</v>
      </c>
    </row>
    <row r="165" spans="1:13" x14ac:dyDescent="0.25">
      <c r="A165" s="16" t="s">
        <v>72</v>
      </c>
      <c r="B165" s="7">
        <v>2507207</v>
      </c>
      <c r="C165" s="8">
        <v>62415</v>
      </c>
      <c r="D165" s="9" t="s">
        <v>593</v>
      </c>
      <c r="E165" s="7">
        <v>57</v>
      </c>
      <c r="F165" s="7" t="s">
        <v>49</v>
      </c>
      <c r="G165" s="7" t="s">
        <v>15</v>
      </c>
      <c r="H165" s="9" t="s">
        <v>594</v>
      </c>
      <c r="I165" s="9" t="s">
        <v>25</v>
      </c>
      <c r="J165" s="7" t="s">
        <v>25</v>
      </c>
      <c r="K165" s="9" t="s">
        <v>556</v>
      </c>
      <c r="L165" s="10">
        <v>25844</v>
      </c>
      <c r="M165" s="1" t="s">
        <v>18</v>
      </c>
    </row>
    <row r="166" spans="1:13" x14ac:dyDescent="0.25">
      <c r="A166" s="16" t="s">
        <v>72</v>
      </c>
      <c r="B166" s="12">
        <v>2507207</v>
      </c>
      <c r="C166" s="13">
        <v>62415</v>
      </c>
      <c r="D166" s="12" t="s">
        <v>593</v>
      </c>
      <c r="E166" s="14">
        <v>57</v>
      </c>
      <c r="F166" s="12" t="s">
        <v>49</v>
      </c>
      <c r="G166" s="12" t="s">
        <v>15</v>
      </c>
      <c r="H166" s="12" t="s">
        <v>595</v>
      </c>
      <c r="I166" s="14" t="s">
        <v>85</v>
      </c>
      <c r="J166" s="14" t="s">
        <v>85</v>
      </c>
      <c r="K166" s="12" t="s">
        <v>556</v>
      </c>
      <c r="L166" s="15">
        <v>58803</v>
      </c>
      <c r="M166" s="1" t="s">
        <v>18</v>
      </c>
    </row>
    <row r="167" spans="1:13" x14ac:dyDescent="0.25">
      <c r="A167" s="16" t="s">
        <v>72</v>
      </c>
      <c r="B167" s="12">
        <v>2407352</v>
      </c>
      <c r="C167" s="13">
        <v>11577</v>
      </c>
      <c r="D167" s="12" t="s">
        <v>596</v>
      </c>
      <c r="E167" s="14">
        <v>63</v>
      </c>
      <c r="F167" s="12" t="s">
        <v>49</v>
      </c>
      <c r="G167" s="12" t="s">
        <v>15</v>
      </c>
      <c r="H167" s="12" t="s">
        <v>597</v>
      </c>
      <c r="I167" s="14" t="s">
        <v>193</v>
      </c>
      <c r="J167" s="14" t="s">
        <v>193</v>
      </c>
      <c r="K167" s="12" t="s">
        <v>556</v>
      </c>
      <c r="L167" s="15">
        <v>239739</v>
      </c>
      <c r="M167" s="1" t="s">
        <v>18</v>
      </c>
    </row>
    <row r="168" spans="1:13" ht="33.75" x14ac:dyDescent="0.25">
      <c r="A168" s="11" t="s">
        <v>598</v>
      </c>
      <c r="B168" s="12">
        <v>2002343</v>
      </c>
      <c r="C168" s="13">
        <v>7835</v>
      </c>
      <c r="D168" s="12" t="s">
        <v>599</v>
      </c>
      <c r="E168" s="14">
        <v>70</v>
      </c>
      <c r="F168" s="12" t="s">
        <v>600</v>
      </c>
      <c r="G168" s="12" t="s">
        <v>22</v>
      </c>
      <c r="H168" s="12" t="s">
        <v>601</v>
      </c>
      <c r="I168" s="14" t="s">
        <v>602</v>
      </c>
      <c r="J168" s="14" t="s">
        <v>193</v>
      </c>
      <c r="K168" s="12" t="s">
        <v>556</v>
      </c>
      <c r="L168" s="15">
        <v>20800</v>
      </c>
      <c r="M168" s="1" t="s">
        <v>18</v>
      </c>
    </row>
    <row r="169" spans="1:13" ht="33.75" x14ac:dyDescent="0.25">
      <c r="A169" s="20" t="s">
        <v>603</v>
      </c>
      <c r="B169" s="21">
        <v>2013052</v>
      </c>
      <c r="C169" s="13">
        <v>60038</v>
      </c>
      <c r="D169" s="21" t="s">
        <v>604</v>
      </c>
      <c r="E169" s="21">
        <v>54</v>
      </c>
      <c r="F169" s="21" t="s">
        <v>49</v>
      </c>
      <c r="G169" s="21" t="s">
        <v>15</v>
      </c>
      <c r="H169" s="21" t="s">
        <v>605</v>
      </c>
      <c r="I169" s="21" t="s">
        <v>606</v>
      </c>
      <c r="J169" s="21" t="s">
        <v>78</v>
      </c>
      <c r="K169" s="9" t="s">
        <v>556</v>
      </c>
      <c r="L169" s="23">
        <v>20000</v>
      </c>
      <c r="M169" s="1" t="s">
        <v>18</v>
      </c>
    </row>
    <row r="170" spans="1:13" x14ac:dyDescent="0.25">
      <c r="A170" s="6" t="s">
        <v>422</v>
      </c>
      <c r="B170" s="7">
        <v>2001006</v>
      </c>
      <c r="C170" s="8">
        <v>18347</v>
      </c>
      <c r="D170" s="9" t="s">
        <v>607</v>
      </c>
      <c r="E170" s="7">
        <v>69</v>
      </c>
      <c r="F170" s="7" t="s">
        <v>60</v>
      </c>
      <c r="G170" s="7" t="s">
        <v>22</v>
      </c>
      <c r="H170" s="9" t="s">
        <v>445</v>
      </c>
      <c r="I170" s="9" t="s">
        <v>25</v>
      </c>
      <c r="J170" s="7" t="s">
        <v>25</v>
      </c>
      <c r="K170" s="9" t="s">
        <v>556</v>
      </c>
      <c r="L170" s="10">
        <v>75815</v>
      </c>
      <c r="M170" s="1" t="s">
        <v>18</v>
      </c>
    </row>
    <row r="171" spans="1:13" ht="33.75" x14ac:dyDescent="0.25">
      <c r="A171" s="11" t="s">
        <v>544</v>
      </c>
      <c r="B171" s="12">
        <v>2006072</v>
      </c>
      <c r="C171" s="13">
        <v>17405</v>
      </c>
      <c r="D171" s="12" t="s">
        <v>608</v>
      </c>
      <c r="E171" s="14">
        <v>75</v>
      </c>
      <c r="F171" s="12" t="s">
        <v>49</v>
      </c>
      <c r="G171" s="12" t="s">
        <v>15</v>
      </c>
      <c r="H171" s="12" t="s">
        <v>567</v>
      </c>
      <c r="I171" s="14" t="s">
        <v>207</v>
      </c>
      <c r="J171" s="14" t="s">
        <v>31</v>
      </c>
      <c r="K171" s="12" t="s">
        <v>556</v>
      </c>
      <c r="L171" s="15">
        <v>120000</v>
      </c>
      <c r="M171" s="1" t="s">
        <v>18</v>
      </c>
    </row>
    <row r="172" spans="1:13" x14ac:dyDescent="0.25">
      <c r="A172" s="11" t="s">
        <v>544</v>
      </c>
      <c r="B172" s="12">
        <v>2009023</v>
      </c>
      <c r="C172" s="13">
        <v>18240</v>
      </c>
      <c r="D172" s="12" t="s">
        <v>609</v>
      </c>
      <c r="E172" s="14">
        <v>41</v>
      </c>
      <c r="F172" s="12" t="s">
        <v>49</v>
      </c>
      <c r="G172" s="12" t="s">
        <v>15</v>
      </c>
      <c r="H172" s="12" t="s">
        <v>610</v>
      </c>
      <c r="I172" s="14" t="s">
        <v>66</v>
      </c>
      <c r="J172" s="14" t="s">
        <v>66</v>
      </c>
      <c r="K172" s="12" t="s">
        <v>556</v>
      </c>
      <c r="L172" s="15">
        <v>100000</v>
      </c>
      <c r="M172" s="1" t="s">
        <v>18</v>
      </c>
    </row>
    <row r="173" spans="1:13" x14ac:dyDescent="0.25">
      <c r="A173" s="6" t="s">
        <v>373</v>
      </c>
      <c r="B173" s="21">
        <v>2001379</v>
      </c>
      <c r="C173" s="13">
        <v>5803</v>
      </c>
      <c r="D173" s="21" t="s">
        <v>611</v>
      </c>
      <c r="E173" s="21">
        <v>73</v>
      </c>
      <c r="F173" s="21" t="s">
        <v>60</v>
      </c>
      <c r="G173" s="21" t="s">
        <v>22</v>
      </c>
      <c r="H173" s="21" t="s">
        <v>612</v>
      </c>
      <c r="I173" s="21" t="s">
        <v>78</v>
      </c>
      <c r="J173" s="21" t="s">
        <v>78</v>
      </c>
      <c r="K173" s="9" t="s">
        <v>556</v>
      </c>
      <c r="L173" s="23">
        <v>490109</v>
      </c>
      <c r="M173" s="1" t="s">
        <v>18</v>
      </c>
    </row>
    <row r="174" spans="1:13" x14ac:dyDescent="0.25">
      <c r="A174" s="6" t="s">
        <v>373</v>
      </c>
      <c r="B174" s="7">
        <v>2009247</v>
      </c>
      <c r="C174" s="8">
        <v>17293</v>
      </c>
      <c r="D174" s="9" t="s">
        <v>613</v>
      </c>
      <c r="E174" s="7">
        <v>68</v>
      </c>
      <c r="F174" s="7" t="s">
        <v>49</v>
      </c>
      <c r="G174" s="7" t="s">
        <v>15</v>
      </c>
      <c r="H174" s="9" t="s">
        <v>614</v>
      </c>
      <c r="I174" s="9" t="s">
        <v>42</v>
      </c>
      <c r="J174" s="7" t="s">
        <v>42</v>
      </c>
      <c r="K174" s="9" t="s">
        <v>556</v>
      </c>
      <c r="L174" s="10">
        <v>196302</v>
      </c>
      <c r="M174" s="1" t="s">
        <v>18</v>
      </c>
    </row>
    <row r="175" spans="1:13" x14ac:dyDescent="0.25">
      <c r="A175" s="24" t="s">
        <v>615</v>
      </c>
      <c r="B175" s="27">
        <v>2017813</v>
      </c>
      <c r="C175" s="34">
        <v>59159</v>
      </c>
      <c r="D175" s="27" t="s">
        <v>616</v>
      </c>
      <c r="E175" s="25">
        <v>64</v>
      </c>
      <c r="F175" s="25" t="s">
        <v>60</v>
      </c>
      <c r="G175" s="25" t="s">
        <v>22</v>
      </c>
      <c r="H175" s="25" t="s">
        <v>617</v>
      </c>
      <c r="I175" s="25" t="s">
        <v>289</v>
      </c>
      <c r="J175" s="27" t="s">
        <v>289</v>
      </c>
      <c r="K175" s="26" t="s">
        <v>556</v>
      </c>
      <c r="L175" s="28">
        <v>53333</v>
      </c>
      <c r="M175" s="1" t="s">
        <v>18</v>
      </c>
    </row>
    <row r="176" spans="1:13" x14ac:dyDescent="0.25">
      <c r="A176" s="33" t="s">
        <v>618</v>
      </c>
      <c r="B176" s="27">
        <v>2012118</v>
      </c>
      <c r="C176" s="34">
        <v>18259</v>
      </c>
      <c r="D176" s="27" t="s">
        <v>619</v>
      </c>
      <c r="E176" s="27">
        <v>63</v>
      </c>
      <c r="F176" s="27" t="s">
        <v>49</v>
      </c>
      <c r="G176" s="27" t="s">
        <v>15</v>
      </c>
      <c r="H176" s="27" t="s">
        <v>620</v>
      </c>
      <c r="I176" s="27" t="s">
        <v>190</v>
      </c>
      <c r="J176" s="27" t="s">
        <v>190</v>
      </c>
      <c r="K176" s="34" t="s">
        <v>556</v>
      </c>
      <c r="L176" s="28">
        <v>127093</v>
      </c>
      <c r="M176" s="1" t="s">
        <v>18</v>
      </c>
    </row>
    <row r="177" spans="1:13" x14ac:dyDescent="0.25">
      <c r="A177" s="2" t="s">
        <v>12</v>
      </c>
      <c r="B177" s="3">
        <v>2001893</v>
      </c>
      <c r="C177" s="4">
        <v>9046</v>
      </c>
      <c r="D177" s="3" t="s">
        <v>621</v>
      </c>
      <c r="E177" s="3">
        <v>69</v>
      </c>
      <c r="F177" s="3" t="s">
        <v>126</v>
      </c>
      <c r="G177" s="3" t="s">
        <v>22</v>
      </c>
      <c r="H177" s="3" t="s">
        <v>622</v>
      </c>
      <c r="I177" s="3" t="s">
        <v>104</v>
      </c>
      <c r="J177" s="3" t="s">
        <v>104</v>
      </c>
      <c r="K177" s="3" t="s">
        <v>623</v>
      </c>
      <c r="L177" s="5">
        <v>9500</v>
      </c>
      <c r="M177" s="1" t="s">
        <v>18</v>
      </c>
    </row>
    <row r="178" spans="1:13" ht="22.5" x14ac:dyDescent="0.25">
      <c r="A178" s="2" t="s">
        <v>12</v>
      </c>
      <c r="B178" s="7">
        <v>2001893</v>
      </c>
      <c r="C178" s="8">
        <v>9046</v>
      </c>
      <c r="D178" s="9" t="s">
        <v>624</v>
      </c>
      <c r="E178" s="7">
        <v>69</v>
      </c>
      <c r="F178" s="7" t="s">
        <v>60</v>
      </c>
      <c r="G178" s="7" t="s">
        <v>22</v>
      </c>
      <c r="H178" s="9" t="s">
        <v>514</v>
      </c>
      <c r="I178" s="9" t="s">
        <v>25</v>
      </c>
      <c r="J178" s="7" t="s">
        <v>25</v>
      </c>
      <c r="K178" s="3" t="s">
        <v>623</v>
      </c>
      <c r="L178" s="10">
        <v>9500</v>
      </c>
      <c r="M178" s="1" t="s">
        <v>18</v>
      </c>
    </row>
    <row r="179" spans="1:13" x14ac:dyDescent="0.25">
      <c r="A179" s="2" t="s">
        <v>12</v>
      </c>
      <c r="B179" s="7">
        <v>2001893</v>
      </c>
      <c r="C179" s="8">
        <v>9046</v>
      </c>
      <c r="D179" s="9" t="s">
        <v>625</v>
      </c>
      <c r="E179" s="7">
        <v>69</v>
      </c>
      <c r="F179" s="7" t="s">
        <v>60</v>
      </c>
      <c r="G179" s="7" t="s">
        <v>22</v>
      </c>
      <c r="H179" s="9" t="s">
        <v>514</v>
      </c>
      <c r="I179" s="9" t="s">
        <v>52</v>
      </c>
      <c r="J179" s="7" t="s">
        <v>52</v>
      </c>
      <c r="K179" s="3" t="s">
        <v>623</v>
      </c>
      <c r="L179" s="10">
        <v>9500</v>
      </c>
      <c r="M179" s="1" t="s">
        <v>18</v>
      </c>
    </row>
    <row r="180" spans="1:13" x14ac:dyDescent="0.25">
      <c r="A180" s="2" t="s">
        <v>12</v>
      </c>
      <c r="B180" s="7">
        <v>2001893</v>
      </c>
      <c r="C180" s="8">
        <v>9046</v>
      </c>
      <c r="D180" s="9" t="s">
        <v>626</v>
      </c>
      <c r="E180" s="7">
        <v>69</v>
      </c>
      <c r="F180" s="7" t="s">
        <v>60</v>
      </c>
      <c r="G180" s="7" t="s">
        <v>22</v>
      </c>
      <c r="H180" s="9" t="s">
        <v>514</v>
      </c>
      <c r="I180" s="9" t="s">
        <v>42</v>
      </c>
      <c r="J180" s="7" t="s">
        <v>42</v>
      </c>
      <c r="K180" s="9" t="s">
        <v>623</v>
      </c>
      <c r="L180" s="10">
        <v>9500</v>
      </c>
      <c r="M180" s="1" t="s">
        <v>18</v>
      </c>
    </row>
    <row r="181" spans="1:13" x14ac:dyDescent="0.25">
      <c r="A181" s="2" t="s">
        <v>12</v>
      </c>
      <c r="B181" s="12">
        <v>2001893</v>
      </c>
      <c r="C181" s="13">
        <v>9046</v>
      </c>
      <c r="D181" s="12" t="s">
        <v>625</v>
      </c>
      <c r="E181" s="14">
        <v>69</v>
      </c>
      <c r="F181" s="12" t="s">
        <v>60</v>
      </c>
      <c r="G181" s="12" t="s">
        <v>22</v>
      </c>
      <c r="H181" s="12" t="s">
        <v>514</v>
      </c>
      <c r="I181" s="14" t="s">
        <v>141</v>
      </c>
      <c r="J181" s="14" t="s">
        <v>141</v>
      </c>
      <c r="K181" s="12" t="s">
        <v>623</v>
      </c>
      <c r="L181" s="15">
        <v>9500</v>
      </c>
      <c r="M181" s="1" t="s">
        <v>18</v>
      </c>
    </row>
    <row r="182" spans="1:13" ht="45" x14ac:dyDescent="0.25">
      <c r="A182" s="2" t="s">
        <v>12</v>
      </c>
      <c r="B182" s="12">
        <v>2001893</v>
      </c>
      <c r="C182" s="13">
        <v>9046</v>
      </c>
      <c r="D182" s="12" t="s">
        <v>625</v>
      </c>
      <c r="E182" s="14">
        <v>69</v>
      </c>
      <c r="F182" s="12" t="s">
        <v>60</v>
      </c>
      <c r="G182" s="12" t="s">
        <v>22</v>
      </c>
      <c r="H182" s="12" t="s">
        <v>514</v>
      </c>
      <c r="I182" s="14" t="s">
        <v>627</v>
      </c>
      <c r="J182" s="14" t="s">
        <v>31</v>
      </c>
      <c r="K182" s="12" t="s">
        <v>623</v>
      </c>
      <c r="L182" s="15">
        <v>9500</v>
      </c>
      <c r="M182" s="1" t="s">
        <v>18</v>
      </c>
    </row>
    <row r="183" spans="1:13" x14ac:dyDescent="0.25">
      <c r="A183" s="6" t="s">
        <v>319</v>
      </c>
      <c r="B183" s="21">
        <v>209634</v>
      </c>
      <c r="C183" s="22">
        <v>42684</v>
      </c>
      <c r="D183" s="21" t="s">
        <v>628</v>
      </c>
      <c r="E183" s="21">
        <v>69</v>
      </c>
      <c r="F183" s="21" t="s">
        <v>60</v>
      </c>
      <c r="G183" s="21" t="s">
        <v>15</v>
      </c>
      <c r="H183" s="21" t="s">
        <v>514</v>
      </c>
      <c r="I183" s="21" t="s">
        <v>99</v>
      </c>
      <c r="J183" s="21" t="s">
        <v>99</v>
      </c>
      <c r="K183" s="21" t="s">
        <v>623</v>
      </c>
      <c r="L183" s="23">
        <v>10650</v>
      </c>
      <c r="M183" s="1" t="s">
        <v>18</v>
      </c>
    </row>
    <row r="184" spans="1:13" x14ac:dyDescent="0.25">
      <c r="A184" s="6" t="s">
        <v>319</v>
      </c>
      <c r="B184" s="7">
        <v>2001634</v>
      </c>
      <c r="C184" s="8">
        <v>42684</v>
      </c>
      <c r="D184" s="9" t="s">
        <v>628</v>
      </c>
      <c r="E184" s="7">
        <v>68</v>
      </c>
      <c r="F184" s="7" t="s">
        <v>60</v>
      </c>
      <c r="G184" s="7" t="s">
        <v>15</v>
      </c>
      <c r="H184" s="9" t="s">
        <v>514</v>
      </c>
      <c r="I184" s="9" t="s">
        <v>51</v>
      </c>
      <c r="J184" s="7" t="s">
        <v>51</v>
      </c>
      <c r="K184" s="3" t="s">
        <v>623</v>
      </c>
      <c r="L184" s="10">
        <v>10650</v>
      </c>
      <c r="M184" s="1" t="s">
        <v>18</v>
      </c>
    </row>
    <row r="185" spans="1:13" x14ac:dyDescent="0.25">
      <c r="A185" s="6" t="s">
        <v>319</v>
      </c>
      <c r="B185" s="3">
        <v>2001823</v>
      </c>
      <c r="C185" s="4">
        <v>10576</v>
      </c>
      <c r="D185" s="3" t="s">
        <v>629</v>
      </c>
      <c r="E185" s="3">
        <v>71</v>
      </c>
      <c r="F185" s="3" t="s">
        <v>126</v>
      </c>
      <c r="G185" s="3" t="s">
        <v>22</v>
      </c>
      <c r="H185" s="3" t="s">
        <v>622</v>
      </c>
      <c r="I185" s="3" t="s">
        <v>17</v>
      </c>
      <c r="J185" s="3" t="s">
        <v>17</v>
      </c>
      <c r="K185" s="3" t="s">
        <v>623</v>
      </c>
      <c r="L185" s="5">
        <v>10650</v>
      </c>
      <c r="M185" s="1" t="s">
        <v>18</v>
      </c>
    </row>
    <row r="186" spans="1:13" x14ac:dyDescent="0.25">
      <c r="A186" s="6" t="s">
        <v>319</v>
      </c>
      <c r="B186" s="3">
        <v>2001823</v>
      </c>
      <c r="C186" s="36">
        <v>10576</v>
      </c>
      <c r="D186" s="30" t="s">
        <v>630</v>
      </c>
      <c r="E186" s="30">
        <v>71</v>
      </c>
      <c r="F186" s="30" t="s">
        <v>60</v>
      </c>
      <c r="G186" s="30" t="s">
        <v>22</v>
      </c>
      <c r="H186" s="30" t="s">
        <v>514</v>
      </c>
      <c r="I186" s="30" t="s">
        <v>24</v>
      </c>
      <c r="J186" s="30" t="s">
        <v>24</v>
      </c>
      <c r="K186" s="3" t="s">
        <v>623</v>
      </c>
      <c r="L186" s="5">
        <v>10650</v>
      </c>
      <c r="M186" s="1" t="s">
        <v>18</v>
      </c>
    </row>
    <row r="187" spans="1:13" x14ac:dyDescent="0.25">
      <c r="A187" s="6" t="s">
        <v>319</v>
      </c>
      <c r="B187" s="12">
        <v>2001823</v>
      </c>
      <c r="C187" s="13">
        <v>10576</v>
      </c>
      <c r="D187" s="12" t="s">
        <v>630</v>
      </c>
      <c r="E187" s="14">
        <v>72</v>
      </c>
      <c r="F187" s="12" t="s">
        <v>60</v>
      </c>
      <c r="G187" s="12" t="s">
        <v>22</v>
      </c>
      <c r="H187" s="12" t="s">
        <v>514</v>
      </c>
      <c r="I187" s="14" t="s">
        <v>79</v>
      </c>
      <c r="J187" s="14" t="s">
        <v>79</v>
      </c>
      <c r="K187" s="12" t="s">
        <v>623</v>
      </c>
      <c r="L187" s="15">
        <v>10650</v>
      </c>
      <c r="M187" s="1" t="s">
        <v>18</v>
      </c>
    </row>
    <row r="188" spans="1:13" x14ac:dyDescent="0.25">
      <c r="A188" s="6" t="s">
        <v>319</v>
      </c>
      <c r="B188" s="21">
        <v>2001823</v>
      </c>
      <c r="C188" s="22">
        <v>10576</v>
      </c>
      <c r="D188" s="21" t="s">
        <v>630</v>
      </c>
      <c r="E188" s="21">
        <v>72</v>
      </c>
      <c r="F188" s="21" t="s">
        <v>60</v>
      </c>
      <c r="G188" s="21" t="s">
        <v>22</v>
      </c>
      <c r="H188" s="21" t="s">
        <v>514</v>
      </c>
      <c r="I188" s="21" t="s">
        <v>99</v>
      </c>
      <c r="J188" s="21" t="s">
        <v>99</v>
      </c>
      <c r="K188" s="21" t="s">
        <v>623</v>
      </c>
      <c r="L188" s="23">
        <v>10650</v>
      </c>
      <c r="M188" s="1" t="s">
        <v>18</v>
      </c>
    </row>
    <row r="189" spans="1:13" x14ac:dyDescent="0.25">
      <c r="A189" s="6" t="s">
        <v>319</v>
      </c>
      <c r="B189" s="12">
        <v>2001823</v>
      </c>
      <c r="C189" s="13">
        <v>10576</v>
      </c>
      <c r="D189" s="12" t="s">
        <v>630</v>
      </c>
      <c r="E189" s="14">
        <v>72</v>
      </c>
      <c r="F189" s="12" t="s">
        <v>60</v>
      </c>
      <c r="G189" s="12" t="s">
        <v>15</v>
      </c>
      <c r="H189" s="12" t="s">
        <v>514</v>
      </c>
      <c r="I189" s="14" t="s">
        <v>67</v>
      </c>
      <c r="J189" s="14" t="s">
        <v>67</v>
      </c>
      <c r="K189" s="12" t="s">
        <v>623</v>
      </c>
      <c r="L189" s="15">
        <v>10650</v>
      </c>
      <c r="M189" s="1" t="s">
        <v>18</v>
      </c>
    </row>
    <row r="190" spans="1:13" x14ac:dyDescent="0.25">
      <c r="A190" s="6" t="s">
        <v>319</v>
      </c>
      <c r="B190" s="12">
        <v>2001823</v>
      </c>
      <c r="C190" s="13">
        <v>42684</v>
      </c>
      <c r="D190" s="12" t="s">
        <v>628</v>
      </c>
      <c r="E190" s="14">
        <v>69</v>
      </c>
      <c r="F190" s="12" t="s">
        <v>60</v>
      </c>
      <c r="G190" s="12" t="s">
        <v>15</v>
      </c>
      <c r="H190" s="12" t="s">
        <v>514</v>
      </c>
      <c r="I190" s="14" t="s">
        <v>67</v>
      </c>
      <c r="J190" s="14" t="s">
        <v>67</v>
      </c>
      <c r="K190" s="12" t="s">
        <v>623</v>
      </c>
      <c r="L190" s="15">
        <v>10650</v>
      </c>
      <c r="M190" s="1" t="s">
        <v>18</v>
      </c>
    </row>
    <row r="191" spans="1:13" x14ac:dyDescent="0.25">
      <c r="A191" s="6" t="s">
        <v>319</v>
      </c>
      <c r="B191" s="7">
        <v>2001853</v>
      </c>
      <c r="C191" s="8">
        <v>10576</v>
      </c>
      <c r="D191" s="9" t="s">
        <v>630</v>
      </c>
      <c r="E191" s="7">
        <v>71</v>
      </c>
      <c r="F191" s="7" t="s">
        <v>60</v>
      </c>
      <c r="G191" s="7" t="s">
        <v>22</v>
      </c>
      <c r="H191" s="9" t="s">
        <v>514</v>
      </c>
      <c r="I191" s="9" t="s">
        <v>51</v>
      </c>
      <c r="J191" s="7" t="s">
        <v>51</v>
      </c>
      <c r="K191" s="3" t="s">
        <v>623</v>
      </c>
      <c r="L191" s="10">
        <v>10650</v>
      </c>
      <c r="M191" s="1" t="s">
        <v>18</v>
      </c>
    </row>
    <row r="192" spans="1:13" x14ac:dyDescent="0.25">
      <c r="A192" s="6" t="s">
        <v>319</v>
      </c>
      <c r="B192" s="7">
        <v>2001853</v>
      </c>
      <c r="C192" s="8">
        <v>10576</v>
      </c>
      <c r="D192" s="9" t="s">
        <v>630</v>
      </c>
      <c r="E192" s="7">
        <v>72</v>
      </c>
      <c r="F192" s="7" t="s">
        <v>60</v>
      </c>
      <c r="G192" s="7" t="s">
        <v>22</v>
      </c>
      <c r="H192" s="9" t="s">
        <v>514</v>
      </c>
      <c r="I192" s="9" t="s">
        <v>37</v>
      </c>
      <c r="J192" s="7" t="s">
        <v>37</v>
      </c>
      <c r="K192" s="9" t="s">
        <v>623</v>
      </c>
      <c r="L192" s="10">
        <v>10650</v>
      </c>
      <c r="M192" s="1" t="s">
        <v>18</v>
      </c>
    </row>
    <row r="193" spans="1:13" x14ac:dyDescent="0.25">
      <c r="A193" s="6" t="s">
        <v>319</v>
      </c>
      <c r="B193" s="3">
        <v>2019634</v>
      </c>
      <c r="C193" s="4">
        <v>42684</v>
      </c>
      <c r="D193" s="3" t="s">
        <v>628</v>
      </c>
      <c r="E193" s="3">
        <v>68</v>
      </c>
      <c r="F193" s="3" t="s">
        <v>60</v>
      </c>
      <c r="G193" s="3" t="s">
        <v>15</v>
      </c>
      <c r="H193" s="3" t="s">
        <v>514</v>
      </c>
      <c r="I193" s="3" t="s">
        <v>17</v>
      </c>
      <c r="J193" s="3" t="s">
        <v>17</v>
      </c>
      <c r="K193" s="3" t="s">
        <v>623</v>
      </c>
      <c r="L193" s="5">
        <v>10650</v>
      </c>
      <c r="M193" s="1" t="s">
        <v>18</v>
      </c>
    </row>
    <row r="194" spans="1:13" x14ac:dyDescent="0.25">
      <c r="A194" s="6" t="s">
        <v>319</v>
      </c>
      <c r="B194" s="9">
        <v>2019634</v>
      </c>
      <c r="C194" s="8">
        <v>42684</v>
      </c>
      <c r="D194" s="29" t="s">
        <v>631</v>
      </c>
      <c r="E194" s="29">
        <v>69</v>
      </c>
      <c r="F194" s="29" t="s">
        <v>60</v>
      </c>
      <c r="G194" s="29" t="s">
        <v>15</v>
      </c>
      <c r="H194" s="29" t="s">
        <v>514</v>
      </c>
      <c r="I194" s="30" t="s">
        <v>24</v>
      </c>
      <c r="J194" s="30" t="s">
        <v>24</v>
      </c>
      <c r="K194" s="3" t="s">
        <v>623</v>
      </c>
      <c r="L194" s="18">
        <v>10650</v>
      </c>
      <c r="M194" s="1" t="s">
        <v>18</v>
      </c>
    </row>
    <row r="195" spans="1:13" x14ac:dyDescent="0.25">
      <c r="A195" s="6" t="s">
        <v>319</v>
      </c>
      <c r="B195" s="7">
        <v>2019634</v>
      </c>
      <c r="C195" s="8">
        <v>42684</v>
      </c>
      <c r="D195" s="9" t="s">
        <v>628</v>
      </c>
      <c r="E195" s="7">
        <v>68</v>
      </c>
      <c r="F195" s="7" t="s">
        <v>60</v>
      </c>
      <c r="G195" s="7" t="s">
        <v>15</v>
      </c>
      <c r="H195" s="9" t="s">
        <v>514</v>
      </c>
      <c r="I195" s="9" t="s">
        <v>37</v>
      </c>
      <c r="J195" s="7" t="s">
        <v>37</v>
      </c>
      <c r="K195" s="9" t="s">
        <v>623</v>
      </c>
      <c r="L195" s="10">
        <v>10650</v>
      </c>
      <c r="M195" s="1" t="s">
        <v>18</v>
      </c>
    </row>
    <row r="196" spans="1:13" x14ac:dyDescent="0.25">
      <c r="A196" s="6" t="s">
        <v>319</v>
      </c>
      <c r="B196" s="12">
        <v>2019634</v>
      </c>
      <c r="C196" s="13">
        <v>42684</v>
      </c>
      <c r="D196" s="12" t="s">
        <v>628</v>
      </c>
      <c r="E196" s="14">
        <v>69</v>
      </c>
      <c r="F196" s="12" t="s">
        <v>60</v>
      </c>
      <c r="G196" s="12" t="s">
        <v>15</v>
      </c>
      <c r="H196" s="12" t="s">
        <v>514</v>
      </c>
      <c r="I196" s="14" t="s">
        <v>79</v>
      </c>
      <c r="J196" s="14" t="s">
        <v>79</v>
      </c>
      <c r="K196" s="12" t="s">
        <v>623</v>
      </c>
      <c r="L196" s="15">
        <v>10650</v>
      </c>
      <c r="M196" s="1" t="s">
        <v>18</v>
      </c>
    </row>
    <row r="197" spans="1:13" x14ac:dyDescent="0.25">
      <c r="A197" s="6" t="s">
        <v>319</v>
      </c>
      <c r="B197" s="12">
        <v>2019634</v>
      </c>
      <c r="C197" s="13">
        <v>42684</v>
      </c>
      <c r="D197" s="12" t="s">
        <v>628</v>
      </c>
      <c r="E197" s="14">
        <v>69</v>
      </c>
      <c r="F197" s="12" t="s">
        <v>60</v>
      </c>
      <c r="G197" s="12" t="s">
        <v>15</v>
      </c>
      <c r="H197" s="12" t="s">
        <v>514</v>
      </c>
      <c r="I197" s="14" t="s">
        <v>108</v>
      </c>
      <c r="J197" s="14" t="s">
        <v>108</v>
      </c>
      <c r="K197" s="12" t="s">
        <v>623</v>
      </c>
      <c r="L197" s="15">
        <v>10650</v>
      </c>
      <c r="M197" s="1" t="s">
        <v>18</v>
      </c>
    </row>
    <row r="198" spans="1:13" x14ac:dyDescent="0.25">
      <c r="A198" s="6" t="s">
        <v>319</v>
      </c>
      <c r="B198" s="12">
        <v>2001823</v>
      </c>
      <c r="C198" s="13">
        <v>10576</v>
      </c>
      <c r="D198" s="12" t="s">
        <v>630</v>
      </c>
      <c r="E198" s="14">
        <v>70</v>
      </c>
      <c r="F198" s="12" t="s">
        <v>60</v>
      </c>
      <c r="G198" s="12" t="s">
        <v>22</v>
      </c>
      <c r="H198" s="12" t="s">
        <v>514</v>
      </c>
      <c r="I198" s="14" t="s">
        <v>108</v>
      </c>
      <c r="J198" s="14" t="s">
        <v>108</v>
      </c>
      <c r="K198" s="12" t="s">
        <v>623</v>
      </c>
      <c r="L198" s="15">
        <v>10650</v>
      </c>
      <c r="M198" s="1" t="s">
        <v>18</v>
      </c>
    </row>
    <row r="199" spans="1:13" x14ac:dyDescent="0.25">
      <c r="A199" s="2" t="s">
        <v>109</v>
      </c>
      <c r="B199" s="7">
        <v>2002228</v>
      </c>
      <c r="C199" s="8">
        <v>31315</v>
      </c>
      <c r="D199" s="9" t="s">
        <v>632</v>
      </c>
      <c r="E199" s="7">
        <v>70</v>
      </c>
      <c r="F199" s="7" t="s">
        <v>60</v>
      </c>
      <c r="G199" s="7" t="s">
        <v>22</v>
      </c>
      <c r="H199" s="9" t="s">
        <v>633</v>
      </c>
      <c r="I199" s="9" t="s">
        <v>25</v>
      </c>
      <c r="J199" s="7" t="s">
        <v>25</v>
      </c>
      <c r="K199" s="3" t="s">
        <v>623</v>
      </c>
      <c r="L199" s="10">
        <v>10650</v>
      </c>
      <c r="M199" s="1" t="s">
        <v>18</v>
      </c>
    </row>
    <row r="200" spans="1:13" x14ac:dyDescent="0.25">
      <c r="A200" s="2" t="s">
        <v>109</v>
      </c>
      <c r="B200" s="7">
        <v>2002228</v>
      </c>
      <c r="C200" s="8">
        <v>31315</v>
      </c>
      <c r="D200" s="9" t="s">
        <v>634</v>
      </c>
      <c r="E200" s="7">
        <v>70</v>
      </c>
      <c r="F200" s="7" t="s">
        <v>60</v>
      </c>
      <c r="G200" s="7" t="s">
        <v>22</v>
      </c>
      <c r="H200" s="9" t="s">
        <v>635</v>
      </c>
      <c r="I200" s="9" t="s">
        <v>42</v>
      </c>
      <c r="J200" s="7" t="s">
        <v>42</v>
      </c>
      <c r="K200" s="9" t="s">
        <v>623</v>
      </c>
      <c r="L200" s="10">
        <v>10650</v>
      </c>
      <c r="M200" s="1" t="s">
        <v>18</v>
      </c>
    </row>
    <row r="201" spans="1:13" ht="33.75" x14ac:dyDescent="0.25">
      <c r="A201" s="2" t="s">
        <v>43</v>
      </c>
      <c r="B201" s="12">
        <v>2002754</v>
      </c>
      <c r="C201" s="13">
        <v>11467</v>
      </c>
      <c r="D201" s="12" t="s">
        <v>636</v>
      </c>
      <c r="E201" s="14">
        <v>74</v>
      </c>
      <c r="F201" s="12" t="s">
        <v>60</v>
      </c>
      <c r="G201" s="12" t="s">
        <v>22</v>
      </c>
      <c r="H201" s="12" t="s">
        <v>514</v>
      </c>
      <c r="I201" s="14" t="s">
        <v>637</v>
      </c>
      <c r="J201" s="14" t="s">
        <v>108</v>
      </c>
      <c r="K201" s="12" t="s">
        <v>623</v>
      </c>
      <c r="L201" s="15">
        <v>10500</v>
      </c>
      <c r="M201" s="1" t="s">
        <v>18</v>
      </c>
    </row>
    <row r="202" spans="1:13" ht="33.75" x14ac:dyDescent="0.25">
      <c r="A202" s="2" t="s">
        <v>228</v>
      </c>
      <c r="B202" s="7">
        <v>2001033</v>
      </c>
      <c r="C202" s="8">
        <v>5326</v>
      </c>
      <c r="D202" s="9" t="s">
        <v>638</v>
      </c>
      <c r="E202" s="7">
        <v>18</v>
      </c>
      <c r="F202" s="7" t="s">
        <v>60</v>
      </c>
      <c r="G202" s="7" t="s">
        <v>132</v>
      </c>
      <c r="H202" s="9" t="s">
        <v>633</v>
      </c>
      <c r="I202" s="9" t="s">
        <v>639</v>
      </c>
      <c r="J202" s="7" t="s">
        <v>36</v>
      </c>
      <c r="K202" s="3" t="s">
        <v>623</v>
      </c>
      <c r="L202" s="10">
        <v>8129.66</v>
      </c>
      <c r="M202" s="1" t="s">
        <v>18</v>
      </c>
    </row>
    <row r="203" spans="1:13" x14ac:dyDescent="0.25">
      <c r="A203" s="2" t="s">
        <v>228</v>
      </c>
      <c r="B203" s="3">
        <v>2005037</v>
      </c>
      <c r="C203" s="4">
        <v>5326</v>
      </c>
      <c r="D203" s="3" t="s">
        <v>640</v>
      </c>
      <c r="E203" s="3">
        <v>18</v>
      </c>
      <c r="F203" s="3" t="s">
        <v>126</v>
      </c>
      <c r="G203" s="3" t="s">
        <v>88</v>
      </c>
      <c r="H203" s="3" t="s">
        <v>514</v>
      </c>
      <c r="I203" s="3" t="s">
        <v>121</v>
      </c>
      <c r="J203" s="3" t="s">
        <v>121</v>
      </c>
      <c r="K203" s="3" t="s">
        <v>623</v>
      </c>
      <c r="L203" s="5">
        <v>8185</v>
      </c>
      <c r="M203" s="1" t="s">
        <v>18</v>
      </c>
    </row>
    <row r="204" spans="1:13" x14ac:dyDescent="0.25">
      <c r="A204" s="2" t="s">
        <v>228</v>
      </c>
      <c r="B204" s="7">
        <v>2005037</v>
      </c>
      <c r="C204" s="8">
        <v>5326</v>
      </c>
      <c r="D204" s="9" t="s">
        <v>638</v>
      </c>
      <c r="E204" s="7">
        <v>18</v>
      </c>
      <c r="F204" s="7" t="s">
        <v>60</v>
      </c>
      <c r="G204" s="7" t="s">
        <v>132</v>
      </c>
      <c r="H204" s="9" t="s">
        <v>514</v>
      </c>
      <c r="I204" s="9" t="s">
        <v>57</v>
      </c>
      <c r="J204" s="7" t="s">
        <v>57</v>
      </c>
      <c r="K204" s="3" t="s">
        <v>623</v>
      </c>
      <c r="L204" s="10">
        <v>5640</v>
      </c>
      <c r="M204" s="1" t="s">
        <v>18</v>
      </c>
    </row>
    <row r="205" spans="1:13" ht="45" x14ac:dyDescent="0.25">
      <c r="A205" s="2" t="s">
        <v>228</v>
      </c>
      <c r="B205" s="7">
        <v>2005037</v>
      </c>
      <c r="C205" s="8">
        <v>5326</v>
      </c>
      <c r="D205" s="9" t="s">
        <v>638</v>
      </c>
      <c r="E205" s="7">
        <v>18</v>
      </c>
      <c r="F205" s="7" t="s">
        <v>60</v>
      </c>
      <c r="G205" s="7" t="s">
        <v>88</v>
      </c>
      <c r="H205" s="9" t="s">
        <v>514</v>
      </c>
      <c r="I205" s="9" t="s">
        <v>641</v>
      </c>
      <c r="J205" s="7" t="s">
        <v>37</v>
      </c>
      <c r="K205" s="9" t="s">
        <v>623</v>
      </c>
      <c r="L205" s="10">
        <v>9757.18</v>
      </c>
      <c r="M205" s="1" t="s">
        <v>18</v>
      </c>
    </row>
    <row r="206" spans="1:13" ht="33.75" x14ac:dyDescent="0.25">
      <c r="A206" s="2" t="s">
        <v>228</v>
      </c>
      <c r="B206" s="7">
        <v>2005037</v>
      </c>
      <c r="C206" s="8">
        <v>5326</v>
      </c>
      <c r="D206" s="9" t="s">
        <v>638</v>
      </c>
      <c r="E206" s="7">
        <v>18</v>
      </c>
      <c r="F206" s="7" t="s">
        <v>60</v>
      </c>
      <c r="G206" s="7" t="s">
        <v>132</v>
      </c>
      <c r="H206" s="9" t="s">
        <v>514</v>
      </c>
      <c r="I206" s="9" t="s">
        <v>642</v>
      </c>
      <c r="J206" s="7" t="s">
        <v>42</v>
      </c>
      <c r="K206" s="9" t="s">
        <v>623</v>
      </c>
      <c r="L206" s="10">
        <v>5639.71</v>
      </c>
      <c r="M206" s="1" t="s">
        <v>18</v>
      </c>
    </row>
    <row r="207" spans="1:13" ht="33.75" x14ac:dyDescent="0.25">
      <c r="A207" s="2" t="s">
        <v>228</v>
      </c>
      <c r="B207" s="21">
        <v>2005037</v>
      </c>
      <c r="C207" s="13">
        <v>5326</v>
      </c>
      <c r="D207" s="21" t="s">
        <v>638</v>
      </c>
      <c r="E207" s="21">
        <v>18</v>
      </c>
      <c r="F207" s="21" t="s">
        <v>60</v>
      </c>
      <c r="G207" s="21" t="s">
        <v>132</v>
      </c>
      <c r="H207" s="21" t="s">
        <v>514</v>
      </c>
      <c r="I207" s="21" t="s">
        <v>561</v>
      </c>
      <c r="J207" s="21" t="s">
        <v>78</v>
      </c>
      <c r="K207" s="9" t="s">
        <v>623</v>
      </c>
      <c r="L207" s="23">
        <v>7899.37</v>
      </c>
      <c r="M207" s="1" t="s">
        <v>18</v>
      </c>
    </row>
    <row r="208" spans="1:13" ht="32.25" x14ac:dyDescent="0.25">
      <c r="A208" s="2" t="s">
        <v>228</v>
      </c>
      <c r="B208" s="21">
        <v>2005037</v>
      </c>
      <c r="C208" s="22">
        <v>5326</v>
      </c>
      <c r="D208" s="21" t="s">
        <v>643</v>
      </c>
      <c r="E208" s="21">
        <v>18</v>
      </c>
      <c r="F208" s="21" t="s">
        <v>60</v>
      </c>
      <c r="G208" s="21" t="s">
        <v>132</v>
      </c>
      <c r="H208" s="21" t="s">
        <v>644</v>
      </c>
      <c r="I208" s="21" t="s">
        <v>645</v>
      </c>
      <c r="J208" s="21" t="s">
        <v>99</v>
      </c>
      <c r="K208" s="21" t="s">
        <v>623</v>
      </c>
      <c r="L208" s="23">
        <v>6275.31</v>
      </c>
      <c r="M208" s="1" t="s">
        <v>18</v>
      </c>
    </row>
    <row r="209" spans="1:13" ht="45" x14ac:dyDescent="0.25">
      <c r="A209" s="2" t="s">
        <v>228</v>
      </c>
      <c r="B209" s="12">
        <v>2005037</v>
      </c>
      <c r="C209" s="13">
        <v>5326</v>
      </c>
      <c r="D209" s="12" t="s">
        <v>643</v>
      </c>
      <c r="E209" s="14">
        <v>18</v>
      </c>
      <c r="F209" s="12" t="s">
        <v>60</v>
      </c>
      <c r="G209" s="12" t="s">
        <v>132</v>
      </c>
      <c r="H209" s="12" t="s">
        <v>644</v>
      </c>
      <c r="I209" s="14" t="s">
        <v>646</v>
      </c>
      <c r="J209" s="14" t="s">
        <v>66</v>
      </c>
      <c r="K209" s="12" t="s">
        <v>623</v>
      </c>
      <c r="L209" s="15">
        <v>6402.78</v>
      </c>
      <c r="M209" s="1" t="s">
        <v>18</v>
      </c>
    </row>
    <row r="210" spans="1:13" ht="33.75" x14ac:dyDescent="0.25">
      <c r="A210" s="6" t="s">
        <v>53</v>
      </c>
      <c r="B210" s="12">
        <v>2020238</v>
      </c>
      <c r="C210" s="13">
        <v>43253</v>
      </c>
      <c r="D210" s="12" t="s">
        <v>647</v>
      </c>
      <c r="E210" s="14">
        <v>65</v>
      </c>
      <c r="F210" s="12" t="s">
        <v>49</v>
      </c>
      <c r="G210" s="12" t="s">
        <v>15</v>
      </c>
      <c r="H210" s="12" t="s">
        <v>514</v>
      </c>
      <c r="I210" s="14" t="s">
        <v>648</v>
      </c>
      <c r="J210" s="14" t="s">
        <v>141</v>
      </c>
      <c r="K210" s="12" t="s">
        <v>623</v>
      </c>
      <c r="L210" s="15">
        <v>7000</v>
      </c>
      <c r="M210" s="1" t="s">
        <v>18</v>
      </c>
    </row>
    <row r="211" spans="1:13" x14ac:dyDescent="0.25">
      <c r="A211" s="6" t="s">
        <v>53</v>
      </c>
      <c r="B211" s="12">
        <v>2020238</v>
      </c>
      <c r="C211" s="13">
        <v>43253</v>
      </c>
      <c r="D211" s="12" t="s">
        <v>649</v>
      </c>
      <c r="E211" s="14">
        <v>65</v>
      </c>
      <c r="F211" s="12" t="s">
        <v>49</v>
      </c>
      <c r="G211" s="12" t="s">
        <v>15</v>
      </c>
      <c r="H211" s="12" t="s">
        <v>514</v>
      </c>
      <c r="I211" s="14" t="s">
        <v>62</v>
      </c>
      <c r="J211" s="14" t="s">
        <v>62</v>
      </c>
      <c r="K211" s="12" t="s">
        <v>623</v>
      </c>
      <c r="L211" s="15">
        <v>7000</v>
      </c>
      <c r="M211" s="1" t="s">
        <v>18</v>
      </c>
    </row>
    <row r="212" spans="1:13" x14ac:dyDescent="0.25">
      <c r="A212" s="11" t="s">
        <v>340</v>
      </c>
      <c r="B212" s="9">
        <v>2014318</v>
      </c>
      <c r="C212" s="8">
        <v>61208</v>
      </c>
      <c r="D212" s="29" t="s">
        <v>650</v>
      </c>
      <c r="E212" s="29">
        <v>61</v>
      </c>
      <c r="F212" s="29" t="s">
        <v>49</v>
      </c>
      <c r="G212" s="29" t="s">
        <v>15</v>
      </c>
      <c r="H212" s="29" t="s">
        <v>514</v>
      </c>
      <c r="I212" s="3" t="s">
        <v>121</v>
      </c>
      <c r="J212" s="3" t="s">
        <v>121</v>
      </c>
      <c r="K212" s="3" t="s">
        <v>623</v>
      </c>
      <c r="L212" s="18">
        <v>9500</v>
      </c>
      <c r="M212" s="1" t="s">
        <v>18</v>
      </c>
    </row>
    <row r="213" spans="1:13" x14ac:dyDescent="0.25">
      <c r="A213" s="11" t="s">
        <v>340</v>
      </c>
      <c r="B213" s="7">
        <v>2014318</v>
      </c>
      <c r="C213" s="8">
        <v>61208</v>
      </c>
      <c r="D213" s="9" t="s">
        <v>651</v>
      </c>
      <c r="E213" s="7">
        <v>62</v>
      </c>
      <c r="F213" s="7" t="s">
        <v>60</v>
      </c>
      <c r="G213" s="7" t="s">
        <v>22</v>
      </c>
      <c r="H213" s="9" t="s">
        <v>514</v>
      </c>
      <c r="I213" s="9" t="s">
        <v>36</v>
      </c>
      <c r="J213" s="7" t="s">
        <v>36</v>
      </c>
      <c r="K213" s="3" t="s">
        <v>623</v>
      </c>
      <c r="L213" s="10">
        <v>9500</v>
      </c>
      <c r="M213" s="1" t="s">
        <v>18</v>
      </c>
    </row>
    <row r="214" spans="1:13" x14ac:dyDescent="0.25">
      <c r="A214" s="11" t="s">
        <v>340</v>
      </c>
      <c r="B214" s="12">
        <v>2014318</v>
      </c>
      <c r="C214" s="13">
        <v>61208</v>
      </c>
      <c r="D214" s="12" t="s">
        <v>651</v>
      </c>
      <c r="E214" s="14">
        <v>60</v>
      </c>
      <c r="F214" s="12" t="s">
        <v>60</v>
      </c>
      <c r="G214" s="12" t="s">
        <v>22</v>
      </c>
      <c r="H214" s="12" t="s">
        <v>514</v>
      </c>
      <c r="I214" s="14" t="s">
        <v>94</v>
      </c>
      <c r="J214" s="14" t="s">
        <v>94</v>
      </c>
      <c r="K214" s="12" t="s">
        <v>623</v>
      </c>
      <c r="L214" s="15">
        <v>9500</v>
      </c>
      <c r="M214" s="1" t="s">
        <v>18</v>
      </c>
    </row>
    <row r="215" spans="1:13" x14ac:dyDescent="0.25">
      <c r="A215" s="11" t="s">
        <v>340</v>
      </c>
      <c r="B215" s="12">
        <v>2014318</v>
      </c>
      <c r="C215" s="13">
        <v>61208</v>
      </c>
      <c r="D215" s="12" t="s">
        <v>651</v>
      </c>
      <c r="E215" s="14">
        <v>62</v>
      </c>
      <c r="F215" s="12" t="s">
        <v>60</v>
      </c>
      <c r="G215" s="12" t="s">
        <v>22</v>
      </c>
      <c r="H215" s="12" t="s">
        <v>514</v>
      </c>
      <c r="I215" s="14" t="s">
        <v>31</v>
      </c>
      <c r="J215" s="14" t="s">
        <v>31</v>
      </c>
      <c r="K215" s="12" t="s">
        <v>623</v>
      </c>
      <c r="L215" s="15">
        <v>9500</v>
      </c>
      <c r="M215" s="1" t="s">
        <v>18</v>
      </c>
    </row>
    <row r="216" spans="1:13" x14ac:dyDescent="0.25">
      <c r="A216" s="6" t="s">
        <v>142</v>
      </c>
      <c r="B216" s="7">
        <v>2017509</v>
      </c>
      <c r="C216" s="8">
        <v>19309</v>
      </c>
      <c r="D216" s="9" t="s">
        <v>652</v>
      </c>
      <c r="E216" s="7">
        <v>63</v>
      </c>
      <c r="F216" s="7" t="s">
        <v>60</v>
      </c>
      <c r="G216" s="7" t="s">
        <v>22</v>
      </c>
      <c r="H216" s="9" t="s">
        <v>514</v>
      </c>
      <c r="I216" s="9" t="s">
        <v>25</v>
      </c>
      <c r="J216" s="7" t="s">
        <v>25</v>
      </c>
      <c r="K216" s="3" t="s">
        <v>623</v>
      </c>
      <c r="L216" s="10">
        <v>8500</v>
      </c>
      <c r="M216" s="1" t="s">
        <v>18</v>
      </c>
    </row>
    <row r="217" spans="1:13" x14ac:dyDescent="0.25">
      <c r="A217" s="6" t="s">
        <v>142</v>
      </c>
      <c r="B217" s="7">
        <v>2017509</v>
      </c>
      <c r="C217" s="8">
        <v>19309</v>
      </c>
      <c r="D217" s="9" t="s">
        <v>652</v>
      </c>
      <c r="E217" s="7">
        <v>63</v>
      </c>
      <c r="F217" s="7" t="s">
        <v>60</v>
      </c>
      <c r="G217" s="7" t="s">
        <v>22</v>
      </c>
      <c r="H217" s="9" t="s">
        <v>514</v>
      </c>
      <c r="I217" s="9" t="s">
        <v>42</v>
      </c>
      <c r="J217" s="7" t="s">
        <v>42</v>
      </c>
      <c r="K217" s="9" t="s">
        <v>623</v>
      </c>
      <c r="L217" s="10">
        <v>8500</v>
      </c>
      <c r="M217" s="1" t="s">
        <v>18</v>
      </c>
    </row>
    <row r="218" spans="1:13" x14ac:dyDescent="0.25">
      <c r="A218" s="11" t="s">
        <v>653</v>
      </c>
      <c r="B218" s="12">
        <v>2017509</v>
      </c>
      <c r="C218" s="13">
        <v>19309</v>
      </c>
      <c r="D218" s="12" t="s">
        <v>652</v>
      </c>
      <c r="E218" s="14">
        <v>63</v>
      </c>
      <c r="F218" s="12" t="s">
        <v>60</v>
      </c>
      <c r="G218" s="12" t="s">
        <v>22</v>
      </c>
      <c r="H218" s="12" t="s">
        <v>514</v>
      </c>
      <c r="I218" s="14" t="s">
        <v>85</v>
      </c>
      <c r="J218" s="14" t="s">
        <v>85</v>
      </c>
      <c r="K218" s="12" t="s">
        <v>623</v>
      </c>
      <c r="L218" s="15">
        <v>8500</v>
      </c>
      <c r="M218" s="1" t="s">
        <v>18</v>
      </c>
    </row>
    <row r="219" spans="1:13" x14ac:dyDescent="0.25">
      <c r="A219" s="6" t="s">
        <v>68</v>
      </c>
      <c r="B219" s="7">
        <v>2002952</v>
      </c>
      <c r="C219" s="8">
        <v>18654</v>
      </c>
      <c r="D219" s="9" t="s">
        <v>654</v>
      </c>
      <c r="E219" s="7">
        <v>60</v>
      </c>
      <c r="F219" s="7" t="s">
        <v>60</v>
      </c>
      <c r="G219" s="7" t="s">
        <v>22</v>
      </c>
      <c r="H219" s="9" t="s">
        <v>655</v>
      </c>
      <c r="I219" s="9" t="s">
        <v>51</v>
      </c>
      <c r="J219" s="7" t="s">
        <v>51</v>
      </c>
      <c r="K219" s="3" t="s">
        <v>623</v>
      </c>
      <c r="L219" s="10">
        <v>12260</v>
      </c>
      <c r="M219" s="1" t="s">
        <v>18</v>
      </c>
    </row>
    <row r="220" spans="1:13" ht="33.75" x14ac:dyDescent="0.25">
      <c r="A220" s="6" t="s">
        <v>68</v>
      </c>
      <c r="B220" s="7">
        <v>2002953</v>
      </c>
      <c r="C220" s="8">
        <v>18654</v>
      </c>
      <c r="D220" s="9" t="s">
        <v>654</v>
      </c>
      <c r="E220" s="7">
        <v>60</v>
      </c>
      <c r="F220" s="7" t="s">
        <v>60</v>
      </c>
      <c r="G220" s="7" t="s">
        <v>22</v>
      </c>
      <c r="H220" s="9" t="s">
        <v>644</v>
      </c>
      <c r="I220" s="9" t="s">
        <v>656</v>
      </c>
      <c r="J220" s="7" t="s">
        <v>57</v>
      </c>
      <c r="K220" s="3" t="s">
        <v>623</v>
      </c>
      <c r="L220" s="10">
        <v>11944</v>
      </c>
      <c r="M220" s="1" t="s">
        <v>18</v>
      </c>
    </row>
    <row r="221" spans="1:13" x14ac:dyDescent="0.25">
      <c r="A221" s="6" t="s">
        <v>68</v>
      </c>
      <c r="B221" s="21">
        <v>2002953</v>
      </c>
      <c r="C221" s="22">
        <v>18654</v>
      </c>
      <c r="D221" s="21" t="s">
        <v>657</v>
      </c>
      <c r="E221" s="21">
        <v>60</v>
      </c>
      <c r="F221" s="21" t="s">
        <v>60</v>
      </c>
      <c r="G221" s="21" t="s">
        <v>22</v>
      </c>
      <c r="H221" s="21" t="s">
        <v>655</v>
      </c>
      <c r="I221" s="21" t="s">
        <v>99</v>
      </c>
      <c r="J221" s="21" t="s">
        <v>99</v>
      </c>
      <c r="K221" s="21" t="s">
        <v>623</v>
      </c>
      <c r="L221" s="23">
        <v>10807</v>
      </c>
      <c r="M221" s="1" t="s">
        <v>18</v>
      </c>
    </row>
    <row r="222" spans="1:13" x14ac:dyDescent="0.25">
      <c r="A222" s="6" t="s">
        <v>68</v>
      </c>
      <c r="B222" s="12">
        <v>2002953</v>
      </c>
      <c r="C222" s="13">
        <v>18654</v>
      </c>
      <c r="D222" s="12" t="s">
        <v>654</v>
      </c>
      <c r="E222" s="14">
        <v>60</v>
      </c>
      <c r="F222" s="12" t="s">
        <v>60</v>
      </c>
      <c r="G222" s="12" t="s">
        <v>22</v>
      </c>
      <c r="H222" s="12" t="s">
        <v>514</v>
      </c>
      <c r="I222" s="14" t="s">
        <v>62</v>
      </c>
      <c r="J222" s="14" t="s">
        <v>62</v>
      </c>
      <c r="K222" s="12" t="s">
        <v>623</v>
      </c>
      <c r="L222" s="15">
        <v>10899</v>
      </c>
      <c r="M222" s="1" t="s">
        <v>18</v>
      </c>
    </row>
    <row r="223" spans="1:13" ht="22.5" x14ac:dyDescent="0.25">
      <c r="A223" s="6" t="s">
        <v>68</v>
      </c>
      <c r="B223" s="12">
        <v>2002953</v>
      </c>
      <c r="C223" s="13">
        <v>18654</v>
      </c>
      <c r="D223" s="12" t="s">
        <v>654</v>
      </c>
      <c r="E223" s="14">
        <v>60</v>
      </c>
      <c r="F223" s="12" t="s">
        <v>60</v>
      </c>
      <c r="G223" s="12" t="s">
        <v>22</v>
      </c>
      <c r="H223" s="12" t="s">
        <v>514</v>
      </c>
      <c r="I223" s="14" t="s">
        <v>658</v>
      </c>
      <c r="J223" s="14" t="s">
        <v>62</v>
      </c>
      <c r="K223" s="12" t="s">
        <v>623</v>
      </c>
      <c r="L223" s="15">
        <v>12349</v>
      </c>
      <c r="M223" s="1" t="s">
        <v>18</v>
      </c>
    </row>
    <row r="224" spans="1:13" x14ac:dyDescent="0.25">
      <c r="A224" s="16" t="s">
        <v>72</v>
      </c>
      <c r="B224" s="3">
        <v>200958</v>
      </c>
      <c r="C224" s="36">
        <v>31482</v>
      </c>
      <c r="D224" s="30" t="s">
        <v>496</v>
      </c>
      <c r="E224" s="30">
        <v>67</v>
      </c>
      <c r="F224" s="30" t="s">
        <v>60</v>
      </c>
      <c r="G224" s="30" t="s">
        <v>22</v>
      </c>
      <c r="H224" s="30" t="s">
        <v>514</v>
      </c>
      <c r="I224" s="30" t="s">
        <v>24</v>
      </c>
      <c r="J224" s="30" t="s">
        <v>24</v>
      </c>
      <c r="K224" s="3" t="s">
        <v>623</v>
      </c>
      <c r="L224" s="5">
        <v>11500</v>
      </c>
      <c r="M224" s="1" t="s">
        <v>18</v>
      </c>
    </row>
    <row r="225" spans="1:13" x14ac:dyDescent="0.25">
      <c r="A225" s="16" t="s">
        <v>72</v>
      </c>
      <c r="B225" s="3">
        <v>2003958</v>
      </c>
      <c r="C225" s="4">
        <v>31482</v>
      </c>
      <c r="D225" s="3" t="s">
        <v>659</v>
      </c>
      <c r="E225" s="3">
        <v>66</v>
      </c>
      <c r="F225" s="3" t="s">
        <v>126</v>
      </c>
      <c r="G225" s="3" t="s">
        <v>22</v>
      </c>
      <c r="H225" s="3" t="s">
        <v>633</v>
      </c>
      <c r="I225" s="3" t="s">
        <v>17</v>
      </c>
      <c r="J225" s="3" t="s">
        <v>17</v>
      </c>
      <c r="K225" s="3" t="s">
        <v>623</v>
      </c>
      <c r="L225" s="5">
        <v>11500</v>
      </c>
      <c r="M225" s="1" t="s">
        <v>18</v>
      </c>
    </row>
    <row r="226" spans="1:13" x14ac:dyDescent="0.25">
      <c r="A226" s="16" t="s">
        <v>72</v>
      </c>
      <c r="B226" s="7">
        <v>2003958</v>
      </c>
      <c r="C226" s="8">
        <v>31482</v>
      </c>
      <c r="D226" s="9" t="s">
        <v>496</v>
      </c>
      <c r="E226" s="7">
        <v>67</v>
      </c>
      <c r="F226" s="7" t="s">
        <v>60</v>
      </c>
      <c r="G226" s="7" t="s">
        <v>22</v>
      </c>
      <c r="H226" s="9" t="s">
        <v>660</v>
      </c>
      <c r="I226" s="9" t="s">
        <v>51</v>
      </c>
      <c r="J226" s="7" t="s">
        <v>51</v>
      </c>
      <c r="K226" s="3" t="s">
        <v>623</v>
      </c>
      <c r="L226" s="10">
        <v>11500</v>
      </c>
      <c r="M226" s="1" t="s">
        <v>18</v>
      </c>
    </row>
    <row r="227" spans="1:13" x14ac:dyDescent="0.25">
      <c r="A227" s="16" t="s">
        <v>72</v>
      </c>
      <c r="B227" s="9">
        <v>2004283</v>
      </c>
      <c r="C227" s="17">
        <v>13839</v>
      </c>
      <c r="D227" s="9" t="s">
        <v>661</v>
      </c>
      <c r="E227" s="9">
        <v>67</v>
      </c>
      <c r="F227" s="9" t="s">
        <v>126</v>
      </c>
      <c r="G227" s="9" t="s">
        <v>22</v>
      </c>
      <c r="H227" s="9" t="s">
        <v>633</v>
      </c>
      <c r="I227" s="9" t="s">
        <v>17</v>
      </c>
      <c r="J227" s="9" t="s">
        <v>17</v>
      </c>
      <c r="K227" s="3" t="s">
        <v>623</v>
      </c>
      <c r="L227" s="18">
        <v>11500</v>
      </c>
      <c r="M227" s="1" t="s">
        <v>18</v>
      </c>
    </row>
    <row r="228" spans="1:13" x14ac:dyDescent="0.25">
      <c r="A228" s="16" t="s">
        <v>72</v>
      </c>
      <c r="B228" s="7">
        <v>2004283</v>
      </c>
      <c r="C228" s="8">
        <v>13839</v>
      </c>
      <c r="D228" s="9" t="s">
        <v>662</v>
      </c>
      <c r="E228" s="7">
        <v>68</v>
      </c>
      <c r="F228" s="7" t="s">
        <v>60</v>
      </c>
      <c r="G228" s="7" t="s">
        <v>22</v>
      </c>
      <c r="H228" s="9" t="s">
        <v>633</v>
      </c>
      <c r="I228" s="9" t="s">
        <v>52</v>
      </c>
      <c r="J228" s="7" t="s">
        <v>52</v>
      </c>
      <c r="K228" s="3" t="s">
        <v>623</v>
      </c>
      <c r="L228" s="10">
        <v>11500</v>
      </c>
      <c r="M228" s="1" t="s">
        <v>18</v>
      </c>
    </row>
    <row r="229" spans="1:13" x14ac:dyDescent="0.25">
      <c r="A229" s="16" t="s">
        <v>72</v>
      </c>
      <c r="B229" s="3">
        <v>2502095</v>
      </c>
      <c r="C229" s="4">
        <v>21102</v>
      </c>
      <c r="D229" s="3" t="s">
        <v>663</v>
      </c>
      <c r="E229" s="3">
        <v>57</v>
      </c>
      <c r="F229" s="3" t="s">
        <v>126</v>
      </c>
      <c r="G229" s="3" t="s">
        <v>664</v>
      </c>
      <c r="H229" s="3" t="s">
        <v>622</v>
      </c>
      <c r="I229" s="3" t="s">
        <v>121</v>
      </c>
      <c r="J229" s="3" t="s">
        <v>121</v>
      </c>
      <c r="K229" s="3" t="s">
        <v>623</v>
      </c>
      <c r="L229" s="5">
        <v>11500</v>
      </c>
      <c r="M229" s="1" t="s">
        <v>18</v>
      </c>
    </row>
    <row r="230" spans="1:13" x14ac:dyDescent="0.25">
      <c r="A230" s="16" t="s">
        <v>72</v>
      </c>
      <c r="B230" s="12">
        <v>2502095</v>
      </c>
      <c r="C230" s="13">
        <v>21102</v>
      </c>
      <c r="D230" s="12" t="s">
        <v>665</v>
      </c>
      <c r="E230" s="14">
        <v>57</v>
      </c>
      <c r="F230" s="12" t="s">
        <v>60</v>
      </c>
      <c r="G230" s="12" t="s">
        <v>22</v>
      </c>
      <c r="H230" s="12" t="s">
        <v>514</v>
      </c>
      <c r="I230" s="14" t="s">
        <v>666</v>
      </c>
      <c r="J230" s="14" t="s">
        <v>94</v>
      </c>
      <c r="K230" s="12" t="s">
        <v>623</v>
      </c>
      <c r="L230" s="15">
        <v>11500</v>
      </c>
      <c r="M230" s="1" t="s">
        <v>18</v>
      </c>
    </row>
    <row r="231" spans="1:13" x14ac:dyDescent="0.25">
      <c r="A231" s="11" t="s">
        <v>75</v>
      </c>
      <c r="B231" s="12">
        <v>2001089</v>
      </c>
      <c r="C231" s="13">
        <v>17668</v>
      </c>
      <c r="D231" s="12" t="s">
        <v>667</v>
      </c>
      <c r="E231" s="14">
        <v>78</v>
      </c>
      <c r="F231" s="12" t="s">
        <v>60</v>
      </c>
      <c r="G231" s="12" t="s">
        <v>22</v>
      </c>
      <c r="H231" s="12" t="s">
        <v>668</v>
      </c>
      <c r="I231" s="14" t="s">
        <v>108</v>
      </c>
      <c r="J231" s="14" t="s">
        <v>108</v>
      </c>
      <c r="K231" s="13" t="s">
        <v>556</v>
      </c>
      <c r="L231" s="15">
        <v>16237</v>
      </c>
      <c r="M231" s="1" t="s">
        <v>18</v>
      </c>
    </row>
    <row r="232" spans="1:13" x14ac:dyDescent="0.25">
      <c r="A232" s="20" t="s">
        <v>274</v>
      </c>
      <c r="B232" s="12">
        <v>2021278</v>
      </c>
      <c r="C232" s="13">
        <v>56896</v>
      </c>
      <c r="D232" s="12" t="s">
        <v>669</v>
      </c>
      <c r="E232" s="14">
        <v>54</v>
      </c>
      <c r="F232" s="12" t="s">
        <v>126</v>
      </c>
      <c r="G232" s="12" t="s">
        <v>664</v>
      </c>
      <c r="H232" s="12" t="s">
        <v>514</v>
      </c>
      <c r="I232" s="14" t="s">
        <v>95</v>
      </c>
      <c r="J232" s="14" t="s">
        <v>95</v>
      </c>
      <c r="K232" s="13" t="s">
        <v>670</v>
      </c>
      <c r="L232" s="15">
        <v>43051.64</v>
      </c>
      <c r="M232" s="1" t="s">
        <v>18</v>
      </c>
    </row>
    <row r="233" spans="1:13" ht="33.75" x14ac:dyDescent="0.25">
      <c r="A233" s="11" t="s">
        <v>75</v>
      </c>
      <c r="B233" s="12">
        <v>2002754</v>
      </c>
      <c r="C233" s="13">
        <v>11467</v>
      </c>
      <c r="D233" s="12" t="s">
        <v>671</v>
      </c>
      <c r="E233" s="14">
        <v>74</v>
      </c>
      <c r="F233" s="12" t="s">
        <v>60</v>
      </c>
      <c r="G233" s="12" t="s">
        <v>22</v>
      </c>
      <c r="H233" s="12" t="s">
        <v>655</v>
      </c>
      <c r="I233" s="14" t="s">
        <v>672</v>
      </c>
      <c r="J233" s="14" t="s">
        <v>66</v>
      </c>
      <c r="K233" s="13" t="s">
        <v>623</v>
      </c>
      <c r="L233" s="15">
        <v>9025</v>
      </c>
      <c r="M233" s="1" t="s">
        <v>18</v>
      </c>
    </row>
    <row r="234" spans="1:13" ht="21" x14ac:dyDescent="0.25">
      <c r="A234" s="11" t="s">
        <v>75</v>
      </c>
      <c r="B234" s="37">
        <v>202754</v>
      </c>
      <c r="C234" s="38">
        <v>11467</v>
      </c>
      <c r="D234" s="37" t="s">
        <v>673</v>
      </c>
      <c r="E234" s="37">
        <v>74</v>
      </c>
      <c r="F234" s="37" t="s">
        <v>60</v>
      </c>
      <c r="G234" s="37" t="s">
        <v>22</v>
      </c>
      <c r="H234" s="37" t="s">
        <v>514</v>
      </c>
      <c r="I234" s="37" t="s">
        <v>606</v>
      </c>
      <c r="J234" s="37" t="s">
        <v>78</v>
      </c>
      <c r="K234" s="17" t="s">
        <v>623</v>
      </c>
      <c r="L234" s="39">
        <v>22469</v>
      </c>
      <c r="M234" s="1" t="s">
        <v>18</v>
      </c>
    </row>
    <row r="235" spans="1:13" ht="33.75" x14ac:dyDescent="0.25">
      <c r="A235" s="11" t="s">
        <v>75</v>
      </c>
      <c r="B235" s="7">
        <v>2002754</v>
      </c>
      <c r="C235" s="8">
        <v>11467</v>
      </c>
      <c r="D235" s="9" t="s">
        <v>636</v>
      </c>
      <c r="E235" s="7">
        <v>70</v>
      </c>
      <c r="F235" s="7" t="s">
        <v>60</v>
      </c>
      <c r="G235" s="7" t="s">
        <v>22</v>
      </c>
      <c r="H235" s="9" t="s">
        <v>644</v>
      </c>
      <c r="I235" s="9" t="s">
        <v>674</v>
      </c>
      <c r="J235" s="7" t="s">
        <v>36</v>
      </c>
      <c r="K235" s="4" t="s">
        <v>623</v>
      </c>
      <c r="L235" s="10">
        <v>9025</v>
      </c>
      <c r="M235" s="1" t="s">
        <v>18</v>
      </c>
    </row>
    <row r="236" spans="1:13" ht="33.75" x14ac:dyDescent="0.25">
      <c r="A236" s="11" t="s">
        <v>75</v>
      </c>
      <c r="B236" s="7">
        <v>2017742</v>
      </c>
      <c r="C236" s="8">
        <v>37239</v>
      </c>
      <c r="D236" s="9" t="s">
        <v>675</v>
      </c>
      <c r="E236" s="7">
        <v>63</v>
      </c>
      <c r="F236" s="7" t="s">
        <v>60</v>
      </c>
      <c r="G236" s="7" t="s">
        <v>22</v>
      </c>
      <c r="H236" s="9" t="s">
        <v>633</v>
      </c>
      <c r="I236" s="9" t="s">
        <v>676</v>
      </c>
      <c r="J236" s="7" t="s">
        <v>51</v>
      </c>
      <c r="K236" s="4" t="s">
        <v>623</v>
      </c>
      <c r="L236" s="10">
        <v>9025</v>
      </c>
      <c r="M236" s="1" t="s">
        <v>18</v>
      </c>
    </row>
    <row r="237" spans="1:13" ht="33.75" x14ac:dyDescent="0.25">
      <c r="A237" s="11" t="s">
        <v>75</v>
      </c>
      <c r="B237" s="7">
        <v>2017742</v>
      </c>
      <c r="C237" s="8">
        <v>37239</v>
      </c>
      <c r="D237" s="9" t="s">
        <v>675</v>
      </c>
      <c r="E237" s="7">
        <v>60</v>
      </c>
      <c r="F237" s="7" t="s">
        <v>60</v>
      </c>
      <c r="G237" s="7" t="s">
        <v>22</v>
      </c>
      <c r="H237" s="9" t="s">
        <v>514</v>
      </c>
      <c r="I237" s="9" t="s">
        <v>677</v>
      </c>
      <c r="J237" s="7" t="s">
        <v>42</v>
      </c>
      <c r="K237" s="17" t="s">
        <v>623</v>
      </c>
      <c r="L237" s="10">
        <v>9025</v>
      </c>
      <c r="M237" s="1" t="s">
        <v>18</v>
      </c>
    </row>
    <row r="238" spans="1:13" x14ac:dyDescent="0.25">
      <c r="A238" s="11" t="s">
        <v>456</v>
      </c>
      <c r="B238" s="3">
        <v>2010871</v>
      </c>
      <c r="C238" s="4">
        <v>56685</v>
      </c>
      <c r="D238" s="3" t="s">
        <v>678</v>
      </c>
      <c r="E238" s="3">
        <v>63</v>
      </c>
      <c r="F238" s="3" t="s">
        <v>126</v>
      </c>
      <c r="G238" s="3" t="s">
        <v>22</v>
      </c>
      <c r="H238" s="3" t="s">
        <v>633</v>
      </c>
      <c r="I238" s="3" t="s">
        <v>17</v>
      </c>
      <c r="J238" s="3" t="s">
        <v>17</v>
      </c>
      <c r="K238" s="4" t="s">
        <v>623</v>
      </c>
      <c r="L238" s="5">
        <v>9025</v>
      </c>
      <c r="M238" s="1" t="s">
        <v>18</v>
      </c>
    </row>
    <row r="239" spans="1:13" x14ac:dyDescent="0.25">
      <c r="A239" s="11" t="s">
        <v>456</v>
      </c>
      <c r="B239" s="12">
        <v>2010871</v>
      </c>
      <c r="C239" s="13">
        <v>56685</v>
      </c>
      <c r="D239" s="12" t="s">
        <v>679</v>
      </c>
      <c r="E239" s="14">
        <v>63</v>
      </c>
      <c r="F239" s="12" t="s">
        <v>60</v>
      </c>
      <c r="G239" s="12" t="s">
        <v>22</v>
      </c>
      <c r="H239" s="12" t="s">
        <v>514</v>
      </c>
      <c r="I239" s="14" t="s">
        <v>79</v>
      </c>
      <c r="J239" s="14" t="s">
        <v>79</v>
      </c>
      <c r="K239" s="13" t="s">
        <v>623</v>
      </c>
      <c r="L239" s="15">
        <v>9025</v>
      </c>
      <c r="M239" s="1" t="s">
        <v>18</v>
      </c>
    </row>
    <row r="240" spans="1:13" x14ac:dyDescent="0.25">
      <c r="A240" s="11" t="s">
        <v>456</v>
      </c>
      <c r="B240" s="12">
        <v>2010871</v>
      </c>
      <c r="C240" s="13">
        <v>56685</v>
      </c>
      <c r="D240" s="12" t="s">
        <v>679</v>
      </c>
      <c r="E240" s="14">
        <v>63</v>
      </c>
      <c r="F240" s="12" t="s">
        <v>60</v>
      </c>
      <c r="G240" s="12" t="s">
        <v>22</v>
      </c>
      <c r="H240" s="12" t="s">
        <v>514</v>
      </c>
      <c r="I240" s="14" t="s">
        <v>67</v>
      </c>
      <c r="J240" s="14" t="s">
        <v>67</v>
      </c>
      <c r="K240" s="13" t="s">
        <v>623</v>
      </c>
      <c r="L240" s="15">
        <v>9025</v>
      </c>
      <c r="M240" s="1" t="s">
        <v>18</v>
      </c>
    </row>
    <row r="241" spans="1:13" x14ac:dyDescent="0.25">
      <c r="A241" s="2" t="s">
        <v>178</v>
      </c>
      <c r="B241" s="3">
        <v>2003444</v>
      </c>
      <c r="C241" s="4">
        <v>18642</v>
      </c>
      <c r="D241" s="3" t="s">
        <v>680</v>
      </c>
      <c r="E241" s="3">
        <v>64</v>
      </c>
      <c r="F241" s="3" t="s">
        <v>126</v>
      </c>
      <c r="G241" s="3" t="s">
        <v>22</v>
      </c>
      <c r="H241" s="3" t="s">
        <v>514</v>
      </c>
      <c r="I241" s="3" t="s">
        <v>103</v>
      </c>
      <c r="J241" s="3" t="s">
        <v>103</v>
      </c>
      <c r="K241" s="4" t="s">
        <v>623</v>
      </c>
      <c r="L241" s="5">
        <v>9025</v>
      </c>
      <c r="M241" s="1" t="s">
        <v>18</v>
      </c>
    </row>
    <row r="242" spans="1:13" x14ac:dyDescent="0.25">
      <c r="A242" s="2" t="s">
        <v>178</v>
      </c>
      <c r="B242" s="12">
        <v>2003444</v>
      </c>
      <c r="C242" s="13">
        <v>18642</v>
      </c>
      <c r="D242" s="12" t="s">
        <v>680</v>
      </c>
      <c r="E242" s="14">
        <v>63</v>
      </c>
      <c r="F242" s="12" t="s">
        <v>60</v>
      </c>
      <c r="G242" s="12" t="s">
        <v>22</v>
      </c>
      <c r="H242" s="12" t="s">
        <v>514</v>
      </c>
      <c r="I242" s="14" t="s">
        <v>108</v>
      </c>
      <c r="J242" s="14" t="s">
        <v>108</v>
      </c>
      <c r="K242" s="13" t="s">
        <v>623</v>
      </c>
      <c r="L242" s="15">
        <v>9025</v>
      </c>
      <c r="M242" s="1" t="s">
        <v>18</v>
      </c>
    </row>
    <row r="243" spans="1:13" x14ac:dyDescent="0.25">
      <c r="A243" s="11" t="s">
        <v>274</v>
      </c>
      <c r="B243" s="21">
        <v>2405040</v>
      </c>
      <c r="C243" s="22">
        <v>31911</v>
      </c>
      <c r="D243" s="21" t="s">
        <v>681</v>
      </c>
      <c r="E243" s="21">
        <v>63</v>
      </c>
      <c r="F243" s="21" t="s">
        <v>60</v>
      </c>
      <c r="G243" s="21" t="s">
        <v>22</v>
      </c>
      <c r="H243" s="21" t="s">
        <v>633</v>
      </c>
      <c r="I243" s="21" t="s">
        <v>99</v>
      </c>
      <c r="J243" s="21" t="s">
        <v>99</v>
      </c>
      <c r="K243" s="22" t="s">
        <v>623</v>
      </c>
      <c r="L243" s="23">
        <v>9025</v>
      </c>
      <c r="M243" s="1" t="s">
        <v>18</v>
      </c>
    </row>
    <row r="244" spans="1:13" x14ac:dyDescent="0.25">
      <c r="A244" s="16" t="s">
        <v>72</v>
      </c>
      <c r="B244" s="12">
        <v>2502095</v>
      </c>
      <c r="C244" s="13">
        <v>21102</v>
      </c>
      <c r="D244" s="12" t="s">
        <v>665</v>
      </c>
      <c r="E244" s="14">
        <v>57</v>
      </c>
      <c r="F244" s="12" t="s">
        <v>60</v>
      </c>
      <c r="G244" s="12" t="s">
        <v>22</v>
      </c>
      <c r="H244" s="12" t="s">
        <v>514</v>
      </c>
      <c r="I244" s="14" t="s">
        <v>31</v>
      </c>
      <c r="J244" s="14" t="s">
        <v>31</v>
      </c>
      <c r="K244" s="12" t="s">
        <v>623</v>
      </c>
      <c r="L244" s="15">
        <v>11500</v>
      </c>
      <c r="M244" s="1" t="s">
        <v>18</v>
      </c>
    </row>
    <row r="245" spans="1:13" x14ac:dyDescent="0.25">
      <c r="A245" s="6" t="s">
        <v>682</v>
      </c>
      <c r="B245" s="9">
        <v>2011620</v>
      </c>
      <c r="C245" s="8">
        <v>102835</v>
      </c>
      <c r="D245" s="29" t="s">
        <v>683</v>
      </c>
      <c r="E245" s="29">
        <v>64</v>
      </c>
      <c r="F245" s="29" t="s">
        <v>684</v>
      </c>
      <c r="G245" s="29" t="s">
        <v>15</v>
      </c>
      <c r="H245" s="29" t="s">
        <v>514</v>
      </c>
      <c r="I245" s="30" t="s">
        <v>24</v>
      </c>
      <c r="J245" s="30" t="s">
        <v>24</v>
      </c>
      <c r="K245" s="3" t="s">
        <v>623</v>
      </c>
      <c r="L245" s="18">
        <v>10650</v>
      </c>
      <c r="M245" s="1" t="s">
        <v>18</v>
      </c>
    </row>
    <row r="246" spans="1:13" x14ac:dyDescent="0.25">
      <c r="A246" s="6" t="s">
        <v>682</v>
      </c>
      <c r="B246" s="9">
        <v>2012620</v>
      </c>
      <c r="C246" s="17">
        <v>102835</v>
      </c>
      <c r="D246" s="9" t="s">
        <v>685</v>
      </c>
      <c r="E246" s="9">
        <v>63</v>
      </c>
      <c r="F246" s="9" t="s">
        <v>14</v>
      </c>
      <c r="G246" s="9" t="s">
        <v>15</v>
      </c>
      <c r="H246" s="9" t="s">
        <v>633</v>
      </c>
      <c r="I246" s="9" t="s">
        <v>17</v>
      </c>
      <c r="J246" s="9" t="s">
        <v>17</v>
      </c>
      <c r="K246" s="3" t="s">
        <v>623</v>
      </c>
      <c r="L246" s="18">
        <v>10650</v>
      </c>
      <c r="M246" s="1" t="s">
        <v>18</v>
      </c>
    </row>
    <row r="247" spans="1:13" x14ac:dyDescent="0.25">
      <c r="A247" s="6" t="s">
        <v>682</v>
      </c>
      <c r="B247" s="7">
        <v>2012620</v>
      </c>
      <c r="C247" s="8">
        <v>102835</v>
      </c>
      <c r="D247" s="9" t="s">
        <v>685</v>
      </c>
      <c r="E247" s="7">
        <v>64</v>
      </c>
      <c r="F247" s="7" t="s">
        <v>49</v>
      </c>
      <c r="G247" s="7" t="s">
        <v>15</v>
      </c>
      <c r="H247" s="9" t="s">
        <v>633</v>
      </c>
      <c r="I247" s="9" t="s">
        <v>51</v>
      </c>
      <c r="J247" s="7" t="s">
        <v>51</v>
      </c>
      <c r="K247" s="3" t="s">
        <v>623</v>
      </c>
      <c r="L247" s="10">
        <v>10650</v>
      </c>
      <c r="M247" s="1" t="s">
        <v>18</v>
      </c>
    </row>
    <row r="248" spans="1:13" x14ac:dyDescent="0.25">
      <c r="A248" s="6" t="s">
        <v>682</v>
      </c>
      <c r="B248" s="7">
        <v>2012620</v>
      </c>
      <c r="C248" s="8">
        <v>102835</v>
      </c>
      <c r="D248" s="9" t="s">
        <v>686</v>
      </c>
      <c r="E248" s="7">
        <v>64</v>
      </c>
      <c r="F248" s="7" t="s">
        <v>49</v>
      </c>
      <c r="G248" s="7" t="s">
        <v>15</v>
      </c>
      <c r="H248" s="9" t="s">
        <v>633</v>
      </c>
      <c r="I248" s="9" t="s">
        <v>37</v>
      </c>
      <c r="J248" s="7" t="s">
        <v>37</v>
      </c>
      <c r="K248" s="9" t="s">
        <v>623</v>
      </c>
      <c r="L248" s="10">
        <v>10650</v>
      </c>
      <c r="M248" s="1" t="s">
        <v>18</v>
      </c>
    </row>
    <row r="249" spans="1:13" x14ac:dyDescent="0.25">
      <c r="A249" s="6" t="s">
        <v>682</v>
      </c>
      <c r="B249" s="12">
        <v>2012620</v>
      </c>
      <c r="C249" s="13">
        <v>102835</v>
      </c>
      <c r="D249" s="12" t="s">
        <v>686</v>
      </c>
      <c r="E249" s="14">
        <v>64</v>
      </c>
      <c r="F249" s="12" t="s">
        <v>49</v>
      </c>
      <c r="G249" s="12" t="s">
        <v>15</v>
      </c>
      <c r="H249" s="12" t="s">
        <v>633</v>
      </c>
      <c r="I249" s="14" t="s">
        <v>79</v>
      </c>
      <c r="J249" s="14" t="s">
        <v>79</v>
      </c>
      <c r="K249" s="12" t="s">
        <v>623</v>
      </c>
      <c r="L249" s="15">
        <v>10650</v>
      </c>
      <c r="M249" s="1" t="s">
        <v>18</v>
      </c>
    </row>
    <row r="250" spans="1:13" x14ac:dyDescent="0.25">
      <c r="A250" s="6" t="s">
        <v>682</v>
      </c>
      <c r="B250" s="21">
        <v>2012620</v>
      </c>
      <c r="C250" s="22">
        <v>102835</v>
      </c>
      <c r="D250" s="21" t="s">
        <v>685</v>
      </c>
      <c r="E250" s="21">
        <v>64</v>
      </c>
      <c r="F250" s="21" t="s">
        <v>49</v>
      </c>
      <c r="G250" s="21" t="s">
        <v>15</v>
      </c>
      <c r="H250" s="21" t="s">
        <v>633</v>
      </c>
      <c r="I250" s="21" t="s">
        <v>99</v>
      </c>
      <c r="J250" s="21" t="s">
        <v>99</v>
      </c>
      <c r="K250" s="21" t="s">
        <v>623</v>
      </c>
      <c r="L250" s="23">
        <v>10650</v>
      </c>
      <c r="M250" s="1" t="s">
        <v>18</v>
      </c>
    </row>
    <row r="251" spans="1:13" x14ac:dyDescent="0.25">
      <c r="A251" s="6" t="s">
        <v>682</v>
      </c>
      <c r="B251" s="12">
        <v>2012620</v>
      </c>
      <c r="C251" s="13">
        <v>102835</v>
      </c>
      <c r="D251" s="12" t="s">
        <v>685</v>
      </c>
      <c r="E251" s="14">
        <v>64</v>
      </c>
      <c r="F251" s="12" t="s">
        <v>49</v>
      </c>
      <c r="G251" s="12" t="s">
        <v>15</v>
      </c>
      <c r="H251" s="12" t="s">
        <v>514</v>
      </c>
      <c r="I251" s="14" t="s">
        <v>67</v>
      </c>
      <c r="J251" s="14" t="s">
        <v>67</v>
      </c>
      <c r="K251" s="12" t="s">
        <v>623</v>
      </c>
      <c r="L251" s="15">
        <v>10650</v>
      </c>
      <c r="M251" s="1" t="s">
        <v>18</v>
      </c>
    </row>
    <row r="252" spans="1:13" x14ac:dyDescent="0.25">
      <c r="A252" s="6" t="s">
        <v>682</v>
      </c>
      <c r="B252" s="12">
        <v>2012620</v>
      </c>
      <c r="C252" s="13">
        <v>102835</v>
      </c>
      <c r="D252" s="12" t="s">
        <v>685</v>
      </c>
      <c r="E252" s="14">
        <v>64</v>
      </c>
      <c r="F252" s="12" t="s">
        <v>49</v>
      </c>
      <c r="G252" s="12" t="s">
        <v>15</v>
      </c>
      <c r="H252" s="12" t="s">
        <v>633</v>
      </c>
      <c r="I252" s="14" t="s">
        <v>108</v>
      </c>
      <c r="J252" s="14" t="s">
        <v>108</v>
      </c>
      <c r="K252" s="12" t="s">
        <v>623</v>
      </c>
      <c r="L252" s="15">
        <v>10650</v>
      </c>
      <c r="M252" s="1" t="s">
        <v>18</v>
      </c>
    </row>
    <row r="253" spans="1:13" x14ac:dyDescent="0.25">
      <c r="A253" s="6" t="s">
        <v>687</v>
      </c>
      <c r="B253" s="9">
        <v>2001404</v>
      </c>
      <c r="C253" s="17">
        <v>37163</v>
      </c>
      <c r="D253" s="9" t="s">
        <v>688</v>
      </c>
      <c r="E253" s="9">
        <v>63</v>
      </c>
      <c r="F253" s="9" t="s">
        <v>126</v>
      </c>
      <c r="G253" s="9" t="s">
        <v>664</v>
      </c>
      <c r="H253" s="9" t="s">
        <v>689</v>
      </c>
      <c r="I253" s="3" t="s">
        <v>121</v>
      </c>
      <c r="J253" s="3" t="s">
        <v>121</v>
      </c>
      <c r="K253" s="3" t="s">
        <v>623</v>
      </c>
      <c r="L253" s="18">
        <v>13000</v>
      </c>
      <c r="M253" s="1" t="s">
        <v>18</v>
      </c>
    </row>
    <row r="254" spans="1:13" x14ac:dyDescent="0.25">
      <c r="A254" s="6" t="s">
        <v>687</v>
      </c>
      <c r="B254" s="12">
        <v>2001404</v>
      </c>
      <c r="C254" s="13">
        <v>37163</v>
      </c>
      <c r="D254" s="12" t="s">
        <v>688</v>
      </c>
      <c r="E254" s="14">
        <v>63</v>
      </c>
      <c r="F254" s="12" t="s">
        <v>60</v>
      </c>
      <c r="G254" s="12" t="s">
        <v>22</v>
      </c>
      <c r="H254" s="12" t="s">
        <v>514</v>
      </c>
      <c r="I254" s="14" t="s">
        <v>62</v>
      </c>
      <c r="J254" s="14" t="s">
        <v>62</v>
      </c>
      <c r="K254" s="12" t="s">
        <v>623</v>
      </c>
      <c r="L254" s="15">
        <v>13000</v>
      </c>
      <c r="M254" s="1" t="s">
        <v>18</v>
      </c>
    </row>
    <row r="255" spans="1:13" ht="33.75" x14ac:dyDescent="0.25">
      <c r="A255" s="11" t="s">
        <v>544</v>
      </c>
      <c r="B255" s="12">
        <v>2001034</v>
      </c>
      <c r="C255" s="13">
        <v>20567</v>
      </c>
      <c r="D255" s="12" t="s">
        <v>690</v>
      </c>
      <c r="E255" s="14">
        <v>76</v>
      </c>
      <c r="F255" s="12" t="s">
        <v>60</v>
      </c>
      <c r="G255" s="12" t="s">
        <v>22</v>
      </c>
      <c r="H255" s="12" t="s">
        <v>691</v>
      </c>
      <c r="I255" s="14" t="s">
        <v>692</v>
      </c>
      <c r="J255" s="14" t="s">
        <v>31</v>
      </c>
      <c r="K255" s="12" t="s">
        <v>623</v>
      </c>
      <c r="L255" s="15">
        <v>12150</v>
      </c>
      <c r="M255" s="1" t="s">
        <v>18</v>
      </c>
    </row>
    <row r="256" spans="1:13" ht="33.75" x14ac:dyDescent="0.25">
      <c r="A256" s="11" t="s">
        <v>544</v>
      </c>
      <c r="B256" s="12">
        <v>2003908</v>
      </c>
      <c r="C256" s="13">
        <v>15158</v>
      </c>
      <c r="D256" s="12" t="s">
        <v>693</v>
      </c>
      <c r="E256" s="14">
        <v>65</v>
      </c>
      <c r="F256" s="12" t="s">
        <v>60</v>
      </c>
      <c r="G256" s="12" t="s">
        <v>22</v>
      </c>
      <c r="H256" s="12" t="s">
        <v>514</v>
      </c>
      <c r="I256" s="14" t="s">
        <v>215</v>
      </c>
      <c r="J256" s="14" t="s">
        <v>94</v>
      </c>
      <c r="K256" s="12" t="s">
        <v>623</v>
      </c>
      <c r="L256" s="15">
        <v>268400</v>
      </c>
      <c r="M256" s="1" t="s">
        <v>18</v>
      </c>
    </row>
    <row r="257" spans="1:13" ht="33.75" x14ac:dyDescent="0.25">
      <c r="A257" s="6" t="s">
        <v>373</v>
      </c>
      <c r="B257" s="21">
        <v>2011198</v>
      </c>
      <c r="C257" s="13">
        <v>18587</v>
      </c>
      <c r="D257" s="21" t="s">
        <v>694</v>
      </c>
      <c r="E257" s="21">
        <v>75</v>
      </c>
      <c r="F257" s="21" t="s">
        <v>60</v>
      </c>
      <c r="G257" s="21" t="s">
        <v>22</v>
      </c>
      <c r="H257" s="21" t="s">
        <v>514</v>
      </c>
      <c r="I257" s="21" t="s">
        <v>695</v>
      </c>
      <c r="J257" s="21" t="s">
        <v>78</v>
      </c>
      <c r="K257" s="9" t="s">
        <v>623</v>
      </c>
      <c r="L257" s="23">
        <v>33140</v>
      </c>
      <c r="M257" s="1" t="s">
        <v>18</v>
      </c>
    </row>
    <row r="258" spans="1:13" x14ac:dyDescent="0.25">
      <c r="A258" s="33" t="s">
        <v>696</v>
      </c>
      <c r="B258" s="27">
        <v>2001823</v>
      </c>
      <c r="C258" s="34">
        <v>10576</v>
      </c>
      <c r="D258" s="27" t="s">
        <v>630</v>
      </c>
      <c r="E258" s="27">
        <v>72</v>
      </c>
      <c r="F258" s="27" t="s">
        <v>60</v>
      </c>
      <c r="G258" s="27" t="s">
        <v>22</v>
      </c>
      <c r="H258" s="27" t="s">
        <v>514</v>
      </c>
      <c r="I258" s="27" t="s">
        <v>289</v>
      </c>
      <c r="J258" s="27" t="s">
        <v>289</v>
      </c>
      <c r="K258" s="34" t="s">
        <v>623</v>
      </c>
      <c r="L258" s="28">
        <v>10650</v>
      </c>
      <c r="M258" s="1" t="s">
        <v>18</v>
      </c>
    </row>
    <row r="259" spans="1:13" x14ac:dyDescent="0.25">
      <c r="A259" s="33" t="s">
        <v>697</v>
      </c>
      <c r="B259" s="27">
        <v>2019634</v>
      </c>
      <c r="C259" s="34">
        <v>42684</v>
      </c>
      <c r="D259" s="27" t="s">
        <v>698</v>
      </c>
      <c r="E259" s="27">
        <v>69</v>
      </c>
      <c r="F259" s="27" t="s">
        <v>60</v>
      </c>
      <c r="G259" s="27" t="s">
        <v>15</v>
      </c>
      <c r="H259" s="27" t="s">
        <v>699</v>
      </c>
      <c r="I259" s="27" t="s">
        <v>289</v>
      </c>
      <c r="J259" s="27" t="s">
        <v>289</v>
      </c>
      <c r="K259" s="34" t="s">
        <v>623</v>
      </c>
      <c r="L259" s="31">
        <v>10650</v>
      </c>
      <c r="M259" s="1" t="s">
        <v>18</v>
      </c>
    </row>
    <row r="260" spans="1:13" x14ac:dyDescent="0.25">
      <c r="A260" s="33" t="s">
        <v>700</v>
      </c>
      <c r="B260" s="27">
        <v>2001893</v>
      </c>
      <c r="C260" s="34">
        <v>9046</v>
      </c>
      <c r="D260" s="27" t="s">
        <v>625</v>
      </c>
      <c r="E260" s="27">
        <v>69</v>
      </c>
      <c r="F260" s="27" t="s">
        <v>60</v>
      </c>
      <c r="G260" s="27" t="s">
        <v>22</v>
      </c>
      <c r="H260" s="27" t="s">
        <v>514</v>
      </c>
      <c r="I260" s="27" t="s">
        <v>190</v>
      </c>
      <c r="J260" s="27" t="s">
        <v>190</v>
      </c>
      <c r="K260" s="34" t="s">
        <v>623</v>
      </c>
      <c r="L260" s="28">
        <v>9500</v>
      </c>
      <c r="M260" s="1" t="s">
        <v>18</v>
      </c>
    </row>
    <row r="261" spans="1:13" x14ac:dyDescent="0.25">
      <c r="A261" s="33" t="s">
        <v>701</v>
      </c>
      <c r="B261" s="27">
        <v>2001404</v>
      </c>
      <c r="C261" s="34">
        <v>37163</v>
      </c>
      <c r="D261" s="27" t="s">
        <v>688</v>
      </c>
      <c r="E261" s="27">
        <v>63</v>
      </c>
      <c r="F261" s="27" t="s">
        <v>60</v>
      </c>
      <c r="G261" s="27" t="s">
        <v>22</v>
      </c>
      <c r="H261" s="27" t="s">
        <v>514</v>
      </c>
      <c r="I261" s="27" t="s">
        <v>190</v>
      </c>
      <c r="J261" s="27" t="s">
        <v>190</v>
      </c>
      <c r="K261" s="34" t="s">
        <v>623</v>
      </c>
      <c r="L261" s="28">
        <v>13000</v>
      </c>
      <c r="M261" s="1" t="s">
        <v>18</v>
      </c>
    </row>
    <row r="262" spans="1:13" x14ac:dyDescent="0.25">
      <c r="A262" s="2" t="s">
        <v>12</v>
      </c>
      <c r="B262" s="12">
        <v>2001893</v>
      </c>
      <c r="C262" s="13">
        <v>9046</v>
      </c>
      <c r="D262" s="12" t="s">
        <v>625</v>
      </c>
      <c r="E262" s="14">
        <v>69</v>
      </c>
      <c r="F262" s="12" t="s">
        <v>126</v>
      </c>
      <c r="G262" s="12" t="s">
        <v>664</v>
      </c>
      <c r="H262" s="12" t="s">
        <v>514</v>
      </c>
      <c r="I262" s="14" t="s">
        <v>95</v>
      </c>
      <c r="J262" s="14" t="s">
        <v>95</v>
      </c>
      <c r="K262" s="12" t="s">
        <v>702</v>
      </c>
      <c r="L262" s="15">
        <v>9500</v>
      </c>
      <c r="M262" s="1" t="s">
        <v>18</v>
      </c>
    </row>
    <row r="263" spans="1:13" x14ac:dyDescent="0.25">
      <c r="A263" s="6" t="s">
        <v>142</v>
      </c>
      <c r="B263" s="12">
        <v>2017509</v>
      </c>
      <c r="C263" s="13">
        <v>19309</v>
      </c>
      <c r="D263" s="12" t="s">
        <v>703</v>
      </c>
      <c r="E263" s="14">
        <v>63</v>
      </c>
      <c r="F263" s="12" t="s">
        <v>126</v>
      </c>
      <c r="G263" s="12" t="s">
        <v>664</v>
      </c>
      <c r="H263" s="12" t="s">
        <v>514</v>
      </c>
      <c r="I263" s="14" t="s">
        <v>95</v>
      </c>
      <c r="J263" s="14" t="s">
        <v>95</v>
      </c>
      <c r="K263" s="12" t="s">
        <v>702</v>
      </c>
      <c r="L263" s="15">
        <v>8500</v>
      </c>
      <c r="M263" s="1" t="s">
        <v>18</v>
      </c>
    </row>
    <row r="264" spans="1:13" ht="33.75" x14ac:dyDescent="0.25">
      <c r="A264" s="11" t="s">
        <v>704</v>
      </c>
      <c r="B264" s="12">
        <v>2020130</v>
      </c>
      <c r="C264" s="13">
        <v>102621</v>
      </c>
      <c r="D264" s="12" t="s">
        <v>705</v>
      </c>
      <c r="E264" s="14">
        <v>58</v>
      </c>
      <c r="F264" s="12" t="s">
        <v>14</v>
      </c>
      <c r="G264" s="12" t="s">
        <v>706</v>
      </c>
      <c r="H264" s="12" t="s">
        <v>707</v>
      </c>
      <c r="I264" s="14" t="s">
        <v>708</v>
      </c>
      <c r="J264" s="14" t="s">
        <v>95</v>
      </c>
      <c r="K264" s="12" t="s">
        <v>709</v>
      </c>
      <c r="L264" s="15">
        <v>164586</v>
      </c>
      <c r="M264" s="1" t="s">
        <v>18</v>
      </c>
    </row>
    <row r="265" spans="1:13" ht="22.5" x14ac:dyDescent="0.25">
      <c r="A265" s="11" t="s">
        <v>710</v>
      </c>
      <c r="B265" s="12">
        <v>2002469</v>
      </c>
      <c r="C265" s="13">
        <v>18127</v>
      </c>
      <c r="D265" s="12" t="s">
        <v>711</v>
      </c>
      <c r="E265" s="14">
        <v>22</v>
      </c>
      <c r="F265" s="12" t="s">
        <v>49</v>
      </c>
      <c r="G265" s="12" t="s">
        <v>22</v>
      </c>
      <c r="H265" s="12" t="s">
        <v>712</v>
      </c>
      <c r="I265" s="14" t="s">
        <v>713</v>
      </c>
      <c r="J265" s="14" t="s">
        <v>99</v>
      </c>
      <c r="K265" s="12" t="s">
        <v>714</v>
      </c>
      <c r="L265" s="15">
        <v>79150</v>
      </c>
      <c r="M265" s="1" t="s">
        <v>18</v>
      </c>
    </row>
    <row r="266" spans="1:13" ht="22.5" x14ac:dyDescent="0.25">
      <c r="A266" s="19" t="s">
        <v>86</v>
      </c>
      <c r="B266" s="7">
        <v>2022237</v>
      </c>
      <c r="C266" s="8">
        <v>56585</v>
      </c>
      <c r="D266" s="29" t="s">
        <v>715</v>
      </c>
      <c r="E266" s="40">
        <v>62</v>
      </c>
      <c r="F266" s="40" t="s">
        <v>126</v>
      </c>
      <c r="G266" s="40" t="s">
        <v>22</v>
      </c>
      <c r="H266" s="29" t="s">
        <v>445</v>
      </c>
      <c r="I266" s="29" t="s">
        <v>25</v>
      </c>
      <c r="J266" s="40" t="s">
        <v>25</v>
      </c>
      <c r="K266" s="9" t="s">
        <v>714</v>
      </c>
      <c r="L266" s="10">
        <v>77419.8</v>
      </c>
      <c r="M266" s="1" t="s">
        <v>18</v>
      </c>
    </row>
    <row r="267" spans="1:13" x14ac:dyDescent="0.25">
      <c r="A267" s="19" t="s">
        <v>86</v>
      </c>
      <c r="B267" s="12">
        <v>2001788</v>
      </c>
      <c r="C267" s="13">
        <v>18367</v>
      </c>
      <c r="D267" s="12" t="s">
        <v>716</v>
      </c>
      <c r="E267" s="14">
        <v>66</v>
      </c>
      <c r="F267" s="12" t="s">
        <v>60</v>
      </c>
      <c r="G267" s="12" t="s">
        <v>22</v>
      </c>
      <c r="H267" s="12" t="s">
        <v>445</v>
      </c>
      <c r="I267" s="14" t="s">
        <v>31</v>
      </c>
      <c r="J267" s="14" t="s">
        <v>31</v>
      </c>
      <c r="K267" s="12" t="s">
        <v>714</v>
      </c>
      <c r="L267" s="15">
        <v>231101</v>
      </c>
      <c r="M267" s="1" t="s">
        <v>18</v>
      </c>
    </row>
    <row r="268" spans="1:13" x14ac:dyDescent="0.25">
      <c r="A268" s="2" t="s">
        <v>309</v>
      </c>
      <c r="B268" s="3">
        <v>2014720</v>
      </c>
      <c r="C268" s="4">
        <v>37099</v>
      </c>
      <c r="D268" s="3" t="s">
        <v>717</v>
      </c>
      <c r="E268" s="3">
        <v>67</v>
      </c>
      <c r="F268" s="3" t="s">
        <v>14</v>
      </c>
      <c r="G268" s="3" t="s">
        <v>15</v>
      </c>
      <c r="H268" s="3" t="s">
        <v>718</v>
      </c>
      <c r="I268" s="3" t="s">
        <v>121</v>
      </c>
      <c r="J268" s="3" t="s">
        <v>121</v>
      </c>
      <c r="K268" s="9" t="s">
        <v>714</v>
      </c>
      <c r="L268" s="5">
        <v>50527.98</v>
      </c>
      <c r="M268" s="1" t="s">
        <v>18</v>
      </c>
    </row>
    <row r="269" spans="1:13" x14ac:dyDescent="0.25">
      <c r="A269" s="2" t="s">
        <v>309</v>
      </c>
      <c r="B269" s="7">
        <v>2014720</v>
      </c>
      <c r="C269" s="8">
        <v>37099</v>
      </c>
      <c r="D269" s="9" t="s">
        <v>719</v>
      </c>
      <c r="E269" s="7">
        <v>67</v>
      </c>
      <c r="F269" s="7" t="s">
        <v>49</v>
      </c>
      <c r="G269" s="7" t="s">
        <v>15</v>
      </c>
      <c r="H269" s="9" t="s">
        <v>720</v>
      </c>
      <c r="I269" s="9" t="s">
        <v>42</v>
      </c>
      <c r="J269" s="7" t="s">
        <v>42</v>
      </c>
      <c r="K269" s="9" t="s">
        <v>714</v>
      </c>
      <c r="L269" s="10">
        <v>37583.53</v>
      </c>
      <c r="M269" s="1" t="s">
        <v>18</v>
      </c>
    </row>
    <row r="270" spans="1:13" x14ac:dyDescent="0.25">
      <c r="A270" s="2" t="s">
        <v>309</v>
      </c>
      <c r="B270" s="7">
        <v>2410079</v>
      </c>
      <c r="C270" s="8">
        <v>53742</v>
      </c>
      <c r="D270" s="9" t="s">
        <v>721</v>
      </c>
      <c r="E270" s="7">
        <v>64</v>
      </c>
      <c r="F270" s="7" t="s">
        <v>60</v>
      </c>
      <c r="G270" s="7" t="s">
        <v>22</v>
      </c>
      <c r="H270" s="9" t="s">
        <v>445</v>
      </c>
      <c r="I270" s="9" t="s">
        <v>37</v>
      </c>
      <c r="J270" s="7" t="s">
        <v>37</v>
      </c>
      <c r="K270" s="9" t="s">
        <v>714</v>
      </c>
      <c r="L270" s="10">
        <v>81382.73</v>
      </c>
      <c r="M270" s="1" t="s">
        <v>18</v>
      </c>
    </row>
    <row r="271" spans="1:13" x14ac:dyDescent="0.25">
      <c r="A271" s="2" t="s">
        <v>309</v>
      </c>
      <c r="B271" s="12">
        <v>2014720</v>
      </c>
      <c r="C271" s="13">
        <v>37099</v>
      </c>
      <c r="D271" s="12" t="s">
        <v>719</v>
      </c>
      <c r="E271" s="14">
        <v>67</v>
      </c>
      <c r="F271" s="12" t="s">
        <v>49</v>
      </c>
      <c r="G271" s="12" t="s">
        <v>15</v>
      </c>
      <c r="H271" s="12" t="s">
        <v>722</v>
      </c>
      <c r="I271" s="14" t="s">
        <v>95</v>
      </c>
      <c r="J271" s="14" t="s">
        <v>95</v>
      </c>
      <c r="K271" s="12" t="s">
        <v>714</v>
      </c>
      <c r="L271" s="15">
        <v>49029.56</v>
      </c>
      <c r="M271" s="1" t="s">
        <v>18</v>
      </c>
    </row>
    <row r="272" spans="1:13" x14ac:dyDescent="0.25">
      <c r="A272" s="2" t="s">
        <v>309</v>
      </c>
      <c r="B272" s="12">
        <v>2014720</v>
      </c>
      <c r="C272" s="13">
        <v>37099</v>
      </c>
      <c r="D272" s="12" t="s">
        <v>719</v>
      </c>
      <c r="E272" s="14">
        <v>67</v>
      </c>
      <c r="F272" s="12" t="s">
        <v>49</v>
      </c>
      <c r="G272" s="12" t="s">
        <v>15</v>
      </c>
      <c r="H272" s="12" t="s">
        <v>720</v>
      </c>
      <c r="I272" s="14" t="s">
        <v>85</v>
      </c>
      <c r="J272" s="14" t="s">
        <v>85</v>
      </c>
      <c r="K272" s="12" t="s">
        <v>714</v>
      </c>
      <c r="L272" s="15">
        <v>37347.040000000001</v>
      </c>
      <c r="M272" s="1" t="s">
        <v>18</v>
      </c>
    </row>
    <row r="273" spans="1:13" x14ac:dyDescent="0.25">
      <c r="A273" s="6" t="s">
        <v>19</v>
      </c>
      <c r="B273" s="21">
        <v>2017825</v>
      </c>
      <c r="C273" s="13">
        <v>54844</v>
      </c>
      <c r="D273" s="21" t="s">
        <v>723</v>
      </c>
      <c r="E273" s="21">
        <v>66</v>
      </c>
      <c r="F273" s="21" t="s">
        <v>60</v>
      </c>
      <c r="G273" s="21" t="s">
        <v>22</v>
      </c>
      <c r="H273" s="21" t="s">
        <v>724</v>
      </c>
      <c r="I273" s="21" t="s">
        <v>78</v>
      </c>
      <c r="J273" s="21" t="s">
        <v>78</v>
      </c>
      <c r="K273" s="9" t="s">
        <v>714</v>
      </c>
      <c r="L273" s="23">
        <v>140578.70000000001</v>
      </c>
      <c r="M273" s="1" t="s">
        <v>18</v>
      </c>
    </row>
    <row r="274" spans="1:13" x14ac:dyDescent="0.25">
      <c r="A274" s="6" t="s">
        <v>19</v>
      </c>
      <c r="B274" s="12">
        <v>2001971</v>
      </c>
      <c r="C274" s="13">
        <v>12324</v>
      </c>
      <c r="D274" s="12" t="s">
        <v>725</v>
      </c>
      <c r="E274" s="14"/>
      <c r="F274" s="12" t="s">
        <v>60</v>
      </c>
      <c r="G274" s="12" t="s">
        <v>22</v>
      </c>
      <c r="H274" s="12" t="s">
        <v>445</v>
      </c>
      <c r="I274" s="14" t="s">
        <v>85</v>
      </c>
      <c r="J274" s="14" t="s">
        <v>85</v>
      </c>
      <c r="K274" s="12" t="s">
        <v>714</v>
      </c>
      <c r="L274" s="15">
        <v>93029.3</v>
      </c>
      <c r="M274" s="1" t="s">
        <v>18</v>
      </c>
    </row>
    <row r="275" spans="1:13" x14ac:dyDescent="0.25">
      <c r="A275" s="6" t="s">
        <v>726</v>
      </c>
      <c r="B275" s="7">
        <v>2001033</v>
      </c>
      <c r="C275" s="8">
        <v>17150</v>
      </c>
      <c r="D275" s="9" t="s">
        <v>727</v>
      </c>
      <c r="E275" s="7">
        <v>85</v>
      </c>
      <c r="F275" s="7" t="s">
        <v>60</v>
      </c>
      <c r="G275" s="7" t="s">
        <v>22</v>
      </c>
      <c r="H275" s="9" t="s">
        <v>728</v>
      </c>
      <c r="I275" s="9" t="s">
        <v>36</v>
      </c>
      <c r="J275" s="7" t="s">
        <v>36</v>
      </c>
      <c r="K275" s="9" t="s">
        <v>714</v>
      </c>
      <c r="L275" s="10">
        <v>319900</v>
      </c>
      <c r="M275" s="1" t="s">
        <v>18</v>
      </c>
    </row>
    <row r="276" spans="1:13" x14ac:dyDescent="0.25">
      <c r="A276" s="6" t="s">
        <v>726</v>
      </c>
      <c r="B276" s="12">
        <v>2007072</v>
      </c>
      <c r="C276" s="13">
        <v>20611</v>
      </c>
      <c r="D276" s="12" t="s">
        <v>729</v>
      </c>
      <c r="E276" s="14">
        <v>66</v>
      </c>
      <c r="F276" s="12" t="s">
        <v>49</v>
      </c>
      <c r="G276" s="12" t="s">
        <v>15</v>
      </c>
      <c r="H276" s="12" t="s">
        <v>730</v>
      </c>
      <c r="I276" s="14" t="s">
        <v>94</v>
      </c>
      <c r="J276" s="14" t="s">
        <v>94</v>
      </c>
      <c r="K276" s="12" t="s">
        <v>714</v>
      </c>
      <c r="L276" s="15">
        <v>65600</v>
      </c>
      <c r="M276" s="1" t="s">
        <v>18</v>
      </c>
    </row>
    <row r="277" spans="1:13" x14ac:dyDescent="0.25">
      <c r="A277" s="6" t="s">
        <v>726</v>
      </c>
      <c r="B277" s="12">
        <v>2018773</v>
      </c>
      <c r="C277" s="13">
        <v>21046</v>
      </c>
      <c r="D277" s="12" t="s">
        <v>731</v>
      </c>
      <c r="E277" s="14">
        <v>58</v>
      </c>
      <c r="F277" s="12" t="s">
        <v>60</v>
      </c>
      <c r="G277" s="12" t="s">
        <v>22</v>
      </c>
      <c r="H277" s="12" t="s">
        <v>445</v>
      </c>
      <c r="I277" s="14" t="s">
        <v>79</v>
      </c>
      <c r="J277" s="14" t="s">
        <v>79</v>
      </c>
      <c r="K277" s="12" t="s">
        <v>714</v>
      </c>
      <c r="L277" s="15">
        <v>52177</v>
      </c>
      <c r="M277" s="1" t="s">
        <v>18</v>
      </c>
    </row>
    <row r="278" spans="1:13" ht="33.75" x14ac:dyDescent="0.25">
      <c r="A278" s="11" t="s">
        <v>732</v>
      </c>
      <c r="B278" s="12">
        <v>2001247</v>
      </c>
      <c r="C278" s="13">
        <v>102797</v>
      </c>
      <c r="D278" s="12" t="s">
        <v>733</v>
      </c>
      <c r="E278" s="14">
        <v>66</v>
      </c>
      <c r="F278" s="12" t="s">
        <v>60</v>
      </c>
      <c r="G278" s="12" t="s">
        <v>22</v>
      </c>
      <c r="H278" s="12" t="s">
        <v>445</v>
      </c>
      <c r="I278" s="14" t="s">
        <v>734</v>
      </c>
      <c r="J278" s="14" t="s">
        <v>85</v>
      </c>
      <c r="K278" s="12" t="s">
        <v>714</v>
      </c>
      <c r="L278" s="15">
        <v>37000</v>
      </c>
      <c r="M278" s="1" t="s">
        <v>18</v>
      </c>
    </row>
    <row r="279" spans="1:13" x14ac:dyDescent="0.25">
      <c r="A279" s="6" t="s">
        <v>38</v>
      </c>
      <c r="B279" s="12">
        <v>2002006</v>
      </c>
      <c r="C279" s="13">
        <v>14768</v>
      </c>
      <c r="D279" s="12" t="s">
        <v>735</v>
      </c>
      <c r="E279" s="14">
        <v>68</v>
      </c>
      <c r="F279" s="12" t="s">
        <v>60</v>
      </c>
      <c r="G279" s="12" t="s">
        <v>22</v>
      </c>
      <c r="H279" s="12" t="s">
        <v>445</v>
      </c>
      <c r="I279" s="14" t="s">
        <v>94</v>
      </c>
      <c r="J279" s="14" t="s">
        <v>94</v>
      </c>
      <c r="K279" s="12" t="s">
        <v>714</v>
      </c>
      <c r="L279" s="15">
        <v>97857</v>
      </c>
      <c r="M279" s="1" t="s">
        <v>18</v>
      </c>
    </row>
    <row r="280" spans="1:13" x14ac:dyDescent="0.25">
      <c r="A280" s="6" t="s">
        <v>38</v>
      </c>
      <c r="B280" s="7">
        <v>2003647</v>
      </c>
      <c r="C280" s="8">
        <v>14902</v>
      </c>
      <c r="D280" s="9" t="s">
        <v>736</v>
      </c>
      <c r="E280" s="7">
        <v>65</v>
      </c>
      <c r="F280" s="7" t="s">
        <v>60</v>
      </c>
      <c r="G280" s="7" t="s">
        <v>22</v>
      </c>
      <c r="H280" s="9" t="s">
        <v>737</v>
      </c>
      <c r="I280" s="9" t="s">
        <v>36</v>
      </c>
      <c r="J280" s="7" t="s">
        <v>36</v>
      </c>
      <c r="K280" s="9" t="s">
        <v>714</v>
      </c>
      <c r="L280" s="10">
        <v>90856</v>
      </c>
      <c r="M280" s="1" t="s">
        <v>18</v>
      </c>
    </row>
    <row r="281" spans="1:13" x14ac:dyDescent="0.25">
      <c r="A281" s="6" t="s">
        <v>47</v>
      </c>
      <c r="B281" s="12">
        <v>2004095</v>
      </c>
      <c r="C281" s="13">
        <v>102642</v>
      </c>
      <c r="D281" s="12" t="s">
        <v>738</v>
      </c>
      <c r="E281" s="14">
        <v>65</v>
      </c>
      <c r="F281" s="12" t="s">
        <v>60</v>
      </c>
      <c r="G281" s="12" t="s">
        <v>22</v>
      </c>
      <c r="H281" s="12" t="s">
        <v>728</v>
      </c>
      <c r="I281" s="14" t="s">
        <v>31</v>
      </c>
      <c r="J281" s="14" t="s">
        <v>739</v>
      </c>
      <c r="K281" s="12" t="s">
        <v>714</v>
      </c>
      <c r="L281" s="15">
        <v>27194.5</v>
      </c>
      <c r="M281" s="1" t="s">
        <v>18</v>
      </c>
    </row>
    <row r="282" spans="1:13" x14ac:dyDescent="0.25">
      <c r="A282" s="6" t="s">
        <v>47</v>
      </c>
      <c r="B282" s="12">
        <v>2004095</v>
      </c>
      <c r="C282" s="13">
        <v>102642</v>
      </c>
      <c r="D282" s="12" t="s">
        <v>740</v>
      </c>
      <c r="E282" s="14">
        <v>65</v>
      </c>
      <c r="F282" s="12" t="s">
        <v>60</v>
      </c>
      <c r="G282" s="12" t="s">
        <v>22</v>
      </c>
      <c r="H282" s="12" t="s">
        <v>728</v>
      </c>
      <c r="I282" s="14" t="s">
        <v>108</v>
      </c>
      <c r="J282" s="14" t="s">
        <v>108</v>
      </c>
      <c r="K282" s="12" t="s">
        <v>714</v>
      </c>
      <c r="L282" s="15">
        <v>22091.11</v>
      </c>
      <c r="M282" s="1" t="s">
        <v>18</v>
      </c>
    </row>
    <row r="283" spans="1:13" x14ac:dyDescent="0.25">
      <c r="A283" s="6" t="s">
        <v>47</v>
      </c>
      <c r="B283" s="12">
        <v>2004095</v>
      </c>
      <c r="C283" s="13">
        <v>102642</v>
      </c>
      <c r="D283" s="12" t="s">
        <v>740</v>
      </c>
      <c r="E283" s="14">
        <v>65</v>
      </c>
      <c r="F283" s="12" t="s">
        <v>60</v>
      </c>
      <c r="G283" s="12" t="s">
        <v>22</v>
      </c>
      <c r="H283" s="12" t="s">
        <v>728</v>
      </c>
      <c r="I283" s="14" t="s">
        <v>85</v>
      </c>
      <c r="J283" s="14" t="s">
        <v>85</v>
      </c>
      <c r="K283" s="12" t="s">
        <v>714</v>
      </c>
      <c r="L283" s="15">
        <v>23435.67</v>
      </c>
      <c r="M283" s="1" t="s">
        <v>18</v>
      </c>
    </row>
    <row r="284" spans="1:13" x14ac:dyDescent="0.25">
      <c r="A284" s="6" t="s">
        <v>47</v>
      </c>
      <c r="B284" s="12">
        <v>2004095</v>
      </c>
      <c r="C284" s="13">
        <v>102642</v>
      </c>
      <c r="D284" s="12" t="s">
        <v>740</v>
      </c>
      <c r="E284" s="14">
        <v>65</v>
      </c>
      <c r="F284" s="12" t="s">
        <v>741</v>
      </c>
      <c r="G284" s="12" t="s">
        <v>22</v>
      </c>
      <c r="H284" s="12" t="s">
        <v>742</v>
      </c>
      <c r="I284" s="14" t="s">
        <v>193</v>
      </c>
      <c r="J284" s="14" t="s">
        <v>193</v>
      </c>
      <c r="K284" s="12" t="s">
        <v>714</v>
      </c>
      <c r="L284" s="15">
        <v>16160.17</v>
      </c>
      <c r="M284" s="1" t="s">
        <v>18</v>
      </c>
    </row>
    <row r="285" spans="1:13" x14ac:dyDescent="0.25">
      <c r="A285" s="6" t="s">
        <v>53</v>
      </c>
      <c r="B285" s="12">
        <v>2008867</v>
      </c>
      <c r="C285" s="13">
        <v>101493</v>
      </c>
      <c r="D285" s="12" t="s">
        <v>743</v>
      </c>
      <c r="E285" s="14">
        <v>62</v>
      </c>
      <c r="F285" s="12" t="s">
        <v>49</v>
      </c>
      <c r="G285" s="12" t="s">
        <v>15</v>
      </c>
      <c r="H285" s="12" t="s">
        <v>744</v>
      </c>
      <c r="I285" s="14" t="s">
        <v>193</v>
      </c>
      <c r="J285" s="14" t="s">
        <v>193</v>
      </c>
      <c r="K285" s="12" t="s">
        <v>714</v>
      </c>
      <c r="L285" s="15">
        <v>24526.6</v>
      </c>
      <c r="M285" s="1" t="s">
        <v>18</v>
      </c>
    </row>
    <row r="286" spans="1:13" x14ac:dyDescent="0.25">
      <c r="A286" s="6" t="s">
        <v>53</v>
      </c>
      <c r="B286" s="12">
        <v>2011016</v>
      </c>
      <c r="C286" s="13">
        <v>18256</v>
      </c>
      <c r="D286" s="12" t="s">
        <v>745</v>
      </c>
      <c r="E286" s="14">
        <v>65</v>
      </c>
      <c r="F286" s="12" t="s">
        <v>746</v>
      </c>
      <c r="G286" s="12" t="s">
        <v>22</v>
      </c>
      <c r="H286" s="12" t="s">
        <v>720</v>
      </c>
      <c r="I286" s="14" t="s">
        <v>193</v>
      </c>
      <c r="J286" s="14" t="s">
        <v>193</v>
      </c>
      <c r="K286" s="12" t="s">
        <v>714</v>
      </c>
      <c r="L286" s="15">
        <v>5481</v>
      </c>
      <c r="M286" s="1" t="s">
        <v>18</v>
      </c>
    </row>
    <row r="287" spans="1:13" x14ac:dyDescent="0.25">
      <c r="A287" s="11" t="s">
        <v>274</v>
      </c>
      <c r="B287" s="21">
        <v>2407151</v>
      </c>
      <c r="C287" s="22">
        <v>60104</v>
      </c>
      <c r="D287" s="21" t="s">
        <v>747</v>
      </c>
      <c r="E287" s="21">
        <v>59</v>
      </c>
      <c r="F287" s="21" t="s">
        <v>60</v>
      </c>
      <c r="G287" s="21" t="s">
        <v>22</v>
      </c>
      <c r="H287" s="21" t="s">
        <v>633</v>
      </c>
      <c r="I287" s="21" t="s">
        <v>99</v>
      </c>
      <c r="J287" s="21" t="s">
        <v>99</v>
      </c>
      <c r="K287" s="22" t="s">
        <v>623</v>
      </c>
      <c r="L287" s="23">
        <v>9025</v>
      </c>
      <c r="M287" s="1" t="s">
        <v>18</v>
      </c>
    </row>
    <row r="288" spans="1:13" x14ac:dyDescent="0.25">
      <c r="A288" s="11" t="s">
        <v>274</v>
      </c>
      <c r="B288" s="12">
        <v>2405040</v>
      </c>
      <c r="C288" s="13">
        <v>31911</v>
      </c>
      <c r="D288" s="12" t="s">
        <v>681</v>
      </c>
      <c r="E288" s="14">
        <v>63</v>
      </c>
      <c r="F288" s="12" t="s">
        <v>60</v>
      </c>
      <c r="G288" s="12" t="s">
        <v>22</v>
      </c>
      <c r="H288" s="12" t="s">
        <v>633</v>
      </c>
      <c r="I288" s="14" t="s">
        <v>193</v>
      </c>
      <c r="J288" s="14" t="s">
        <v>748</v>
      </c>
      <c r="K288" s="13" t="s">
        <v>623</v>
      </c>
      <c r="L288" s="15">
        <v>9025</v>
      </c>
      <c r="M288" s="1" t="s">
        <v>18</v>
      </c>
    </row>
    <row r="289" spans="1:13" x14ac:dyDescent="0.25">
      <c r="A289" s="24" t="s">
        <v>456</v>
      </c>
      <c r="B289" s="27">
        <v>2010871</v>
      </c>
      <c r="C289" s="34">
        <v>56685</v>
      </c>
      <c r="D289" s="27" t="s">
        <v>679</v>
      </c>
      <c r="E289" s="25">
        <v>63</v>
      </c>
      <c r="F289" s="25" t="s">
        <v>60</v>
      </c>
      <c r="G289" s="25" t="s">
        <v>22</v>
      </c>
      <c r="H289" s="25" t="s">
        <v>514</v>
      </c>
      <c r="I289" s="25" t="s">
        <v>289</v>
      </c>
      <c r="J289" s="27" t="s">
        <v>289</v>
      </c>
      <c r="K289" s="26" t="s">
        <v>623</v>
      </c>
      <c r="L289" s="28">
        <v>9025</v>
      </c>
      <c r="M289" s="1" t="s">
        <v>18</v>
      </c>
    </row>
    <row r="290" spans="1:13" x14ac:dyDescent="0.25">
      <c r="A290" s="6" t="s">
        <v>53</v>
      </c>
      <c r="B290" s="12">
        <v>2007795</v>
      </c>
      <c r="C290" s="13">
        <v>15404</v>
      </c>
      <c r="D290" s="12" t="s">
        <v>749</v>
      </c>
      <c r="E290" s="14">
        <v>63</v>
      </c>
      <c r="F290" s="12" t="s">
        <v>49</v>
      </c>
      <c r="G290" s="12" t="s">
        <v>15</v>
      </c>
      <c r="H290" s="12" t="s">
        <v>750</v>
      </c>
      <c r="I290" s="14" t="s">
        <v>95</v>
      </c>
      <c r="J290" s="14" t="s">
        <v>95</v>
      </c>
      <c r="K290" s="12" t="s">
        <v>714</v>
      </c>
      <c r="L290" s="15">
        <v>486113.12</v>
      </c>
      <c r="M290" s="1" t="s">
        <v>18</v>
      </c>
    </row>
    <row r="291" spans="1:13" x14ac:dyDescent="0.25">
      <c r="A291" s="6" t="s">
        <v>53</v>
      </c>
      <c r="B291" s="7">
        <v>2008867</v>
      </c>
      <c r="C291" s="8">
        <v>101493</v>
      </c>
      <c r="D291" s="9" t="s">
        <v>743</v>
      </c>
      <c r="E291" s="7">
        <v>62</v>
      </c>
      <c r="F291" s="7" t="s">
        <v>49</v>
      </c>
      <c r="G291" s="7" t="s">
        <v>15</v>
      </c>
      <c r="H291" s="9" t="s">
        <v>744</v>
      </c>
      <c r="I291" s="9" t="s">
        <v>57</v>
      </c>
      <c r="J291" s="7" t="s">
        <v>57</v>
      </c>
      <c r="K291" s="9" t="s">
        <v>714</v>
      </c>
      <c r="L291" s="10">
        <v>364643</v>
      </c>
      <c r="M291" s="1" t="s">
        <v>18</v>
      </c>
    </row>
    <row r="292" spans="1:13" x14ac:dyDescent="0.25">
      <c r="A292" s="6" t="s">
        <v>53</v>
      </c>
      <c r="B292" s="9">
        <v>2502192</v>
      </c>
      <c r="C292" s="8">
        <v>104817</v>
      </c>
      <c r="D292" s="29" t="s">
        <v>751</v>
      </c>
      <c r="E292" s="29">
        <v>60</v>
      </c>
      <c r="F292" s="29" t="s">
        <v>60</v>
      </c>
      <c r="G292" s="29" t="s">
        <v>22</v>
      </c>
      <c r="H292" s="29" t="s">
        <v>752</v>
      </c>
      <c r="I292" s="30" t="s">
        <v>24</v>
      </c>
      <c r="J292" s="30" t="s">
        <v>24</v>
      </c>
      <c r="K292" s="9" t="s">
        <v>714</v>
      </c>
      <c r="L292" s="18">
        <v>47992</v>
      </c>
      <c r="M292" s="1" t="s">
        <v>18</v>
      </c>
    </row>
    <row r="293" spans="1:13" x14ac:dyDescent="0.25">
      <c r="A293" s="6" t="s">
        <v>53</v>
      </c>
      <c r="B293" s="12">
        <v>2502192</v>
      </c>
      <c r="C293" s="13">
        <v>104817</v>
      </c>
      <c r="D293" s="12" t="s">
        <v>753</v>
      </c>
      <c r="E293" s="14">
        <v>60</v>
      </c>
      <c r="F293" s="12" t="s">
        <v>60</v>
      </c>
      <c r="G293" s="12" t="s">
        <v>22</v>
      </c>
      <c r="H293" s="12" t="s">
        <v>754</v>
      </c>
      <c r="I293" s="14" t="s">
        <v>95</v>
      </c>
      <c r="J293" s="14" t="s">
        <v>95</v>
      </c>
      <c r="K293" s="12" t="s">
        <v>714</v>
      </c>
      <c r="L293" s="15">
        <v>46142.57</v>
      </c>
      <c r="M293" s="1" t="s">
        <v>18</v>
      </c>
    </row>
    <row r="294" spans="1:13" x14ac:dyDescent="0.25">
      <c r="A294" s="6" t="s">
        <v>53</v>
      </c>
      <c r="B294" s="3">
        <v>2505061</v>
      </c>
      <c r="C294" s="4">
        <v>59211</v>
      </c>
      <c r="D294" s="3" t="s">
        <v>755</v>
      </c>
      <c r="E294" s="3">
        <v>60</v>
      </c>
      <c r="F294" s="3" t="s">
        <v>126</v>
      </c>
      <c r="G294" s="3" t="s">
        <v>664</v>
      </c>
      <c r="H294" s="3" t="s">
        <v>756</v>
      </c>
      <c r="I294" s="3" t="s">
        <v>121</v>
      </c>
      <c r="J294" s="3" t="s">
        <v>121</v>
      </c>
      <c r="K294" s="9" t="s">
        <v>714</v>
      </c>
      <c r="L294" s="5">
        <v>105000</v>
      </c>
      <c r="M294" s="1" t="s">
        <v>18</v>
      </c>
    </row>
    <row r="295" spans="1:13" x14ac:dyDescent="0.25">
      <c r="A295" s="6" t="s">
        <v>53</v>
      </c>
      <c r="B295" s="12">
        <v>2006969</v>
      </c>
      <c r="C295" s="13">
        <v>14842</v>
      </c>
      <c r="D295" s="12" t="s">
        <v>757</v>
      </c>
      <c r="E295" s="14">
        <v>64</v>
      </c>
      <c r="F295" s="12" t="s">
        <v>60</v>
      </c>
      <c r="G295" s="12" t="s">
        <v>15</v>
      </c>
      <c r="H295" s="12" t="s">
        <v>758</v>
      </c>
      <c r="I295" s="14" t="s">
        <v>85</v>
      </c>
      <c r="J295" s="14" t="s">
        <v>85</v>
      </c>
      <c r="K295" s="12" t="s">
        <v>714</v>
      </c>
      <c r="L295" s="15">
        <v>28051.8</v>
      </c>
      <c r="M295" s="1" t="s">
        <v>18</v>
      </c>
    </row>
    <row r="296" spans="1:13" x14ac:dyDescent="0.25">
      <c r="A296" s="6" t="s">
        <v>522</v>
      </c>
      <c r="B296" s="7">
        <v>2013015</v>
      </c>
      <c r="C296" s="8">
        <v>18692</v>
      </c>
      <c r="D296" s="9" t="s">
        <v>759</v>
      </c>
      <c r="E296" s="7">
        <v>66</v>
      </c>
      <c r="F296" s="7" t="s">
        <v>49</v>
      </c>
      <c r="G296" s="7" t="s">
        <v>15</v>
      </c>
      <c r="H296" s="9" t="s">
        <v>730</v>
      </c>
      <c r="I296" s="9" t="s">
        <v>57</v>
      </c>
      <c r="J296" s="7" t="s">
        <v>57</v>
      </c>
      <c r="K296" s="9" t="s">
        <v>714</v>
      </c>
      <c r="L296" s="10">
        <v>102252.07</v>
      </c>
      <c r="M296" s="1" t="s">
        <v>18</v>
      </c>
    </row>
    <row r="297" spans="1:13" x14ac:dyDescent="0.25">
      <c r="A297" s="6" t="s">
        <v>522</v>
      </c>
      <c r="B297" s="12">
        <v>2013015</v>
      </c>
      <c r="C297" s="13">
        <v>18692</v>
      </c>
      <c r="D297" s="12" t="s">
        <v>760</v>
      </c>
      <c r="E297" s="14">
        <v>66</v>
      </c>
      <c r="F297" s="12" t="s">
        <v>49</v>
      </c>
      <c r="G297" s="12" t="s">
        <v>15</v>
      </c>
      <c r="H297" s="12" t="s">
        <v>720</v>
      </c>
      <c r="I297" s="14" t="s">
        <v>31</v>
      </c>
      <c r="J297" s="14" t="s">
        <v>193</v>
      </c>
      <c r="K297" s="12" t="s">
        <v>714</v>
      </c>
      <c r="L297" s="15">
        <v>103402.84</v>
      </c>
      <c r="M297" s="1" t="s">
        <v>18</v>
      </c>
    </row>
    <row r="298" spans="1:13" ht="33.75" x14ac:dyDescent="0.25">
      <c r="A298" s="6" t="s">
        <v>63</v>
      </c>
      <c r="B298" s="7">
        <v>2001843</v>
      </c>
      <c r="C298" s="8">
        <v>14127</v>
      </c>
      <c r="D298" s="9" t="s">
        <v>761</v>
      </c>
      <c r="E298" s="7">
        <v>66</v>
      </c>
      <c r="F298" s="7" t="s">
        <v>60</v>
      </c>
      <c r="G298" s="7" t="s">
        <v>22</v>
      </c>
      <c r="H298" s="9" t="s">
        <v>445</v>
      </c>
      <c r="I298" s="9" t="s">
        <v>762</v>
      </c>
      <c r="J298" s="7" t="s">
        <v>57</v>
      </c>
      <c r="K298" s="9" t="s">
        <v>714</v>
      </c>
      <c r="L298" s="10">
        <v>89210</v>
      </c>
      <c r="M298" s="1" t="s">
        <v>18</v>
      </c>
    </row>
    <row r="299" spans="1:13" x14ac:dyDescent="0.25">
      <c r="A299" s="16" t="s">
        <v>72</v>
      </c>
      <c r="B299" s="12">
        <v>2001028</v>
      </c>
      <c r="C299" s="13">
        <v>18492</v>
      </c>
      <c r="D299" s="12" t="s">
        <v>763</v>
      </c>
      <c r="E299" s="14">
        <v>64</v>
      </c>
      <c r="F299" s="12" t="s">
        <v>126</v>
      </c>
      <c r="G299" s="12" t="s">
        <v>664</v>
      </c>
      <c r="H299" s="12" t="s">
        <v>764</v>
      </c>
      <c r="I299" s="14" t="s">
        <v>95</v>
      </c>
      <c r="J299" s="14" t="s">
        <v>95</v>
      </c>
      <c r="K299" s="12" t="s">
        <v>714</v>
      </c>
      <c r="L299" s="15">
        <v>150000</v>
      </c>
      <c r="M299" s="1" t="s">
        <v>18</v>
      </c>
    </row>
    <row r="300" spans="1:13" x14ac:dyDescent="0.25">
      <c r="A300" s="16" t="s">
        <v>72</v>
      </c>
      <c r="B300" s="3">
        <v>2001028</v>
      </c>
      <c r="C300" s="4">
        <v>18492</v>
      </c>
      <c r="D300" s="3" t="s">
        <v>765</v>
      </c>
      <c r="E300" s="3">
        <v>64</v>
      </c>
      <c r="F300" s="3" t="s">
        <v>126</v>
      </c>
      <c r="G300" s="3" t="s">
        <v>664</v>
      </c>
      <c r="H300" s="3" t="s">
        <v>766</v>
      </c>
      <c r="I300" s="3" t="s">
        <v>121</v>
      </c>
      <c r="J300" s="3" t="s">
        <v>121</v>
      </c>
      <c r="K300" s="9" t="s">
        <v>714</v>
      </c>
      <c r="L300" s="5">
        <v>235500</v>
      </c>
      <c r="M300" s="1" t="s">
        <v>18</v>
      </c>
    </row>
    <row r="301" spans="1:13" x14ac:dyDescent="0.25">
      <c r="A301" s="16" t="s">
        <v>72</v>
      </c>
      <c r="B301" s="7">
        <v>2001028</v>
      </c>
      <c r="C301" s="8">
        <v>18492</v>
      </c>
      <c r="D301" s="9" t="s">
        <v>767</v>
      </c>
      <c r="E301" s="7">
        <v>64</v>
      </c>
      <c r="F301" s="7" t="s">
        <v>60</v>
      </c>
      <c r="G301" s="7" t="s">
        <v>22</v>
      </c>
      <c r="H301" s="9" t="s">
        <v>445</v>
      </c>
      <c r="I301" s="9" t="s">
        <v>25</v>
      </c>
      <c r="J301" s="7" t="s">
        <v>25</v>
      </c>
      <c r="K301" s="9" t="s">
        <v>714</v>
      </c>
      <c r="L301" s="10">
        <v>68283</v>
      </c>
      <c r="M301" s="1" t="s">
        <v>18</v>
      </c>
    </row>
    <row r="302" spans="1:13" x14ac:dyDescent="0.25">
      <c r="A302" s="6" t="s">
        <v>422</v>
      </c>
      <c r="B302" s="7">
        <v>2001006</v>
      </c>
      <c r="C302" s="8">
        <v>18347</v>
      </c>
      <c r="D302" s="9" t="s">
        <v>607</v>
      </c>
      <c r="E302" s="7">
        <v>69</v>
      </c>
      <c r="F302" s="7" t="s">
        <v>60</v>
      </c>
      <c r="G302" s="7" t="s">
        <v>22</v>
      </c>
      <c r="H302" s="9" t="s">
        <v>768</v>
      </c>
      <c r="I302" s="9" t="s">
        <v>37</v>
      </c>
      <c r="J302" s="7" t="s">
        <v>37</v>
      </c>
      <c r="K302" s="9" t="s">
        <v>714</v>
      </c>
      <c r="L302" s="10">
        <v>22000</v>
      </c>
      <c r="M302" s="1" t="s">
        <v>18</v>
      </c>
    </row>
    <row r="303" spans="1:13" x14ac:dyDescent="0.25">
      <c r="A303" s="6" t="s">
        <v>373</v>
      </c>
      <c r="B303" s="12">
        <v>2000181</v>
      </c>
      <c r="C303" s="13">
        <v>18032</v>
      </c>
      <c r="D303" s="12" t="s">
        <v>769</v>
      </c>
      <c r="E303" s="14">
        <v>67</v>
      </c>
      <c r="F303" s="12" t="s">
        <v>60</v>
      </c>
      <c r="G303" s="12" t="s">
        <v>22</v>
      </c>
      <c r="H303" s="12" t="s">
        <v>770</v>
      </c>
      <c r="I303" s="14" t="s">
        <v>79</v>
      </c>
      <c r="J303" s="14" t="s">
        <v>79</v>
      </c>
      <c r="K303" s="12" t="s">
        <v>714</v>
      </c>
      <c r="L303" s="15">
        <v>48261</v>
      </c>
      <c r="M303" s="1" t="s">
        <v>18</v>
      </c>
    </row>
    <row r="304" spans="1:13" x14ac:dyDescent="0.25">
      <c r="A304" s="6" t="s">
        <v>373</v>
      </c>
      <c r="B304" s="12">
        <v>2002838</v>
      </c>
      <c r="C304" s="13">
        <v>101225</v>
      </c>
      <c r="D304" s="12" t="s">
        <v>771</v>
      </c>
      <c r="E304" s="14">
        <v>69</v>
      </c>
      <c r="F304" s="12" t="s">
        <v>60</v>
      </c>
      <c r="G304" s="12" t="s">
        <v>22</v>
      </c>
      <c r="H304" s="12" t="s">
        <v>445</v>
      </c>
      <c r="I304" s="14" t="s">
        <v>94</v>
      </c>
      <c r="J304" s="14" t="s">
        <v>94</v>
      </c>
      <c r="K304" s="12" t="s">
        <v>714</v>
      </c>
      <c r="L304" s="15">
        <v>89728</v>
      </c>
      <c r="M304" s="1" t="s">
        <v>18</v>
      </c>
    </row>
    <row r="305" spans="1:13" x14ac:dyDescent="0.25">
      <c r="A305" s="6" t="s">
        <v>373</v>
      </c>
      <c r="B305" s="12">
        <v>2011874</v>
      </c>
      <c r="C305" s="13">
        <v>18209</v>
      </c>
      <c r="D305" s="12" t="s">
        <v>772</v>
      </c>
      <c r="E305" s="14">
        <v>59</v>
      </c>
      <c r="F305" s="12" t="s">
        <v>49</v>
      </c>
      <c r="G305" s="12" t="s">
        <v>15</v>
      </c>
      <c r="H305" s="12" t="s">
        <v>773</v>
      </c>
      <c r="I305" s="14" t="s">
        <v>95</v>
      </c>
      <c r="J305" s="14" t="s">
        <v>95</v>
      </c>
      <c r="K305" s="12" t="s">
        <v>714</v>
      </c>
      <c r="L305" s="15">
        <v>55825</v>
      </c>
      <c r="M305" s="1" t="s">
        <v>18</v>
      </c>
    </row>
    <row r="306" spans="1:13" ht="45" x14ac:dyDescent="0.25">
      <c r="A306" s="6" t="s">
        <v>373</v>
      </c>
      <c r="B306" s="12">
        <v>2019637</v>
      </c>
      <c r="C306" s="13">
        <v>10170</v>
      </c>
      <c r="D306" s="12" t="s">
        <v>774</v>
      </c>
      <c r="E306" s="14">
        <v>64</v>
      </c>
      <c r="F306" s="12" t="s">
        <v>60</v>
      </c>
      <c r="G306" s="12" t="s">
        <v>22</v>
      </c>
      <c r="H306" s="12" t="s">
        <v>445</v>
      </c>
      <c r="I306" s="14" t="s">
        <v>775</v>
      </c>
      <c r="J306" s="14" t="s">
        <v>94</v>
      </c>
      <c r="K306" s="12" t="s">
        <v>714</v>
      </c>
      <c r="L306" s="15">
        <v>72100</v>
      </c>
      <c r="M306" s="1" t="s">
        <v>18</v>
      </c>
    </row>
    <row r="307" spans="1:13" x14ac:dyDescent="0.25">
      <c r="A307" s="6" t="s">
        <v>373</v>
      </c>
      <c r="B307" s="7">
        <v>2012118</v>
      </c>
      <c r="C307" s="8">
        <v>18259</v>
      </c>
      <c r="D307" s="9" t="s">
        <v>619</v>
      </c>
      <c r="E307" s="7">
        <v>63</v>
      </c>
      <c r="F307" s="7" t="s">
        <v>49</v>
      </c>
      <c r="G307" s="7" t="s">
        <v>15</v>
      </c>
      <c r="H307" s="9" t="s">
        <v>776</v>
      </c>
      <c r="I307" s="9" t="s">
        <v>57</v>
      </c>
      <c r="J307" s="7" t="s">
        <v>57</v>
      </c>
      <c r="K307" s="9" t="s">
        <v>714</v>
      </c>
      <c r="L307" s="10">
        <v>12000</v>
      </c>
      <c r="M307" s="1" t="s">
        <v>18</v>
      </c>
    </row>
    <row r="308" spans="1:13" x14ac:dyDescent="0.25">
      <c r="A308" s="24" t="s">
        <v>777</v>
      </c>
      <c r="B308" s="25">
        <v>2001102</v>
      </c>
      <c r="C308" s="26">
        <v>636</v>
      </c>
      <c r="D308" s="25" t="s">
        <v>778</v>
      </c>
      <c r="E308" s="25">
        <v>81</v>
      </c>
      <c r="F308" s="25" t="s">
        <v>60</v>
      </c>
      <c r="G308" s="25" t="s">
        <v>22</v>
      </c>
      <c r="H308" s="25" t="s">
        <v>737</v>
      </c>
      <c r="I308" s="25" t="s">
        <v>289</v>
      </c>
      <c r="J308" s="27" t="s">
        <v>289</v>
      </c>
      <c r="K308" s="26" t="s">
        <v>714</v>
      </c>
      <c r="L308" s="28">
        <v>70150</v>
      </c>
      <c r="M308" s="1" t="s">
        <v>18</v>
      </c>
    </row>
    <row r="309" spans="1:13" x14ac:dyDescent="0.25">
      <c r="A309" s="24" t="s">
        <v>618</v>
      </c>
      <c r="B309" s="27">
        <v>2004095</v>
      </c>
      <c r="C309" s="34">
        <v>102642</v>
      </c>
      <c r="D309" s="27" t="s">
        <v>740</v>
      </c>
      <c r="E309" s="27">
        <v>65</v>
      </c>
      <c r="F309" s="25" t="s">
        <v>60</v>
      </c>
      <c r="G309" s="25" t="s">
        <v>22</v>
      </c>
      <c r="H309" s="25" t="s">
        <v>728</v>
      </c>
      <c r="I309" s="25" t="s">
        <v>289</v>
      </c>
      <c r="J309" s="27" t="s">
        <v>289</v>
      </c>
      <c r="K309" s="26" t="s">
        <v>714</v>
      </c>
      <c r="L309" s="28">
        <v>17673.64</v>
      </c>
      <c r="M309" s="1" t="s">
        <v>18</v>
      </c>
    </row>
    <row r="310" spans="1:13" ht="56.25" x14ac:dyDescent="0.25">
      <c r="A310" s="41" t="s">
        <v>534</v>
      </c>
      <c r="B310" s="42">
        <v>2018734</v>
      </c>
      <c r="C310" s="22">
        <v>64401</v>
      </c>
      <c r="D310" s="42" t="s">
        <v>779</v>
      </c>
      <c r="E310" s="42">
        <v>61</v>
      </c>
      <c r="F310" s="42" t="s">
        <v>60</v>
      </c>
      <c r="G310" s="42" t="s">
        <v>22</v>
      </c>
      <c r="H310" s="42" t="s">
        <v>780</v>
      </c>
      <c r="I310" s="42" t="s">
        <v>781</v>
      </c>
      <c r="J310" s="42" t="s">
        <v>289</v>
      </c>
      <c r="K310" s="42" t="s">
        <v>714</v>
      </c>
      <c r="L310" s="43">
        <v>105000</v>
      </c>
      <c r="M310" s="1" t="s">
        <v>18</v>
      </c>
    </row>
    <row r="311" spans="1:13" x14ac:dyDescent="0.25">
      <c r="A311" s="33" t="s">
        <v>534</v>
      </c>
      <c r="B311" s="27">
        <v>2021273</v>
      </c>
      <c r="C311" s="34">
        <v>56896</v>
      </c>
      <c r="D311" s="27" t="s">
        <v>782</v>
      </c>
      <c r="E311" s="27">
        <v>56</v>
      </c>
      <c r="F311" s="27" t="s">
        <v>49</v>
      </c>
      <c r="G311" s="27" t="s">
        <v>15</v>
      </c>
      <c r="H311" s="27" t="s">
        <v>720</v>
      </c>
      <c r="I311" s="27" t="s">
        <v>190</v>
      </c>
      <c r="J311" s="27" t="s">
        <v>190</v>
      </c>
      <c r="K311" s="34" t="s">
        <v>714</v>
      </c>
      <c r="L311" s="28">
        <v>55000</v>
      </c>
      <c r="M311" s="1" t="s">
        <v>18</v>
      </c>
    </row>
    <row r="312" spans="1:13" ht="33.75" x14ac:dyDescent="0.25">
      <c r="A312" s="33" t="s">
        <v>354</v>
      </c>
      <c r="B312" s="27">
        <v>2017742</v>
      </c>
      <c r="C312" s="34">
        <v>37239</v>
      </c>
      <c r="D312" s="27" t="s">
        <v>783</v>
      </c>
      <c r="E312" s="27">
        <v>58</v>
      </c>
      <c r="F312" s="27" t="s">
        <v>60</v>
      </c>
      <c r="G312" s="27" t="s">
        <v>22</v>
      </c>
      <c r="H312" s="27" t="s">
        <v>514</v>
      </c>
      <c r="I312" s="27" t="s">
        <v>784</v>
      </c>
      <c r="J312" s="27" t="s">
        <v>289</v>
      </c>
      <c r="K312" s="34" t="s">
        <v>623</v>
      </c>
      <c r="L312" s="31">
        <v>9975</v>
      </c>
      <c r="M312" s="1" t="s">
        <v>18</v>
      </c>
    </row>
    <row r="313" spans="1:13" x14ac:dyDescent="0.25">
      <c r="A313" s="6" t="s">
        <v>785</v>
      </c>
      <c r="B313" s="7">
        <v>2001034</v>
      </c>
      <c r="C313" s="8">
        <v>20567</v>
      </c>
      <c r="D313" s="9" t="s">
        <v>786</v>
      </c>
      <c r="E313" s="7">
        <v>76</v>
      </c>
      <c r="F313" s="7" t="s">
        <v>60</v>
      </c>
      <c r="G313" s="7" t="s">
        <v>22</v>
      </c>
      <c r="H313" s="9" t="s">
        <v>787</v>
      </c>
      <c r="I313" s="9" t="s">
        <v>42</v>
      </c>
      <c r="J313" s="7" t="s">
        <v>42</v>
      </c>
      <c r="K313" s="9" t="s">
        <v>788</v>
      </c>
      <c r="L313" s="10">
        <v>84400</v>
      </c>
      <c r="M313" s="1" t="s">
        <v>18</v>
      </c>
    </row>
    <row r="314" spans="1:13" x14ac:dyDescent="0.25">
      <c r="A314" s="6" t="s">
        <v>785</v>
      </c>
      <c r="B314" s="7">
        <v>2001053</v>
      </c>
      <c r="C314" s="8">
        <v>17470</v>
      </c>
      <c r="D314" s="9" t="s">
        <v>789</v>
      </c>
      <c r="E314" s="7">
        <v>78</v>
      </c>
      <c r="F314" s="7" t="s">
        <v>60</v>
      </c>
      <c r="G314" s="7" t="s">
        <v>22</v>
      </c>
      <c r="H314" s="9" t="s">
        <v>790</v>
      </c>
      <c r="I314" s="9" t="s">
        <v>25</v>
      </c>
      <c r="J314" s="7" t="s">
        <v>25</v>
      </c>
      <c r="K314" s="9" t="s">
        <v>788</v>
      </c>
      <c r="L314" s="10">
        <v>60000</v>
      </c>
      <c r="M314" s="1" t="s">
        <v>18</v>
      </c>
    </row>
    <row r="315" spans="1:13" x14ac:dyDescent="0.25">
      <c r="A315" s="6" t="s">
        <v>785</v>
      </c>
      <c r="B315" s="12">
        <v>2002878</v>
      </c>
      <c r="C315" s="13">
        <v>17707</v>
      </c>
      <c r="D315" s="12" t="s">
        <v>240</v>
      </c>
      <c r="E315" s="14">
        <v>67</v>
      </c>
      <c r="F315" s="12" t="s">
        <v>60</v>
      </c>
      <c r="G315" s="12" t="s">
        <v>22</v>
      </c>
      <c r="H315" s="12" t="s">
        <v>791</v>
      </c>
      <c r="I315" s="14" t="s">
        <v>79</v>
      </c>
      <c r="J315" s="14" t="s">
        <v>79</v>
      </c>
      <c r="K315" s="12" t="s">
        <v>788</v>
      </c>
      <c r="L315" s="15">
        <v>160000</v>
      </c>
      <c r="M315" s="1" t="s">
        <v>18</v>
      </c>
    </row>
    <row r="316" spans="1:13" x14ac:dyDescent="0.25">
      <c r="A316" s="6" t="s">
        <v>785</v>
      </c>
      <c r="B316" s="12">
        <v>2002878</v>
      </c>
      <c r="C316" s="13">
        <v>17707</v>
      </c>
      <c r="D316" s="12" t="s">
        <v>240</v>
      </c>
      <c r="E316" s="14">
        <v>68</v>
      </c>
      <c r="F316" s="12" t="s">
        <v>60</v>
      </c>
      <c r="G316" s="12" t="s">
        <v>22</v>
      </c>
      <c r="H316" s="12" t="s">
        <v>791</v>
      </c>
      <c r="I316" s="14" t="s">
        <v>95</v>
      </c>
      <c r="J316" s="14" t="s">
        <v>95</v>
      </c>
      <c r="K316" s="12" t="s">
        <v>788</v>
      </c>
      <c r="L316" s="15">
        <v>160000</v>
      </c>
      <c r="M316" s="1" t="s">
        <v>18</v>
      </c>
    </row>
    <row r="317" spans="1:13" x14ac:dyDescent="0.25">
      <c r="A317" s="6" t="s">
        <v>785</v>
      </c>
      <c r="B317" s="21">
        <v>2003527</v>
      </c>
      <c r="C317" s="13">
        <v>15412</v>
      </c>
      <c r="D317" s="21" t="s">
        <v>792</v>
      </c>
      <c r="E317" s="21">
        <v>66</v>
      </c>
      <c r="F317" s="21" t="s">
        <v>60</v>
      </c>
      <c r="G317" s="21" t="s">
        <v>22</v>
      </c>
      <c r="H317" s="21" t="s">
        <v>793</v>
      </c>
      <c r="I317" s="21" t="s">
        <v>78</v>
      </c>
      <c r="J317" s="21" t="s">
        <v>78</v>
      </c>
      <c r="K317" s="9" t="s">
        <v>788</v>
      </c>
      <c r="L317" s="23">
        <v>160000</v>
      </c>
      <c r="M317" s="1" t="s">
        <v>18</v>
      </c>
    </row>
    <row r="318" spans="1:13" x14ac:dyDescent="0.25">
      <c r="A318" s="6" t="s">
        <v>785</v>
      </c>
      <c r="B318" s="7">
        <v>2012690</v>
      </c>
      <c r="C318" s="8">
        <v>17742</v>
      </c>
      <c r="D318" s="9" t="s">
        <v>794</v>
      </c>
      <c r="E318" s="7">
        <v>69</v>
      </c>
      <c r="F318" s="7" t="s">
        <v>49</v>
      </c>
      <c r="G318" s="7" t="s">
        <v>15</v>
      </c>
      <c r="H318" s="9" t="s">
        <v>795</v>
      </c>
      <c r="I318" s="9" t="s">
        <v>42</v>
      </c>
      <c r="J318" s="7" t="s">
        <v>42</v>
      </c>
      <c r="K318" s="9" t="s">
        <v>788</v>
      </c>
      <c r="L318" s="10">
        <v>150000</v>
      </c>
      <c r="M318" s="1" t="s">
        <v>18</v>
      </c>
    </row>
    <row r="319" spans="1:13" x14ac:dyDescent="0.25">
      <c r="A319" s="6" t="s">
        <v>785</v>
      </c>
      <c r="B319" s="12">
        <v>2021340</v>
      </c>
      <c r="C319" s="13">
        <v>93595</v>
      </c>
      <c r="D319" s="12" t="s">
        <v>796</v>
      </c>
      <c r="E319" s="14">
        <v>10</v>
      </c>
      <c r="F319" s="12" t="s">
        <v>797</v>
      </c>
      <c r="G319" s="12" t="s">
        <v>132</v>
      </c>
      <c r="H319" s="12" t="s">
        <v>798</v>
      </c>
      <c r="I319" s="14" t="s">
        <v>193</v>
      </c>
      <c r="J319" s="14" t="s">
        <v>193</v>
      </c>
      <c r="K319" s="12" t="s">
        <v>788</v>
      </c>
      <c r="L319" s="15">
        <v>250000</v>
      </c>
      <c r="M319" s="1" t="s">
        <v>18</v>
      </c>
    </row>
    <row r="320" spans="1:13" x14ac:dyDescent="0.25">
      <c r="A320" s="44" t="s">
        <v>799</v>
      </c>
      <c r="B320" s="7">
        <v>2001510</v>
      </c>
      <c r="C320" s="8">
        <v>100023</v>
      </c>
      <c r="D320" s="9" t="s">
        <v>800</v>
      </c>
      <c r="E320" s="7">
        <v>72</v>
      </c>
      <c r="F320" s="7" t="s">
        <v>60</v>
      </c>
      <c r="G320" s="7" t="s">
        <v>22</v>
      </c>
      <c r="H320" s="9" t="s">
        <v>801</v>
      </c>
      <c r="I320" s="9" t="s">
        <v>37</v>
      </c>
      <c r="J320" s="7" t="s">
        <v>37</v>
      </c>
      <c r="K320" s="9" t="s">
        <v>788</v>
      </c>
      <c r="L320" s="10">
        <v>35000</v>
      </c>
      <c r="M320" s="1" t="s">
        <v>18</v>
      </c>
    </row>
    <row r="321" spans="1:13" x14ac:dyDescent="0.25">
      <c r="A321" s="44" t="s">
        <v>799</v>
      </c>
      <c r="B321" s="3">
        <v>2002373</v>
      </c>
      <c r="C321" s="36">
        <v>58877</v>
      </c>
      <c r="D321" s="30" t="s">
        <v>802</v>
      </c>
      <c r="E321" s="30">
        <v>58</v>
      </c>
      <c r="F321" s="30" t="s">
        <v>60</v>
      </c>
      <c r="G321" s="30" t="s">
        <v>22</v>
      </c>
      <c r="H321" s="30" t="s">
        <v>803</v>
      </c>
      <c r="I321" s="30" t="s">
        <v>24</v>
      </c>
      <c r="J321" s="30" t="s">
        <v>24</v>
      </c>
      <c r="K321" s="9" t="s">
        <v>788</v>
      </c>
      <c r="L321" s="5">
        <v>75000</v>
      </c>
      <c r="M321" s="1" t="s">
        <v>18</v>
      </c>
    </row>
    <row r="322" spans="1:13" x14ac:dyDescent="0.25">
      <c r="A322" s="44" t="s">
        <v>799</v>
      </c>
      <c r="B322" s="7">
        <v>2008559</v>
      </c>
      <c r="C322" s="8">
        <v>53531</v>
      </c>
      <c r="D322" s="9" t="s">
        <v>804</v>
      </c>
      <c r="E322" s="7">
        <v>64</v>
      </c>
      <c r="F322" s="7" t="s">
        <v>49</v>
      </c>
      <c r="G322" s="7" t="s">
        <v>15</v>
      </c>
      <c r="H322" s="9" t="s">
        <v>805</v>
      </c>
      <c r="I322" s="9" t="s">
        <v>42</v>
      </c>
      <c r="J322" s="7" t="s">
        <v>42</v>
      </c>
      <c r="K322" s="9" t="s">
        <v>788</v>
      </c>
      <c r="L322" s="10">
        <v>55000</v>
      </c>
      <c r="M322" s="1" t="s">
        <v>18</v>
      </c>
    </row>
    <row r="323" spans="1:13" ht="33.75" x14ac:dyDescent="0.25">
      <c r="A323" s="11" t="s">
        <v>75</v>
      </c>
      <c r="B323" s="7">
        <v>2003295</v>
      </c>
      <c r="C323" s="8">
        <v>101391</v>
      </c>
      <c r="D323" s="9" t="s">
        <v>806</v>
      </c>
      <c r="E323" s="7">
        <v>59</v>
      </c>
      <c r="F323" s="7" t="s">
        <v>60</v>
      </c>
      <c r="G323" s="7" t="s">
        <v>22</v>
      </c>
      <c r="H323" s="9" t="s">
        <v>445</v>
      </c>
      <c r="I323" s="9" t="s">
        <v>807</v>
      </c>
      <c r="J323" s="7" t="s">
        <v>37</v>
      </c>
      <c r="K323" s="17" t="s">
        <v>714</v>
      </c>
      <c r="L323" s="10">
        <v>68901</v>
      </c>
      <c r="M323" s="1" t="s">
        <v>18</v>
      </c>
    </row>
    <row r="324" spans="1:13" x14ac:dyDescent="0.25">
      <c r="A324" s="6" t="s">
        <v>808</v>
      </c>
      <c r="B324" s="12">
        <v>2004667</v>
      </c>
      <c r="C324" s="13">
        <v>57338</v>
      </c>
      <c r="D324" s="12" t="s">
        <v>809</v>
      </c>
      <c r="E324" s="14">
        <v>61</v>
      </c>
      <c r="F324" s="12" t="s">
        <v>49</v>
      </c>
      <c r="G324" s="12" t="s">
        <v>15</v>
      </c>
      <c r="H324" s="12" t="s">
        <v>810</v>
      </c>
      <c r="I324" s="14" t="s">
        <v>193</v>
      </c>
      <c r="J324" s="14" t="s">
        <v>154</v>
      </c>
      <c r="K324" s="12" t="s">
        <v>788</v>
      </c>
      <c r="L324" s="15">
        <v>110000</v>
      </c>
      <c r="M324" s="1" t="s">
        <v>18</v>
      </c>
    </row>
    <row r="325" spans="1:13" x14ac:dyDescent="0.25">
      <c r="A325" s="11" t="s">
        <v>75</v>
      </c>
      <c r="B325" s="12">
        <v>2011004</v>
      </c>
      <c r="C325" s="13">
        <v>101184</v>
      </c>
      <c r="D325" s="12" t="s">
        <v>261</v>
      </c>
      <c r="E325" s="14">
        <v>64</v>
      </c>
      <c r="F325" s="12" t="s">
        <v>14</v>
      </c>
      <c r="G325" s="12" t="s">
        <v>15</v>
      </c>
      <c r="H325" s="12" t="s">
        <v>712</v>
      </c>
      <c r="I325" s="14" t="s">
        <v>31</v>
      </c>
      <c r="J325" s="14" t="s">
        <v>31</v>
      </c>
      <c r="K325" s="13" t="s">
        <v>714</v>
      </c>
      <c r="L325" s="15">
        <v>11400</v>
      </c>
      <c r="M325" s="1" t="s">
        <v>18</v>
      </c>
    </row>
    <row r="326" spans="1:13" x14ac:dyDescent="0.25">
      <c r="A326" s="11" t="s">
        <v>75</v>
      </c>
      <c r="B326" s="12">
        <v>2018374</v>
      </c>
      <c r="C326" s="13">
        <v>64248</v>
      </c>
      <c r="D326" s="12" t="s">
        <v>811</v>
      </c>
      <c r="E326" s="14">
        <v>55</v>
      </c>
      <c r="F326" s="12" t="s">
        <v>49</v>
      </c>
      <c r="G326" s="12" t="s">
        <v>15</v>
      </c>
      <c r="H326" s="12" t="s">
        <v>812</v>
      </c>
      <c r="I326" s="14" t="s">
        <v>66</v>
      </c>
      <c r="J326" s="14" t="s">
        <v>66</v>
      </c>
      <c r="K326" s="13" t="s">
        <v>714</v>
      </c>
      <c r="L326" s="15">
        <v>40416.43</v>
      </c>
      <c r="M326" s="1" t="s">
        <v>18</v>
      </c>
    </row>
    <row r="327" spans="1:13" x14ac:dyDescent="0.25">
      <c r="A327" s="6" t="s">
        <v>808</v>
      </c>
      <c r="B327" s="7">
        <v>2001198</v>
      </c>
      <c r="C327" s="8">
        <v>18587</v>
      </c>
      <c r="D327" s="9" t="s">
        <v>813</v>
      </c>
      <c r="E327" s="7">
        <v>76</v>
      </c>
      <c r="F327" s="7" t="s">
        <v>60</v>
      </c>
      <c r="G327" s="7" t="s">
        <v>22</v>
      </c>
      <c r="H327" s="9" t="s">
        <v>810</v>
      </c>
      <c r="I327" s="9" t="s">
        <v>37</v>
      </c>
      <c r="J327" s="7" t="s">
        <v>37</v>
      </c>
      <c r="K327" s="9" t="s">
        <v>788</v>
      </c>
      <c r="L327" s="10">
        <v>110000</v>
      </c>
      <c r="M327" s="1" t="s">
        <v>18</v>
      </c>
    </row>
    <row r="328" spans="1:13" x14ac:dyDescent="0.25">
      <c r="A328" s="45" t="s">
        <v>808</v>
      </c>
      <c r="B328" s="46">
        <v>2021151</v>
      </c>
      <c r="C328" s="8">
        <v>15485</v>
      </c>
      <c r="D328" s="47" t="s">
        <v>814</v>
      </c>
      <c r="E328" s="46">
        <v>63</v>
      </c>
      <c r="F328" s="46" t="s">
        <v>60</v>
      </c>
      <c r="G328" s="46" t="s">
        <v>22</v>
      </c>
      <c r="H328" s="47" t="s">
        <v>815</v>
      </c>
      <c r="I328" s="9" t="s">
        <v>52</v>
      </c>
      <c r="J328" s="46" t="s">
        <v>52</v>
      </c>
      <c r="K328" s="47" t="s">
        <v>788</v>
      </c>
      <c r="L328" s="48">
        <v>15200</v>
      </c>
      <c r="M328" s="1" t="s">
        <v>18</v>
      </c>
    </row>
    <row r="329" spans="1:13" x14ac:dyDescent="0.25">
      <c r="A329" s="6" t="s">
        <v>808</v>
      </c>
      <c r="B329" s="21">
        <v>2011036</v>
      </c>
      <c r="C329" s="22">
        <v>11334</v>
      </c>
      <c r="D329" s="21" t="s">
        <v>816</v>
      </c>
      <c r="E329" s="21">
        <v>62</v>
      </c>
      <c r="F329" s="21" t="s">
        <v>49</v>
      </c>
      <c r="G329" s="21" t="s">
        <v>15</v>
      </c>
      <c r="H329" s="21" t="s">
        <v>817</v>
      </c>
      <c r="I329" s="21" t="s">
        <v>99</v>
      </c>
      <c r="J329" s="21" t="s">
        <v>99</v>
      </c>
      <c r="K329" s="21" t="s">
        <v>788</v>
      </c>
      <c r="L329" s="23">
        <v>67500</v>
      </c>
      <c r="M329" s="1" t="s">
        <v>18</v>
      </c>
    </row>
    <row r="330" spans="1:13" ht="33.75" x14ac:dyDescent="0.25">
      <c r="A330" s="2" t="s">
        <v>228</v>
      </c>
      <c r="B330" s="7">
        <v>2006174</v>
      </c>
      <c r="C330" s="8">
        <v>13839</v>
      </c>
      <c r="D330" s="9" t="s">
        <v>662</v>
      </c>
      <c r="E330" s="7">
        <v>60</v>
      </c>
      <c r="F330" s="7" t="s">
        <v>60</v>
      </c>
      <c r="G330" s="7" t="s">
        <v>22</v>
      </c>
      <c r="H330" s="9" t="s">
        <v>818</v>
      </c>
      <c r="I330" s="9" t="s">
        <v>656</v>
      </c>
      <c r="J330" s="7" t="s">
        <v>57</v>
      </c>
      <c r="K330" s="9" t="s">
        <v>788</v>
      </c>
      <c r="L330" s="10">
        <v>14200</v>
      </c>
      <c r="M330" s="1" t="s">
        <v>18</v>
      </c>
    </row>
    <row r="331" spans="1:13" x14ac:dyDescent="0.25">
      <c r="A331" s="6" t="s">
        <v>819</v>
      </c>
      <c r="B331" s="7">
        <v>2005236</v>
      </c>
      <c r="C331" s="8">
        <v>13365</v>
      </c>
      <c r="D331" s="9" t="s">
        <v>820</v>
      </c>
      <c r="E331" s="7">
        <v>58</v>
      </c>
      <c r="F331" s="7" t="s">
        <v>49</v>
      </c>
      <c r="G331" s="7" t="s">
        <v>15</v>
      </c>
      <c r="H331" s="9" t="s">
        <v>821</v>
      </c>
      <c r="I331" s="9" t="s">
        <v>51</v>
      </c>
      <c r="J331" s="7" t="s">
        <v>51</v>
      </c>
      <c r="K331" s="9" t="s">
        <v>788</v>
      </c>
      <c r="L331" s="10">
        <v>30000</v>
      </c>
      <c r="M331" s="1" t="s">
        <v>18</v>
      </c>
    </row>
    <row r="332" spans="1:13" x14ac:dyDescent="0.25">
      <c r="A332" s="33" t="s">
        <v>228</v>
      </c>
      <c r="B332" s="27">
        <v>2022544</v>
      </c>
      <c r="C332" s="34">
        <v>103364</v>
      </c>
      <c r="D332" s="27" t="s">
        <v>822</v>
      </c>
      <c r="E332" s="27">
        <v>60</v>
      </c>
      <c r="F332" s="27" t="s">
        <v>49</v>
      </c>
      <c r="G332" s="27" t="s">
        <v>15</v>
      </c>
      <c r="H332" s="27" t="s">
        <v>823</v>
      </c>
      <c r="I332" s="27" t="s">
        <v>289</v>
      </c>
      <c r="J332" s="27" t="s">
        <v>289</v>
      </c>
      <c r="K332" s="34" t="s">
        <v>788</v>
      </c>
      <c r="L332" s="28">
        <v>16048.06</v>
      </c>
      <c r="M332" s="1" t="s">
        <v>18</v>
      </c>
    </row>
    <row r="333" spans="1:13" x14ac:dyDescent="0.25">
      <c r="A333" s="6" t="s">
        <v>808</v>
      </c>
      <c r="B333" s="12">
        <v>2014769</v>
      </c>
      <c r="C333" s="13">
        <v>100540</v>
      </c>
      <c r="D333" s="12" t="s">
        <v>824</v>
      </c>
      <c r="E333" s="14">
        <v>60</v>
      </c>
      <c r="F333" s="12" t="s">
        <v>49</v>
      </c>
      <c r="G333" s="12" t="s">
        <v>15</v>
      </c>
      <c r="H333" s="12" t="s">
        <v>825</v>
      </c>
      <c r="I333" s="14" t="s">
        <v>66</v>
      </c>
      <c r="J333" s="14" t="s">
        <v>66</v>
      </c>
      <c r="K333" s="12" t="s">
        <v>826</v>
      </c>
      <c r="L333" s="15">
        <v>250000</v>
      </c>
      <c r="M333" s="1" t="s">
        <v>18</v>
      </c>
    </row>
    <row r="334" spans="1:13" x14ac:dyDescent="0.25">
      <c r="A334" s="6" t="s">
        <v>808</v>
      </c>
      <c r="B334" s="12">
        <v>2009360</v>
      </c>
      <c r="C334" s="13">
        <v>17794</v>
      </c>
      <c r="D334" s="12" t="s">
        <v>827</v>
      </c>
      <c r="E334" s="14">
        <v>66</v>
      </c>
      <c r="F334" s="12" t="s">
        <v>49</v>
      </c>
      <c r="G334" s="12" t="s">
        <v>15</v>
      </c>
      <c r="H334" s="12" t="s">
        <v>791</v>
      </c>
      <c r="I334" s="14" t="s">
        <v>66</v>
      </c>
      <c r="J334" s="14" t="s">
        <v>66</v>
      </c>
      <c r="K334" s="12" t="s">
        <v>828</v>
      </c>
      <c r="L334" s="15">
        <v>110000</v>
      </c>
      <c r="M334" s="1" t="s">
        <v>18</v>
      </c>
    </row>
  </sheetData>
  <conditionalFormatting sqref="B197:B266 B1:B56 B58:B185 B268:B334">
    <cfRule type="duplicateValues" dxfId="16" priority="2"/>
  </conditionalFormatting>
  <conditionalFormatting sqref="B268:B334 B1:B266">
    <cfRule type="duplicateValues" dxfId="15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A26A-2A9E-446D-B429-77709C236E45}">
  <dimension ref="A1:M341"/>
  <sheetViews>
    <sheetView workbookViewId="0">
      <selection activeCell="L1" sqref="L1:L1048576"/>
    </sheetView>
  </sheetViews>
  <sheetFormatPr defaultRowHeight="10.5" x14ac:dyDescent="0.25"/>
  <cols>
    <col min="1" max="1" width="21.7109375" style="55" customWidth="1"/>
    <col min="2" max="2" width="11.28515625" style="55" customWidth="1"/>
    <col min="3" max="3" width="12.140625" style="55" customWidth="1"/>
    <col min="4" max="4" width="18.140625" style="55" customWidth="1"/>
    <col min="5" max="5" width="13.140625" style="55" customWidth="1"/>
    <col min="6" max="6" width="19.42578125" style="55" customWidth="1"/>
    <col min="7" max="7" width="13" style="55" customWidth="1"/>
    <col min="8" max="8" width="12.28515625" style="55" customWidth="1"/>
    <col min="9" max="9" width="17.42578125" style="55" customWidth="1"/>
    <col min="10" max="10" width="11.85546875" style="55" customWidth="1"/>
    <col min="11" max="11" width="16.5703125" style="56" customWidth="1"/>
    <col min="12" max="12" width="32.42578125" style="55" customWidth="1"/>
    <col min="13" max="13" width="15.42578125" style="55" customWidth="1"/>
    <col min="14" max="16384" width="9.140625" style="55"/>
  </cols>
  <sheetData>
    <row r="1" spans="1:13" ht="11.25" x14ac:dyDescent="0.25">
      <c r="A1" s="49" t="s">
        <v>0</v>
      </c>
      <c r="B1" s="50" t="s">
        <v>1</v>
      </c>
      <c r="C1" s="51" t="s">
        <v>2</v>
      </c>
      <c r="D1" s="50" t="s">
        <v>3</v>
      </c>
      <c r="E1" s="50" t="s">
        <v>4</v>
      </c>
      <c r="F1" s="50" t="s">
        <v>2255</v>
      </c>
      <c r="G1" s="50" t="s">
        <v>5</v>
      </c>
      <c r="H1" s="50" t="s">
        <v>6</v>
      </c>
      <c r="I1" s="50" t="s">
        <v>7</v>
      </c>
      <c r="J1" s="50" t="s">
        <v>8</v>
      </c>
      <c r="K1" s="52" t="s">
        <v>9</v>
      </c>
      <c r="L1" s="53" t="s">
        <v>10</v>
      </c>
      <c r="M1" s="57" t="s">
        <v>11</v>
      </c>
    </row>
    <row r="2" spans="1:13" x14ac:dyDescent="0.25">
      <c r="A2" s="103" t="s">
        <v>1221</v>
      </c>
      <c r="B2" s="82">
        <v>2018628</v>
      </c>
      <c r="C2" s="82">
        <v>55007</v>
      </c>
      <c r="D2" s="82" t="s">
        <v>1222</v>
      </c>
      <c r="E2" s="82">
        <v>63</v>
      </c>
      <c r="F2" s="82" t="s">
        <v>60</v>
      </c>
      <c r="G2" s="82" t="s">
        <v>22</v>
      </c>
      <c r="H2" s="82" t="s">
        <v>1223</v>
      </c>
      <c r="I2" s="82" t="s">
        <v>1224</v>
      </c>
      <c r="J2" s="82" t="s">
        <v>1225</v>
      </c>
      <c r="K2" s="83" t="s">
        <v>1226</v>
      </c>
      <c r="L2" s="84">
        <v>20000</v>
      </c>
      <c r="M2" s="85" t="s">
        <v>832</v>
      </c>
    </row>
    <row r="3" spans="1:13" ht="42" x14ac:dyDescent="0.25">
      <c r="A3" s="104" t="s">
        <v>1227</v>
      </c>
      <c r="B3" s="86">
        <v>2507031</v>
      </c>
      <c r="C3" s="87">
        <v>68066</v>
      </c>
      <c r="D3" s="86" t="s">
        <v>1228</v>
      </c>
      <c r="E3" s="86">
        <v>57</v>
      </c>
      <c r="F3" s="86" t="s">
        <v>1229</v>
      </c>
      <c r="G3" s="86" t="s">
        <v>22</v>
      </c>
      <c r="H3" s="86" t="s">
        <v>1230</v>
      </c>
      <c r="I3" s="86" t="s">
        <v>1231</v>
      </c>
      <c r="J3" s="88" t="s">
        <v>1232</v>
      </c>
      <c r="K3" s="89">
        <v>2</v>
      </c>
      <c r="L3" s="90">
        <v>306406.28000000003</v>
      </c>
      <c r="M3" s="91" t="s">
        <v>832</v>
      </c>
    </row>
    <row r="4" spans="1:13" ht="21" x14ac:dyDescent="0.25">
      <c r="A4" s="105" t="s">
        <v>1227</v>
      </c>
      <c r="B4" s="82">
        <v>2002798</v>
      </c>
      <c r="C4" s="82">
        <v>13067</v>
      </c>
      <c r="D4" s="82" t="s">
        <v>930</v>
      </c>
      <c r="E4" s="82">
        <v>69</v>
      </c>
      <c r="F4" s="82" t="s">
        <v>931</v>
      </c>
      <c r="G4" s="82" t="s">
        <v>22</v>
      </c>
      <c r="H4" s="92" t="s">
        <v>932</v>
      </c>
      <c r="I4" s="92" t="s">
        <v>846</v>
      </c>
      <c r="J4" s="82" t="s">
        <v>851</v>
      </c>
      <c r="K4" s="83">
        <v>3</v>
      </c>
      <c r="L4" s="84">
        <v>130514</v>
      </c>
      <c r="M4" s="85" t="s">
        <v>832</v>
      </c>
    </row>
    <row r="5" spans="1:13" x14ac:dyDescent="0.25">
      <c r="A5" s="106" t="s">
        <v>847</v>
      </c>
      <c r="B5" s="88">
        <v>2005358</v>
      </c>
      <c r="C5" s="87">
        <v>8589</v>
      </c>
      <c r="D5" s="88" t="s">
        <v>1061</v>
      </c>
      <c r="E5" s="88">
        <v>66</v>
      </c>
      <c r="F5" s="88" t="s">
        <v>49</v>
      </c>
      <c r="G5" s="88" t="s">
        <v>15</v>
      </c>
      <c r="H5" s="88" t="s">
        <v>1062</v>
      </c>
      <c r="I5" s="88" t="s">
        <v>108</v>
      </c>
      <c r="J5" s="88" t="s">
        <v>835</v>
      </c>
      <c r="K5" s="89">
        <v>6</v>
      </c>
      <c r="L5" s="90">
        <v>246983</v>
      </c>
      <c r="M5" s="91" t="s">
        <v>832</v>
      </c>
    </row>
    <row r="6" spans="1:13" x14ac:dyDescent="0.25">
      <c r="A6" s="107" t="s">
        <v>847</v>
      </c>
      <c r="B6" s="93">
        <v>2014982</v>
      </c>
      <c r="C6" s="82">
        <v>13660</v>
      </c>
      <c r="D6" s="93" t="s">
        <v>1143</v>
      </c>
      <c r="E6" s="93">
        <v>67</v>
      </c>
      <c r="F6" s="93" t="s">
        <v>126</v>
      </c>
      <c r="G6" s="93" t="s">
        <v>22</v>
      </c>
      <c r="H6" s="93" t="s">
        <v>1144</v>
      </c>
      <c r="I6" s="93" t="s">
        <v>843</v>
      </c>
      <c r="J6" s="93" t="s">
        <v>843</v>
      </c>
      <c r="K6" s="83" t="s">
        <v>556</v>
      </c>
      <c r="L6" s="94">
        <v>66499</v>
      </c>
      <c r="M6" s="85" t="s">
        <v>832</v>
      </c>
    </row>
    <row r="7" spans="1:13" ht="21" x14ac:dyDescent="0.25">
      <c r="A7" s="106" t="s">
        <v>847</v>
      </c>
      <c r="B7" s="87">
        <v>2003220</v>
      </c>
      <c r="C7" s="87">
        <v>16008</v>
      </c>
      <c r="D7" s="87" t="s">
        <v>1030</v>
      </c>
      <c r="E7" s="87">
        <v>65</v>
      </c>
      <c r="F7" s="87" t="s">
        <v>1031</v>
      </c>
      <c r="G7" s="87" t="s">
        <v>22</v>
      </c>
      <c r="H7" s="86" t="s">
        <v>1032</v>
      </c>
      <c r="I7" s="86" t="s">
        <v>835</v>
      </c>
      <c r="J7" s="87" t="s">
        <v>846</v>
      </c>
      <c r="K7" s="95">
        <v>5</v>
      </c>
      <c r="L7" s="96">
        <v>263764</v>
      </c>
      <c r="M7" s="91" t="s">
        <v>832</v>
      </c>
    </row>
    <row r="8" spans="1:13" ht="21" x14ac:dyDescent="0.25">
      <c r="A8" s="107" t="s">
        <v>847</v>
      </c>
      <c r="B8" s="82">
        <v>2022237</v>
      </c>
      <c r="C8" s="82">
        <v>56585</v>
      </c>
      <c r="D8" s="82" t="s">
        <v>1205</v>
      </c>
      <c r="E8" s="82">
        <v>62</v>
      </c>
      <c r="F8" s="82" t="s">
        <v>60</v>
      </c>
      <c r="G8" s="82" t="s">
        <v>22</v>
      </c>
      <c r="H8" s="92" t="s">
        <v>1206</v>
      </c>
      <c r="I8" s="92" t="s">
        <v>901</v>
      </c>
      <c r="J8" s="82" t="s">
        <v>901</v>
      </c>
      <c r="K8" s="83" t="s">
        <v>714</v>
      </c>
      <c r="L8" s="84">
        <v>96443</v>
      </c>
      <c r="M8" s="85" t="s">
        <v>832</v>
      </c>
    </row>
    <row r="9" spans="1:13" ht="21" x14ac:dyDescent="0.25">
      <c r="A9" s="106" t="s">
        <v>847</v>
      </c>
      <c r="B9" s="87">
        <v>2019609</v>
      </c>
      <c r="C9" s="87">
        <v>61525</v>
      </c>
      <c r="D9" s="87" t="s">
        <v>848</v>
      </c>
      <c r="E9" s="87">
        <v>48</v>
      </c>
      <c r="F9" s="87" t="s">
        <v>49</v>
      </c>
      <c r="G9" s="87" t="s">
        <v>15</v>
      </c>
      <c r="H9" s="86" t="s">
        <v>849</v>
      </c>
      <c r="I9" s="86" t="s">
        <v>850</v>
      </c>
      <c r="J9" s="87" t="s">
        <v>851</v>
      </c>
      <c r="K9" s="95">
        <v>1</v>
      </c>
      <c r="L9" s="96">
        <v>359993</v>
      </c>
      <c r="M9" s="91" t="s">
        <v>832</v>
      </c>
    </row>
    <row r="10" spans="1:13" x14ac:dyDescent="0.25">
      <c r="A10" s="107" t="s">
        <v>847</v>
      </c>
      <c r="B10" s="82">
        <v>2002401</v>
      </c>
      <c r="C10" s="82">
        <v>15577</v>
      </c>
      <c r="D10" s="82" t="s">
        <v>1186</v>
      </c>
      <c r="E10" s="82">
        <v>66</v>
      </c>
      <c r="F10" s="82" t="s">
        <v>60</v>
      </c>
      <c r="G10" s="82" t="s">
        <v>22</v>
      </c>
      <c r="H10" s="92" t="s">
        <v>445</v>
      </c>
      <c r="I10" s="92" t="s">
        <v>851</v>
      </c>
      <c r="J10" s="82" t="s">
        <v>851</v>
      </c>
      <c r="K10" s="83" t="s">
        <v>714</v>
      </c>
      <c r="L10" s="84">
        <v>119774</v>
      </c>
      <c r="M10" s="85" t="s">
        <v>832</v>
      </c>
    </row>
    <row r="11" spans="1:13" x14ac:dyDescent="0.25">
      <c r="A11" s="106" t="s">
        <v>847</v>
      </c>
      <c r="B11" s="87">
        <v>2003515</v>
      </c>
      <c r="C11" s="87">
        <v>100864</v>
      </c>
      <c r="D11" s="87" t="s">
        <v>868</v>
      </c>
      <c r="E11" s="87">
        <v>68</v>
      </c>
      <c r="F11" s="87" t="s">
        <v>869</v>
      </c>
      <c r="G11" s="87" t="s">
        <v>22</v>
      </c>
      <c r="H11" s="87" t="s">
        <v>870</v>
      </c>
      <c r="I11" s="86" t="s">
        <v>855</v>
      </c>
      <c r="J11" s="86" t="s">
        <v>859</v>
      </c>
      <c r="K11" s="95">
        <v>2</v>
      </c>
      <c r="L11" s="96">
        <v>258781</v>
      </c>
      <c r="M11" s="91" t="s">
        <v>832</v>
      </c>
    </row>
    <row r="12" spans="1:13" x14ac:dyDescent="0.25">
      <c r="A12" s="105" t="s">
        <v>847</v>
      </c>
      <c r="B12" s="82">
        <v>2009176</v>
      </c>
      <c r="C12" s="82">
        <v>59732</v>
      </c>
      <c r="D12" s="82" t="s">
        <v>1233</v>
      </c>
      <c r="E12" s="82">
        <v>56</v>
      </c>
      <c r="F12" s="82" t="s">
        <v>1234</v>
      </c>
      <c r="G12" s="82" t="s">
        <v>15</v>
      </c>
      <c r="H12" s="82" t="s">
        <v>1235</v>
      </c>
      <c r="I12" s="82" t="s">
        <v>859</v>
      </c>
      <c r="J12" s="82" t="s">
        <v>1236</v>
      </c>
      <c r="K12" s="83">
        <v>3</v>
      </c>
      <c r="L12" s="84">
        <v>151486</v>
      </c>
      <c r="M12" s="85" t="s">
        <v>832</v>
      </c>
    </row>
    <row r="13" spans="1:13" x14ac:dyDescent="0.25">
      <c r="A13" s="104" t="s">
        <v>1237</v>
      </c>
      <c r="B13" s="86">
        <v>2014720</v>
      </c>
      <c r="C13" s="87">
        <v>37099</v>
      </c>
      <c r="D13" s="87" t="s">
        <v>719</v>
      </c>
      <c r="E13" s="86">
        <v>67</v>
      </c>
      <c r="F13" s="86" t="s">
        <v>49</v>
      </c>
      <c r="G13" s="86" t="s">
        <v>15</v>
      </c>
      <c r="H13" s="86" t="s">
        <v>720</v>
      </c>
      <c r="I13" s="86" t="s">
        <v>1238</v>
      </c>
      <c r="J13" s="86" t="s">
        <v>1238</v>
      </c>
      <c r="K13" s="95" t="s">
        <v>714</v>
      </c>
      <c r="L13" s="97">
        <v>35752.35</v>
      </c>
      <c r="M13" s="91" t="s">
        <v>832</v>
      </c>
    </row>
    <row r="14" spans="1:13" x14ac:dyDescent="0.25">
      <c r="A14" s="105" t="s">
        <v>1237</v>
      </c>
      <c r="B14" s="82">
        <v>2020047</v>
      </c>
      <c r="C14" s="82">
        <v>83597</v>
      </c>
      <c r="D14" s="82" t="s">
        <v>1239</v>
      </c>
      <c r="E14" s="82">
        <v>8</v>
      </c>
      <c r="F14" s="82" t="s">
        <v>438</v>
      </c>
      <c r="G14" s="82" t="s">
        <v>132</v>
      </c>
      <c r="H14" s="92" t="s">
        <v>1240</v>
      </c>
      <c r="I14" s="92" t="s">
        <v>846</v>
      </c>
      <c r="J14" s="92" t="s">
        <v>1241</v>
      </c>
      <c r="K14" s="83">
        <v>12</v>
      </c>
      <c r="L14" s="84">
        <v>377178</v>
      </c>
      <c r="M14" s="85" t="s">
        <v>832</v>
      </c>
    </row>
    <row r="15" spans="1:13" x14ac:dyDescent="0.25">
      <c r="A15" s="104" t="s">
        <v>1237</v>
      </c>
      <c r="B15" s="87">
        <v>2410079</v>
      </c>
      <c r="C15" s="87">
        <v>53742</v>
      </c>
      <c r="D15" s="87" t="s">
        <v>721</v>
      </c>
      <c r="E15" s="87">
        <v>64</v>
      </c>
      <c r="F15" s="87" t="s">
        <v>60</v>
      </c>
      <c r="G15" s="87" t="s">
        <v>22</v>
      </c>
      <c r="H15" s="86" t="s">
        <v>445</v>
      </c>
      <c r="I15" s="86" t="s">
        <v>1242</v>
      </c>
      <c r="J15" s="86" t="s">
        <v>1242</v>
      </c>
      <c r="K15" s="95" t="s">
        <v>714</v>
      </c>
      <c r="L15" s="96">
        <v>50512.85</v>
      </c>
      <c r="M15" s="91" t="s">
        <v>832</v>
      </c>
    </row>
    <row r="16" spans="1:13" ht="21" x14ac:dyDescent="0.25">
      <c r="A16" s="105" t="s">
        <v>1237</v>
      </c>
      <c r="B16" s="92">
        <v>2023530</v>
      </c>
      <c r="C16" s="82">
        <v>63470</v>
      </c>
      <c r="D16" s="92" t="s">
        <v>1243</v>
      </c>
      <c r="E16" s="92">
        <v>50</v>
      </c>
      <c r="F16" s="93" t="s">
        <v>49</v>
      </c>
      <c r="G16" s="93" t="s">
        <v>15</v>
      </c>
      <c r="H16" s="92" t="s">
        <v>1244</v>
      </c>
      <c r="I16" s="93" t="s">
        <v>1245</v>
      </c>
      <c r="J16" s="93" t="s">
        <v>1232</v>
      </c>
      <c r="K16" s="98" t="s">
        <v>556</v>
      </c>
      <c r="L16" s="94">
        <v>42000</v>
      </c>
      <c r="M16" s="85" t="s">
        <v>832</v>
      </c>
    </row>
    <row r="17" spans="1:13" x14ac:dyDescent="0.25">
      <c r="A17" s="104" t="s">
        <v>1237</v>
      </c>
      <c r="B17" s="87">
        <v>2410079</v>
      </c>
      <c r="C17" s="87">
        <v>53742</v>
      </c>
      <c r="D17" s="87" t="s">
        <v>721</v>
      </c>
      <c r="E17" s="87">
        <v>64</v>
      </c>
      <c r="F17" s="87" t="s">
        <v>60</v>
      </c>
      <c r="G17" s="87" t="s">
        <v>22</v>
      </c>
      <c r="H17" s="86" t="s">
        <v>445</v>
      </c>
      <c r="I17" s="86" t="s">
        <v>834</v>
      </c>
      <c r="J17" s="87" t="s">
        <v>834</v>
      </c>
      <c r="K17" s="95" t="s">
        <v>714</v>
      </c>
      <c r="L17" s="96">
        <v>48162.92</v>
      </c>
      <c r="M17" s="91" t="s">
        <v>832</v>
      </c>
    </row>
    <row r="18" spans="1:13" ht="21" x14ac:dyDescent="0.25">
      <c r="A18" s="105" t="s">
        <v>1237</v>
      </c>
      <c r="B18" s="93">
        <v>2014720</v>
      </c>
      <c r="C18" s="82">
        <v>37099</v>
      </c>
      <c r="D18" s="93" t="s">
        <v>719</v>
      </c>
      <c r="E18" s="93">
        <v>67</v>
      </c>
      <c r="F18" s="93" t="s">
        <v>885</v>
      </c>
      <c r="G18" s="93" t="s">
        <v>15</v>
      </c>
      <c r="H18" s="93" t="s">
        <v>886</v>
      </c>
      <c r="I18" s="93" t="s">
        <v>835</v>
      </c>
      <c r="J18" s="93" t="s">
        <v>880</v>
      </c>
      <c r="K18" s="98">
        <v>2</v>
      </c>
      <c r="L18" s="94">
        <v>143848</v>
      </c>
      <c r="M18" s="85" t="s">
        <v>832</v>
      </c>
    </row>
    <row r="19" spans="1:13" x14ac:dyDescent="0.25">
      <c r="A19" s="104" t="s">
        <v>1237</v>
      </c>
      <c r="B19" s="87">
        <v>2406083</v>
      </c>
      <c r="C19" s="87">
        <v>54863</v>
      </c>
      <c r="D19" s="87" t="s">
        <v>1009</v>
      </c>
      <c r="E19" s="87">
        <v>63</v>
      </c>
      <c r="F19" s="87" t="s">
        <v>1010</v>
      </c>
      <c r="G19" s="87" t="s">
        <v>22</v>
      </c>
      <c r="H19" s="86" t="s">
        <v>227</v>
      </c>
      <c r="I19" s="86" t="s">
        <v>880</v>
      </c>
      <c r="J19" s="87" t="s">
        <v>896</v>
      </c>
      <c r="K19" s="95">
        <v>4</v>
      </c>
      <c r="L19" s="96">
        <v>321578</v>
      </c>
      <c r="M19" s="91" t="s">
        <v>832</v>
      </c>
    </row>
    <row r="20" spans="1:13" x14ac:dyDescent="0.25">
      <c r="A20" s="105" t="s">
        <v>1237</v>
      </c>
      <c r="B20" s="82">
        <v>2014720</v>
      </c>
      <c r="C20" s="82">
        <v>37099</v>
      </c>
      <c r="D20" s="82" t="s">
        <v>719</v>
      </c>
      <c r="E20" s="82">
        <v>67</v>
      </c>
      <c r="F20" s="82" t="s">
        <v>49</v>
      </c>
      <c r="G20" s="82" t="s">
        <v>15</v>
      </c>
      <c r="H20" s="92" t="s">
        <v>722</v>
      </c>
      <c r="I20" s="92" t="s">
        <v>71</v>
      </c>
      <c r="J20" s="82" t="s">
        <v>855</v>
      </c>
      <c r="K20" s="83" t="s">
        <v>714</v>
      </c>
      <c r="L20" s="84">
        <v>41219.040000000001</v>
      </c>
      <c r="M20" s="85" t="s">
        <v>832</v>
      </c>
    </row>
    <row r="21" spans="1:13" x14ac:dyDescent="0.25">
      <c r="A21" s="104" t="s">
        <v>1237</v>
      </c>
      <c r="B21" s="87">
        <v>2001245</v>
      </c>
      <c r="C21" s="87">
        <v>37016</v>
      </c>
      <c r="D21" s="87" t="s">
        <v>983</v>
      </c>
      <c r="E21" s="87">
        <v>79</v>
      </c>
      <c r="F21" s="87" t="s">
        <v>984</v>
      </c>
      <c r="G21" s="87" t="s">
        <v>22</v>
      </c>
      <c r="H21" s="87" t="s">
        <v>985</v>
      </c>
      <c r="I21" s="86" t="s">
        <v>986</v>
      </c>
      <c r="J21" s="86" t="s">
        <v>860</v>
      </c>
      <c r="K21" s="95">
        <v>4</v>
      </c>
      <c r="L21" s="96">
        <v>1700813</v>
      </c>
      <c r="M21" s="91" t="s">
        <v>832</v>
      </c>
    </row>
    <row r="22" spans="1:13" ht="21" x14ac:dyDescent="0.25">
      <c r="A22" s="107" t="s">
        <v>923</v>
      </c>
      <c r="B22" s="93">
        <v>2001511</v>
      </c>
      <c r="C22" s="82">
        <v>18974</v>
      </c>
      <c r="D22" s="93" t="s">
        <v>924</v>
      </c>
      <c r="E22" s="93">
        <v>56</v>
      </c>
      <c r="F22" s="93" t="s">
        <v>925</v>
      </c>
      <c r="G22" s="93" t="s">
        <v>22</v>
      </c>
      <c r="H22" s="93" t="s">
        <v>926</v>
      </c>
      <c r="I22" s="93" t="s">
        <v>927</v>
      </c>
      <c r="J22" s="93" t="s">
        <v>880</v>
      </c>
      <c r="K22" s="98">
        <v>3</v>
      </c>
      <c r="L22" s="94">
        <v>636441.79</v>
      </c>
      <c r="M22" s="85" t="s">
        <v>832</v>
      </c>
    </row>
    <row r="23" spans="1:13" x14ac:dyDescent="0.25">
      <c r="A23" s="108" t="s">
        <v>923</v>
      </c>
      <c r="B23" s="87">
        <v>2004761</v>
      </c>
      <c r="C23" s="87">
        <v>31664</v>
      </c>
      <c r="D23" s="87" t="s">
        <v>1246</v>
      </c>
      <c r="E23" s="87">
        <v>64</v>
      </c>
      <c r="F23" s="87" t="s">
        <v>49</v>
      </c>
      <c r="G23" s="87" t="s">
        <v>15</v>
      </c>
      <c r="H23" s="87" t="s">
        <v>1247</v>
      </c>
      <c r="I23" s="87" t="s">
        <v>1248</v>
      </c>
      <c r="J23" s="87" t="s">
        <v>1249</v>
      </c>
      <c r="K23" s="95" t="s">
        <v>714</v>
      </c>
      <c r="L23" s="96">
        <v>25650</v>
      </c>
      <c r="M23" s="91" t="s">
        <v>832</v>
      </c>
    </row>
    <row r="24" spans="1:13" x14ac:dyDescent="0.25">
      <c r="A24" s="107" t="s">
        <v>1218</v>
      </c>
      <c r="B24" s="93">
        <v>2003527</v>
      </c>
      <c r="C24" s="82">
        <v>15412</v>
      </c>
      <c r="D24" s="93" t="s">
        <v>1219</v>
      </c>
      <c r="E24" s="93">
        <v>66</v>
      </c>
      <c r="F24" s="92" t="s">
        <v>126</v>
      </c>
      <c r="G24" s="92" t="s">
        <v>22</v>
      </c>
      <c r="H24" s="93" t="s">
        <v>1220</v>
      </c>
      <c r="I24" s="92" t="s">
        <v>909</v>
      </c>
      <c r="J24" s="92" t="s">
        <v>909</v>
      </c>
      <c r="K24" s="83" t="s">
        <v>788</v>
      </c>
      <c r="L24" s="94">
        <v>160000</v>
      </c>
      <c r="M24" s="85" t="s">
        <v>832</v>
      </c>
    </row>
    <row r="25" spans="1:13" ht="21" x14ac:dyDescent="0.25">
      <c r="A25" s="106" t="s">
        <v>90</v>
      </c>
      <c r="B25" s="88">
        <v>20030720</v>
      </c>
      <c r="C25" s="87">
        <v>104118</v>
      </c>
      <c r="D25" s="88" t="s">
        <v>1158</v>
      </c>
      <c r="E25" s="88">
        <v>66</v>
      </c>
      <c r="F25" s="88" t="s">
        <v>126</v>
      </c>
      <c r="G25" s="88" t="s">
        <v>22</v>
      </c>
      <c r="H25" s="88" t="s">
        <v>1159</v>
      </c>
      <c r="I25" s="88" t="s">
        <v>1160</v>
      </c>
      <c r="J25" s="88" t="s">
        <v>843</v>
      </c>
      <c r="K25" s="95" t="s">
        <v>556</v>
      </c>
      <c r="L25" s="90">
        <v>25972.71</v>
      </c>
      <c r="M25" s="91" t="s">
        <v>832</v>
      </c>
    </row>
    <row r="26" spans="1:13" ht="21" x14ac:dyDescent="0.25">
      <c r="A26" s="103" t="s">
        <v>1250</v>
      </c>
      <c r="B26" s="82">
        <v>2011774</v>
      </c>
      <c r="C26" s="82">
        <v>31235</v>
      </c>
      <c r="D26" s="82" t="s">
        <v>1251</v>
      </c>
      <c r="E26" s="82">
        <v>64</v>
      </c>
      <c r="F26" s="82" t="s">
        <v>1252</v>
      </c>
      <c r="G26" s="82" t="s">
        <v>15</v>
      </c>
      <c r="H26" s="92" t="s">
        <v>1253</v>
      </c>
      <c r="I26" s="92" t="s">
        <v>860</v>
      </c>
      <c r="J26" s="92" t="s">
        <v>1241</v>
      </c>
      <c r="K26" s="83">
        <v>5</v>
      </c>
      <c r="L26" s="84">
        <v>79385</v>
      </c>
      <c r="M26" s="85" t="s">
        <v>832</v>
      </c>
    </row>
    <row r="27" spans="1:13" x14ac:dyDescent="0.25">
      <c r="A27" s="108" t="s">
        <v>12</v>
      </c>
      <c r="B27" s="87">
        <v>2001893</v>
      </c>
      <c r="C27" s="87">
        <v>9046</v>
      </c>
      <c r="D27" s="87" t="s">
        <v>625</v>
      </c>
      <c r="E27" s="87">
        <v>69</v>
      </c>
      <c r="F27" s="87" t="s">
        <v>60</v>
      </c>
      <c r="G27" s="87" t="s">
        <v>22</v>
      </c>
      <c r="H27" s="86" t="s">
        <v>514</v>
      </c>
      <c r="I27" s="86" t="s">
        <v>1238</v>
      </c>
      <c r="J27" s="86" t="s">
        <v>1238</v>
      </c>
      <c r="K27" s="95" t="s">
        <v>623</v>
      </c>
      <c r="L27" s="96">
        <v>9500</v>
      </c>
      <c r="M27" s="91" t="s">
        <v>832</v>
      </c>
    </row>
    <row r="28" spans="1:13" x14ac:dyDescent="0.25">
      <c r="A28" s="103" t="s">
        <v>12</v>
      </c>
      <c r="B28" s="82">
        <v>2001893</v>
      </c>
      <c r="C28" s="82">
        <v>9046</v>
      </c>
      <c r="D28" s="82" t="s">
        <v>625</v>
      </c>
      <c r="E28" s="82">
        <v>69</v>
      </c>
      <c r="F28" s="82" t="s">
        <v>60</v>
      </c>
      <c r="G28" s="82" t="s">
        <v>22</v>
      </c>
      <c r="H28" s="82" t="s">
        <v>514</v>
      </c>
      <c r="I28" s="82" t="s">
        <v>1238</v>
      </c>
      <c r="J28" s="82" t="s">
        <v>1238</v>
      </c>
      <c r="K28" s="83" t="s">
        <v>623</v>
      </c>
      <c r="L28" s="84">
        <v>9500</v>
      </c>
      <c r="M28" s="85" t="s">
        <v>832</v>
      </c>
    </row>
    <row r="29" spans="1:13" x14ac:dyDescent="0.25">
      <c r="A29" s="108" t="s">
        <v>12</v>
      </c>
      <c r="B29" s="88">
        <v>2001893</v>
      </c>
      <c r="C29" s="87">
        <v>9046</v>
      </c>
      <c r="D29" s="88" t="s">
        <v>625</v>
      </c>
      <c r="E29" s="88">
        <v>69</v>
      </c>
      <c r="F29" s="88" t="s">
        <v>60</v>
      </c>
      <c r="G29" s="88" t="s">
        <v>22</v>
      </c>
      <c r="H29" s="88" t="s">
        <v>514</v>
      </c>
      <c r="I29" s="88" t="s">
        <v>1232</v>
      </c>
      <c r="J29" s="88" t="s">
        <v>1232</v>
      </c>
      <c r="K29" s="95" t="s">
        <v>623</v>
      </c>
      <c r="L29" s="90">
        <v>9500</v>
      </c>
      <c r="M29" s="91" t="s">
        <v>832</v>
      </c>
    </row>
    <row r="30" spans="1:13" x14ac:dyDescent="0.25">
      <c r="A30" s="103" t="s">
        <v>12</v>
      </c>
      <c r="B30" s="93">
        <v>2001893</v>
      </c>
      <c r="C30" s="82">
        <v>9046</v>
      </c>
      <c r="D30" s="93" t="s">
        <v>625</v>
      </c>
      <c r="E30" s="93">
        <v>69</v>
      </c>
      <c r="F30" s="93" t="s">
        <v>60</v>
      </c>
      <c r="G30" s="93" t="s">
        <v>22</v>
      </c>
      <c r="H30" s="93" t="s">
        <v>514</v>
      </c>
      <c r="I30" s="93" t="s">
        <v>1254</v>
      </c>
      <c r="J30" s="93" t="s">
        <v>1254</v>
      </c>
      <c r="K30" s="83" t="s">
        <v>623</v>
      </c>
      <c r="L30" s="94">
        <v>9500</v>
      </c>
      <c r="M30" s="85" t="s">
        <v>832</v>
      </c>
    </row>
    <row r="31" spans="1:13" x14ac:dyDescent="0.25">
      <c r="A31" s="108" t="s">
        <v>12</v>
      </c>
      <c r="B31" s="88">
        <v>2001893</v>
      </c>
      <c r="C31" s="87">
        <v>9046</v>
      </c>
      <c r="D31" s="87" t="s">
        <v>625</v>
      </c>
      <c r="E31" s="88">
        <v>69</v>
      </c>
      <c r="F31" s="88" t="s">
        <v>60</v>
      </c>
      <c r="G31" s="88" t="s">
        <v>22</v>
      </c>
      <c r="H31" s="88" t="s">
        <v>514</v>
      </c>
      <c r="I31" s="88" t="s">
        <v>880</v>
      </c>
      <c r="J31" s="88" t="s">
        <v>880</v>
      </c>
      <c r="K31" s="95" t="s">
        <v>623</v>
      </c>
      <c r="L31" s="90">
        <v>9500</v>
      </c>
      <c r="M31" s="91" t="s">
        <v>832</v>
      </c>
    </row>
    <row r="32" spans="1:13" x14ac:dyDescent="0.25">
      <c r="A32" s="103" t="s">
        <v>12</v>
      </c>
      <c r="B32" s="82">
        <v>2001893</v>
      </c>
      <c r="C32" s="82">
        <v>9046</v>
      </c>
      <c r="D32" s="82" t="s">
        <v>625</v>
      </c>
      <c r="E32" s="82">
        <v>69</v>
      </c>
      <c r="F32" s="82" t="s">
        <v>60</v>
      </c>
      <c r="G32" s="82" t="s">
        <v>22</v>
      </c>
      <c r="H32" s="92" t="s">
        <v>1167</v>
      </c>
      <c r="I32" s="92" t="s">
        <v>846</v>
      </c>
      <c r="J32" s="82" t="s">
        <v>846</v>
      </c>
      <c r="K32" s="83" t="s">
        <v>623</v>
      </c>
      <c r="L32" s="84">
        <v>9500</v>
      </c>
      <c r="M32" s="85" t="s">
        <v>832</v>
      </c>
    </row>
    <row r="33" spans="1:13" x14ac:dyDescent="0.25">
      <c r="A33" s="108" t="s">
        <v>12</v>
      </c>
      <c r="B33" s="87">
        <v>2001893</v>
      </c>
      <c r="C33" s="87">
        <v>9046</v>
      </c>
      <c r="D33" s="87" t="s">
        <v>625</v>
      </c>
      <c r="E33" s="87">
        <v>69</v>
      </c>
      <c r="F33" s="87" t="s">
        <v>60</v>
      </c>
      <c r="G33" s="87" t="s">
        <v>22</v>
      </c>
      <c r="H33" s="86" t="s">
        <v>514</v>
      </c>
      <c r="I33" s="86" t="s">
        <v>855</v>
      </c>
      <c r="J33" s="87" t="s">
        <v>855</v>
      </c>
      <c r="K33" s="95" t="s">
        <v>623</v>
      </c>
      <c r="L33" s="96">
        <v>9500</v>
      </c>
      <c r="M33" s="91" t="s">
        <v>832</v>
      </c>
    </row>
    <row r="34" spans="1:13" x14ac:dyDescent="0.25">
      <c r="A34" s="103" t="s">
        <v>12</v>
      </c>
      <c r="B34" s="82">
        <v>2001893</v>
      </c>
      <c r="C34" s="82">
        <v>9046</v>
      </c>
      <c r="D34" s="82" t="s">
        <v>625</v>
      </c>
      <c r="E34" s="82">
        <v>69</v>
      </c>
      <c r="F34" s="82" t="s">
        <v>60</v>
      </c>
      <c r="G34" s="82" t="s">
        <v>22</v>
      </c>
      <c r="H34" s="82" t="s">
        <v>514</v>
      </c>
      <c r="I34" s="92" t="s">
        <v>860</v>
      </c>
      <c r="J34" s="92" t="s">
        <v>860</v>
      </c>
      <c r="K34" s="83" t="s">
        <v>623</v>
      </c>
      <c r="L34" s="84">
        <v>9500</v>
      </c>
      <c r="M34" s="85" t="s">
        <v>832</v>
      </c>
    </row>
    <row r="35" spans="1:13" ht="21" x14ac:dyDescent="0.25">
      <c r="A35" s="106" t="s">
        <v>19</v>
      </c>
      <c r="B35" s="88">
        <v>2018292</v>
      </c>
      <c r="C35" s="87">
        <v>57035</v>
      </c>
      <c r="D35" s="88" t="s">
        <v>1050</v>
      </c>
      <c r="E35" s="88">
        <v>64</v>
      </c>
      <c r="F35" s="88" t="s">
        <v>60</v>
      </c>
      <c r="G35" s="88" t="s">
        <v>22</v>
      </c>
      <c r="H35" s="88" t="s">
        <v>1051</v>
      </c>
      <c r="I35" s="88" t="s">
        <v>85</v>
      </c>
      <c r="J35" s="88" t="s">
        <v>835</v>
      </c>
      <c r="K35" s="89">
        <v>5</v>
      </c>
      <c r="L35" s="90">
        <v>460000</v>
      </c>
      <c r="M35" s="91" t="s">
        <v>832</v>
      </c>
    </row>
    <row r="36" spans="1:13" x14ac:dyDescent="0.25">
      <c r="A36" s="107" t="s">
        <v>19</v>
      </c>
      <c r="B36" s="82">
        <v>2003444</v>
      </c>
      <c r="C36" s="82">
        <v>18642</v>
      </c>
      <c r="D36" s="82" t="s">
        <v>680</v>
      </c>
      <c r="E36" s="82">
        <v>64</v>
      </c>
      <c r="F36" s="82" t="s">
        <v>60</v>
      </c>
      <c r="G36" s="82" t="s">
        <v>22</v>
      </c>
      <c r="H36" s="92" t="s">
        <v>514</v>
      </c>
      <c r="I36" s="92" t="s">
        <v>834</v>
      </c>
      <c r="J36" s="82" t="s">
        <v>834</v>
      </c>
      <c r="K36" s="83" t="s">
        <v>623</v>
      </c>
      <c r="L36" s="84">
        <v>14260</v>
      </c>
      <c r="M36" s="85" t="s">
        <v>832</v>
      </c>
    </row>
    <row r="37" spans="1:13" ht="31.5" x14ac:dyDescent="0.25">
      <c r="A37" s="106" t="s">
        <v>19</v>
      </c>
      <c r="B37" s="87">
        <v>2020636</v>
      </c>
      <c r="C37" s="87">
        <v>18572</v>
      </c>
      <c r="D37" s="87" t="s">
        <v>968</v>
      </c>
      <c r="E37" s="87">
        <v>63</v>
      </c>
      <c r="F37" s="87" t="s">
        <v>969</v>
      </c>
      <c r="G37" s="87" t="s">
        <v>22</v>
      </c>
      <c r="H37" s="86" t="s">
        <v>970</v>
      </c>
      <c r="I37" s="86" t="s">
        <v>193</v>
      </c>
      <c r="J37" s="87" t="s">
        <v>846</v>
      </c>
      <c r="K37" s="95">
        <v>6</v>
      </c>
      <c r="L37" s="96">
        <v>316061</v>
      </c>
      <c r="M37" s="91" t="s">
        <v>832</v>
      </c>
    </row>
    <row r="38" spans="1:13" ht="21" x14ac:dyDescent="0.25">
      <c r="A38" s="107" t="s">
        <v>19</v>
      </c>
      <c r="B38" s="82">
        <v>2011543</v>
      </c>
      <c r="C38" s="82">
        <v>9552</v>
      </c>
      <c r="D38" s="82" t="s">
        <v>844</v>
      </c>
      <c r="E38" s="82">
        <v>20</v>
      </c>
      <c r="F38" s="82" t="s">
        <v>60</v>
      </c>
      <c r="G38" s="82" t="s">
        <v>88</v>
      </c>
      <c r="H38" s="92" t="s">
        <v>845</v>
      </c>
      <c r="I38" s="92" t="s">
        <v>843</v>
      </c>
      <c r="J38" s="82" t="s">
        <v>846</v>
      </c>
      <c r="K38" s="83">
        <v>1</v>
      </c>
      <c r="L38" s="84">
        <v>62290</v>
      </c>
      <c r="M38" s="85" t="s">
        <v>832</v>
      </c>
    </row>
    <row r="39" spans="1:13" ht="21" x14ac:dyDescent="0.25">
      <c r="A39" s="106" t="s">
        <v>19</v>
      </c>
      <c r="B39" s="87">
        <v>2014688</v>
      </c>
      <c r="C39" s="87">
        <v>55141</v>
      </c>
      <c r="D39" s="87" t="s">
        <v>1074</v>
      </c>
      <c r="E39" s="87">
        <v>52</v>
      </c>
      <c r="F39" s="87" t="s">
        <v>1075</v>
      </c>
      <c r="G39" s="87" t="s">
        <v>15</v>
      </c>
      <c r="H39" s="86" t="s">
        <v>1076</v>
      </c>
      <c r="I39" s="86" t="s">
        <v>835</v>
      </c>
      <c r="J39" s="87" t="s">
        <v>901</v>
      </c>
      <c r="K39" s="95">
        <v>7</v>
      </c>
      <c r="L39" s="96">
        <v>140975</v>
      </c>
      <c r="M39" s="91" t="s">
        <v>832</v>
      </c>
    </row>
    <row r="40" spans="1:13" x14ac:dyDescent="0.25">
      <c r="A40" s="107" t="s">
        <v>19</v>
      </c>
      <c r="B40" s="82">
        <v>2010997</v>
      </c>
      <c r="C40" s="82">
        <v>13144</v>
      </c>
      <c r="D40" s="82" t="s">
        <v>998</v>
      </c>
      <c r="E40" s="82">
        <v>73</v>
      </c>
      <c r="F40" s="82" t="s">
        <v>60</v>
      </c>
      <c r="G40" s="82" t="s">
        <v>22</v>
      </c>
      <c r="H40" s="82" t="s">
        <v>379</v>
      </c>
      <c r="I40" s="92" t="s">
        <v>901</v>
      </c>
      <c r="J40" s="92" t="s">
        <v>860</v>
      </c>
      <c r="K40" s="83">
        <v>4</v>
      </c>
      <c r="L40" s="84">
        <v>366866.1</v>
      </c>
      <c r="M40" s="85" t="s">
        <v>832</v>
      </c>
    </row>
    <row r="41" spans="1:13" x14ac:dyDescent="0.25">
      <c r="A41" s="108" t="s">
        <v>19</v>
      </c>
      <c r="B41" s="87">
        <v>2011685</v>
      </c>
      <c r="C41" s="87">
        <v>100868</v>
      </c>
      <c r="D41" s="87" t="s">
        <v>1255</v>
      </c>
      <c r="E41" s="87">
        <v>63</v>
      </c>
      <c r="F41" s="87" t="s">
        <v>14</v>
      </c>
      <c r="G41" s="87" t="s">
        <v>15</v>
      </c>
      <c r="H41" s="87" t="s">
        <v>1256</v>
      </c>
      <c r="I41" s="87" t="s">
        <v>909</v>
      </c>
      <c r="J41" s="87" t="s">
        <v>1236</v>
      </c>
      <c r="K41" s="95">
        <v>4</v>
      </c>
      <c r="L41" s="96">
        <v>118722.1</v>
      </c>
      <c r="M41" s="91" t="s">
        <v>832</v>
      </c>
    </row>
    <row r="42" spans="1:13" x14ac:dyDescent="0.25">
      <c r="A42" s="103" t="s">
        <v>19</v>
      </c>
      <c r="B42" s="82">
        <v>2001971</v>
      </c>
      <c r="C42" s="82">
        <v>12324</v>
      </c>
      <c r="D42" s="82" t="s">
        <v>20</v>
      </c>
      <c r="E42" s="82">
        <v>65</v>
      </c>
      <c r="F42" s="82" t="s">
        <v>60</v>
      </c>
      <c r="G42" s="82" t="s">
        <v>22</v>
      </c>
      <c r="H42" s="92" t="s">
        <v>445</v>
      </c>
      <c r="I42" s="92" t="s">
        <v>1238</v>
      </c>
      <c r="J42" s="92" t="s">
        <v>1238</v>
      </c>
      <c r="K42" s="83" t="s">
        <v>714</v>
      </c>
      <c r="L42" s="84">
        <v>128079.9</v>
      </c>
      <c r="M42" s="85" t="s">
        <v>832</v>
      </c>
    </row>
    <row r="43" spans="1:13" x14ac:dyDescent="0.25">
      <c r="A43" s="108" t="s">
        <v>19</v>
      </c>
      <c r="B43" s="87">
        <v>2012273</v>
      </c>
      <c r="C43" s="87">
        <v>9967</v>
      </c>
      <c r="D43" s="87" t="s">
        <v>1257</v>
      </c>
      <c r="E43" s="87">
        <v>67</v>
      </c>
      <c r="F43" s="87" t="s">
        <v>1258</v>
      </c>
      <c r="G43" s="87" t="s">
        <v>22</v>
      </c>
      <c r="H43" s="87" t="s">
        <v>1259</v>
      </c>
      <c r="I43" s="87" t="s">
        <v>1231</v>
      </c>
      <c r="J43" s="87" t="s">
        <v>1225</v>
      </c>
      <c r="K43" s="95">
        <v>3</v>
      </c>
      <c r="L43" s="96">
        <v>135746.5</v>
      </c>
      <c r="M43" s="91" t="s">
        <v>832</v>
      </c>
    </row>
    <row r="44" spans="1:13" x14ac:dyDescent="0.25">
      <c r="A44" s="107" t="s">
        <v>990</v>
      </c>
      <c r="B44" s="82">
        <v>2001823</v>
      </c>
      <c r="C44" s="82">
        <v>10576</v>
      </c>
      <c r="D44" s="82" t="s">
        <v>630</v>
      </c>
      <c r="E44" s="82">
        <v>71</v>
      </c>
      <c r="F44" s="82" t="s">
        <v>60</v>
      </c>
      <c r="G44" s="82" t="s">
        <v>22</v>
      </c>
      <c r="H44" s="92" t="s">
        <v>514</v>
      </c>
      <c r="I44" s="92" t="s">
        <v>834</v>
      </c>
      <c r="J44" s="82" t="s">
        <v>834</v>
      </c>
      <c r="K44" s="83" t="s">
        <v>623</v>
      </c>
      <c r="L44" s="84">
        <v>10650</v>
      </c>
      <c r="M44" s="85" t="s">
        <v>832</v>
      </c>
    </row>
    <row r="45" spans="1:13" x14ac:dyDescent="0.25">
      <c r="A45" s="106" t="s">
        <v>990</v>
      </c>
      <c r="B45" s="87">
        <v>2019634</v>
      </c>
      <c r="C45" s="87">
        <v>42684</v>
      </c>
      <c r="D45" s="87" t="s">
        <v>628</v>
      </c>
      <c r="E45" s="87">
        <v>69</v>
      </c>
      <c r="F45" s="87" t="s">
        <v>60</v>
      </c>
      <c r="G45" s="87" t="s">
        <v>15</v>
      </c>
      <c r="H45" s="86" t="s">
        <v>514</v>
      </c>
      <c r="I45" s="86" t="s">
        <v>834</v>
      </c>
      <c r="J45" s="87" t="s">
        <v>834</v>
      </c>
      <c r="K45" s="95" t="s">
        <v>623</v>
      </c>
      <c r="L45" s="96">
        <v>10650</v>
      </c>
      <c r="M45" s="91" t="s">
        <v>832</v>
      </c>
    </row>
    <row r="46" spans="1:13" ht="21" x14ac:dyDescent="0.25">
      <c r="A46" s="107" t="s">
        <v>990</v>
      </c>
      <c r="B46" s="93">
        <v>2019634</v>
      </c>
      <c r="C46" s="82">
        <v>42684</v>
      </c>
      <c r="D46" s="93" t="s">
        <v>631</v>
      </c>
      <c r="E46" s="93">
        <v>68</v>
      </c>
      <c r="F46" s="93" t="s">
        <v>60</v>
      </c>
      <c r="G46" s="93" t="s">
        <v>15</v>
      </c>
      <c r="H46" s="93" t="s">
        <v>1174</v>
      </c>
      <c r="I46" s="93" t="s">
        <v>1175</v>
      </c>
      <c r="J46" s="93" t="s">
        <v>843</v>
      </c>
      <c r="K46" s="83" t="s">
        <v>623</v>
      </c>
      <c r="L46" s="94">
        <v>10650</v>
      </c>
      <c r="M46" s="85" t="s">
        <v>832</v>
      </c>
    </row>
    <row r="47" spans="1:13" x14ac:dyDescent="0.25">
      <c r="A47" s="106" t="s">
        <v>990</v>
      </c>
      <c r="B47" s="87">
        <v>2007823</v>
      </c>
      <c r="C47" s="87">
        <v>10576</v>
      </c>
      <c r="D47" s="87" t="s">
        <v>629</v>
      </c>
      <c r="E47" s="87">
        <v>72</v>
      </c>
      <c r="F47" s="87" t="s">
        <v>126</v>
      </c>
      <c r="G47" s="87" t="s">
        <v>22</v>
      </c>
      <c r="H47" s="86" t="s">
        <v>514</v>
      </c>
      <c r="I47" s="86" t="s">
        <v>831</v>
      </c>
      <c r="J47" s="87" t="s">
        <v>831</v>
      </c>
      <c r="K47" s="95" t="s">
        <v>623</v>
      </c>
      <c r="L47" s="96">
        <v>10650</v>
      </c>
      <c r="M47" s="91" t="s">
        <v>832</v>
      </c>
    </row>
    <row r="48" spans="1:13" x14ac:dyDescent="0.25">
      <c r="A48" s="107" t="s">
        <v>990</v>
      </c>
      <c r="B48" s="82">
        <v>2019634</v>
      </c>
      <c r="C48" s="82">
        <v>42684</v>
      </c>
      <c r="D48" s="82" t="s">
        <v>698</v>
      </c>
      <c r="E48" s="82">
        <v>68</v>
      </c>
      <c r="F48" s="82" t="s">
        <v>60</v>
      </c>
      <c r="G48" s="82" t="s">
        <v>15</v>
      </c>
      <c r="H48" s="92" t="s">
        <v>514</v>
      </c>
      <c r="I48" s="92" t="s">
        <v>831</v>
      </c>
      <c r="J48" s="82" t="s">
        <v>831</v>
      </c>
      <c r="K48" s="83" t="s">
        <v>623</v>
      </c>
      <c r="L48" s="84">
        <v>10650</v>
      </c>
      <c r="M48" s="85" t="s">
        <v>832</v>
      </c>
    </row>
    <row r="49" spans="1:13" ht="21" x14ac:dyDescent="0.25">
      <c r="A49" s="106" t="s">
        <v>990</v>
      </c>
      <c r="B49" s="87">
        <v>2002085</v>
      </c>
      <c r="C49" s="87">
        <v>18453</v>
      </c>
      <c r="D49" s="87" t="s">
        <v>991</v>
      </c>
      <c r="E49" s="87">
        <v>66</v>
      </c>
      <c r="F49" s="87" t="s">
        <v>992</v>
      </c>
      <c r="G49" s="87" t="s">
        <v>22</v>
      </c>
      <c r="H49" s="86" t="s">
        <v>993</v>
      </c>
      <c r="I49" s="86" t="s">
        <v>831</v>
      </c>
      <c r="J49" s="87" t="s">
        <v>851</v>
      </c>
      <c r="K49" s="95">
        <v>4</v>
      </c>
      <c r="L49" s="96">
        <v>139402</v>
      </c>
      <c r="M49" s="91" t="s">
        <v>832</v>
      </c>
    </row>
    <row r="50" spans="1:13" x14ac:dyDescent="0.25">
      <c r="A50" s="107" t="s">
        <v>990</v>
      </c>
      <c r="B50" s="82">
        <v>2001823</v>
      </c>
      <c r="C50" s="82">
        <v>10576</v>
      </c>
      <c r="D50" s="82" t="s">
        <v>630</v>
      </c>
      <c r="E50" s="82">
        <v>72</v>
      </c>
      <c r="F50" s="82" t="s">
        <v>60</v>
      </c>
      <c r="G50" s="82" t="s">
        <v>22</v>
      </c>
      <c r="H50" s="92" t="s">
        <v>514</v>
      </c>
      <c r="I50" s="92" t="s">
        <v>851</v>
      </c>
      <c r="J50" s="82" t="s">
        <v>851</v>
      </c>
      <c r="K50" s="83" t="s">
        <v>623</v>
      </c>
      <c r="L50" s="84">
        <v>10650</v>
      </c>
      <c r="M50" s="85" t="s">
        <v>832</v>
      </c>
    </row>
    <row r="51" spans="1:13" x14ac:dyDescent="0.25">
      <c r="A51" s="106" t="s">
        <v>990</v>
      </c>
      <c r="B51" s="87">
        <v>2019634</v>
      </c>
      <c r="C51" s="87">
        <v>42684</v>
      </c>
      <c r="D51" s="87" t="s">
        <v>1176</v>
      </c>
      <c r="E51" s="87">
        <v>68</v>
      </c>
      <c r="F51" s="87" t="s">
        <v>60</v>
      </c>
      <c r="G51" s="87" t="s">
        <v>15</v>
      </c>
      <c r="H51" s="86" t="s">
        <v>514</v>
      </c>
      <c r="I51" s="86" t="s">
        <v>851</v>
      </c>
      <c r="J51" s="87" t="s">
        <v>851</v>
      </c>
      <c r="K51" s="95" t="s">
        <v>623</v>
      </c>
      <c r="L51" s="96">
        <v>10650</v>
      </c>
      <c r="M51" s="91" t="s">
        <v>832</v>
      </c>
    </row>
    <row r="52" spans="1:13" x14ac:dyDescent="0.25">
      <c r="A52" s="107" t="s">
        <v>990</v>
      </c>
      <c r="B52" s="82">
        <v>2001823</v>
      </c>
      <c r="C52" s="82">
        <v>10576</v>
      </c>
      <c r="D52" s="82" t="s">
        <v>630</v>
      </c>
      <c r="E52" s="82">
        <v>72</v>
      </c>
      <c r="F52" s="82" t="s">
        <v>60</v>
      </c>
      <c r="G52" s="82" t="s">
        <v>22</v>
      </c>
      <c r="H52" s="82" t="s">
        <v>514</v>
      </c>
      <c r="I52" s="92" t="s">
        <v>859</v>
      </c>
      <c r="J52" s="92" t="s">
        <v>859</v>
      </c>
      <c r="K52" s="83" t="s">
        <v>623</v>
      </c>
      <c r="L52" s="84">
        <v>10650</v>
      </c>
      <c r="M52" s="85" t="s">
        <v>832</v>
      </c>
    </row>
    <row r="53" spans="1:13" x14ac:dyDescent="0.25">
      <c r="A53" s="106" t="s">
        <v>990</v>
      </c>
      <c r="B53" s="87">
        <v>2019634</v>
      </c>
      <c r="C53" s="87">
        <v>42684</v>
      </c>
      <c r="D53" s="87" t="s">
        <v>1173</v>
      </c>
      <c r="E53" s="87">
        <v>72</v>
      </c>
      <c r="F53" s="87" t="s">
        <v>60</v>
      </c>
      <c r="G53" s="87" t="s">
        <v>15</v>
      </c>
      <c r="H53" s="87" t="s">
        <v>514</v>
      </c>
      <c r="I53" s="86" t="s">
        <v>859</v>
      </c>
      <c r="J53" s="86" t="s">
        <v>859</v>
      </c>
      <c r="K53" s="95" t="s">
        <v>623</v>
      </c>
      <c r="L53" s="96">
        <v>10650</v>
      </c>
      <c r="M53" s="91" t="s">
        <v>832</v>
      </c>
    </row>
    <row r="54" spans="1:13" x14ac:dyDescent="0.25">
      <c r="A54" s="103" t="s">
        <v>990</v>
      </c>
      <c r="B54" s="93">
        <v>2001823</v>
      </c>
      <c r="C54" s="82">
        <v>10576</v>
      </c>
      <c r="D54" s="93" t="s">
        <v>630</v>
      </c>
      <c r="E54" s="93">
        <v>72</v>
      </c>
      <c r="F54" s="93" t="s">
        <v>60</v>
      </c>
      <c r="G54" s="93" t="s">
        <v>22</v>
      </c>
      <c r="H54" s="93" t="s">
        <v>514</v>
      </c>
      <c r="I54" s="93" t="s">
        <v>1260</v>
      </c>
      <c r="J54" s="93" t="s">
        <v>1260</v>
      </c>
      <c r="K54" s="83" t="s">
        <v>623</v>
      </c>
      <c r="L54" s="94">
        <v>10650</v>
      </c>
      <c r="M54" s="85" t="s">
        <v>832</v>
      </c>
    </row>
    <row r="55" spans="1:13" x14ac:dyDescent="0.25">
      <c r="A55" s="108" t="s">
        <v>990</v>
      </c>
      <c r="B55" s="88">
        <v>2019634</v>
      </c>
      <c r="C55" s="87">
        <v>42684</v>
      </c>
      <c r="D55" s="88" t="s">
        <v>628</v>
      </c>
      <c r="E55" s="88">
        <v>69</v>
      </c>
      <c r="F55" s="88" t="s">
        <v>60</v>
      </c>
      <c r="G55" s="88" t="s">
        <v>15</v>
      </c>
      <c r="H55" s="88" t="s">
        <v>514</v>
      </c>
      <c r="I55" s="88" t="s">
        <v>1260</v>
      </c>
      <c r="J55" s="88" t="s">
        <v>1260</v>
      </c>
      <c r="K55" s="95" t="s">
        <v>623</v>
      </c>
      <c r="L55" s="90">
        <v>10650</v>
      </c>
      <c r="M55" s="91" t="s">
        <v>832</v>
      </c>
    </row>
    <row r="56" spans="1:13" ht="42" x14ac:dyDescent="0.25">
      <c r="A56" s="103" t="s">
        <v>990</v>
      </c>
      <c r="B56" s="82">
        <v>2022800</v>
      </c>
      <c r="C56" s="82">
        <v>16631</v>
      </c>
      <c r="D56" s="82" t="s">
        <v>320</v>
      </c>
      <c r="E56" s="82">
        <v>57</v>
      </c>
      <c r="F56" s="82" t="s">
        <v>49</v>
      </c>
      <c r="G56" s="82" t="s">
        <v>15</v>
      </c>
      <c r="H56" s="92" t="s">
        <v>1261</v>
      </c>
      <c r="I56" s="92" t="s">
        <v>1262</v>
      </c>
      <c r="J56" s="92" t="s">
        <v>1241</v>
      </c>
      <c r="K56" s="83">
        <v>24</v>
      </c>
      <c r="L56" s="84">
        <v>553939</v>
      </c>
      <c r="M56" s="85" t="s">
        <v>832</v>
      </c>
    </row>
    <row r="57" spans="1:13" x14ac:dyDescent="0.25">
      <c r="A57" s="108" t="s">
        <v>990</v>
      </c>
      <c r="B57" s="87">
        <v>2001823</v>
      </c>
      <c r="C57" s="87">
        <v>10576</v>
      </c>
      <c r="D57" s="87" t="s">
        <v>630</v>
      </c>
      <c r="E57" s="87">
        <v>71</v>
      </c>
      <c r="F57" s="87" t="s">
        <v>60</v>
      </c>
      <c r="G57" s="87" t="s">
        <v>22</v>
      </c>
      <c r="H57" s="87" t="s">
        <v>699</v>
      </c>
      <c r="I57" s="87" t="s">
        <v>1249</v>
      </c>
      <c r="J57" s="87" t="s">
        <v>1249</v>
      </c>
      <c r="K57" s="95" t="s">
        <v>623</v>
      </c>
      <c r="L57" s="96">
        <v>10650</v>
      </c>
      <c r="M57" s="91" t="s">
        <v>832</v>
      </c>
    </row>
    <row r="58" spans="1:13" x14ac:dyDescent="0.25">
      <c r="A58" s="103" t="s">
        <v>990</v>
      </c>
      <c r="B58" s="82">
        <v>2019634</v>
      </c>
      <c r="C58" s="82">
        <v>42684</v>
      </c>
      <c r="D58" s="82" t="s">
        <v>628</v>
      </c>
      <c r="E58" s="82">
        <v>68</v>
      </c>
      <c r="F58" s="82" t="s">
        <v>60</v>
      </c>
      <c r="G58" s="82" t="s">
        <v>15</v>
      </c>
      <c r="H58" s="82" t="s">
        <v>699</v>
      </c>
      <c r="I58" s="82" t="s">
        <v>1249</v>
      </c>
      <c r="J58" s="82" t="s">
        <v>1249</v>
      </c>
      <c r="K58" s="83" t="s">
        <v>623</v>
      </c>
      <c r="L58" s="84">
        <v>10650</v>
      </c>
      <c r="M58" s="85" t="s">
        <v>832</v>
      </c>
    </row>
    <row r="59" spans="1:13" x14ac:dyDescent="0.25">
      <c r="A59" s="108" t="s">
        <v>990</v>
      </c>
      <c r="B59" s="87">
        <v>2001823</v>
      </c>
      <c r="C59" s="87">
        <v>10576</v>
      </c>
      <c r="D59" s="87" t="s">
        <v>630</v>
      </c>
      <c r="E59" s="87">
        <v>72</v>
      </c>
      <c r="F59" s="87" t="s">
        <v>60</v>
      </c>
      <c r="G59" s="87" t="s">
        <v>22</v>
      </c>
      <c r="H59" s="86" t="s">
        <v>514</v>
      </c>
      <c r="I59" s="86" t="s">
        <v>1242</v>
      </c>
      <c r="J59" s="86" t="s">
        <v>1242</v>
      </c>
      <c r="K59" s="95" t="s">
        <v>623</v>
      </c>
      <c r="L59" s="96">
        <v>10650</v>
      </c>
      <c r="M59" s="91" t="s">
        <v>832</v>
      </c>
    </row>
    <row r="60" spans="1:13" x14ac:dyDescent="0.25">
      <c r="A60" s="103" t="s">
        <v>990</v>
      </c>
      <c r="B60" s="82">
        <v>2019634</v>
      </c>
      <c r="C60" s="82">
        <v>42684</v>
      </c>
      <c r="D60" s="82" t="s">
        <v>628</v>
      </c>
      <c r="E60" s="82">
        <v>69</v>
      </c>
      <c r="F60" s="82" t="s">
        <v>60</v>
      </c>
      <c r="G60" s="82" t="s">
        <v>15</v>
      </c>
      <c r="H60" s="92" t="s">
        <v>514</v>
      </c>
      <c r="I60" s="92" t="s">
        <v>1242</v>
      </c>
      <c r="J60" s="92" t="s">
        <v>1242</v>
      </c>
      <c r="K60" s="83" t="s">
        <v>623</v>
      </c>
      <c r="L60" s="84">
        <v>10650</v>
      </c>
      <c r="M60" s="85" t="s">
        <v>832</v>
      </c>
    </row>
    <row r="61" spans="1:13" ht="21" x14ac:dyDescent="0.25">
      <c r="A61" s="108" t="s">
        <v>990</v>
      </c>
      <c r="B61" s="88">
        <v>2001823</v>
      </c>
      <c r="C61" s="87">
        <v>10576</v>
      </c>
      <c r="D61" s="88" t="s">
        <v>630</v>
      </c>
      <c r="E61" s="88">
        <v>72</v>
      </c>
      <c r="F61" s="88" t="s">
        <v>60</v>
      </c>
      <c r="G61" s="88" t="s">
        <v>22</v>
      </c>
      <c r="H61" s="88" t="s">
        <v>514</v>
      </c>
      <c r="I61" s="88" t="s">
        <v>1263</v>
      </c>
      <c r="J61" s="88" t="s">
        <v>1264</v>
      </c>
      <c r="K61" s="95" t="s">
        <v>623</v>
      </c>
      <c r="L61" s="90">
        <v>10650</v>
      </c>
      <c r="M61" s="91" t="s">
        <v>832</v>
      </c>
    </row>
    <row r="62" spans="1:13" x14ac:dyDescent="0.25">
      <c r="A62" s="103" t="s">
        <v>990</v>
      </c>
      <c r="B62" s="93">
        <v>2019634</v>
      </c>
      <c r="C62" s="82">
        <v>42684</v>
      </c>
      <c r="D62" s="93" t="s">
        <v>1176</v>
      </c>
      <c r="E62" s="93">
        <v>69</v>
      </c>
      <c r="F62" s="93" t="s">
        <v>60</v>
      </c>
      <c r="G62" s="93" t="s">
        <v>15</v>
      </c>
      <c r="H62" s="93" t="s">
        <v>514</v>
      </c>
      <c r="I62" s="93" t="s">
        <v>1264</v>
      </c>
      <c r="J62" s="93" t="s">
        <v>1264</v>
      </c>
      <c r="K62" s="83" t="s">
        <v>623</v>
      </c>
      <c r="L62" s="94">
        <v>10650</v>
      </c>
      <c r="M62" s="85" t="s">
        <v>832</v>
      </c>
    </row>
    <row r="63" spans="1:13" x14ac:dyDescent="0.25">
      <c r="A63" s="106" t="s">
        <v>726</v>
      </c>
      <c r="B63" s="87">
        <v>2018773</v>
      </c>
      <c r="C63" s="87">
        <v>21046</v>
      </c>
      <c r="D63" s="87" t="s">
        <v>1197</v>
      </c>
      <c r="E63" s="87">
        <v>58</v>
      </c>
      <c r="F63" s="87" t="s">
        <v>126</v>
      </c>
      <c r="G63" s="87" t="s">
        <v>22</v>
      </c>
      <c r="H63" s="86" t="s">
        <v>445</v>
      </c>
      <c r="I63" s="86" t="s">
        <v>831</v>
      </c>
      <c r="J63" s="87" t="s">
        <v>831</v>
      </c>
      <c r="K63" s="95" t="s">
        <v>714</v>
      </c>
      <c r="L63" s="96">
        <v>63416</v>
      </c>
      <c r="M63" s="91" t="s">
        <v>832</v>
      </c>
    </row>
    <row r="64" spans="1:13" ht="21" x14ac:dyDescent="0.25">
      <c r="A64" s="107" t="s">
        <v>726</v>
      </c>
      <c r="B64" s="82">
        <v>2009023</v>
      </c>
      <c r="C64" s="82">
        <v>18240</v>
      </c>
      <c r="D64" s="82" t="s">
        <v>1191</v>
      </c>
      <c r="E64" s="82">
        <v>42</v>
      </c>
      <c r="F64" s="82" t="s">
        <v>49</v>
      </c>
      <c r="G64" s="82" t="s">
        <v>15</v>
      </c>
      <c r="H64" s="92" t="s">
        <v>1192</v>
      </c>
      <c r="I64" s="92" t="s">
        <v>855</v>
      </c>
      <c r="J64" s="82" t="s">
        <v>855</v>
      </c>
      <c r="K64" s="83" t="s">
        <v>714</v>
      </c>
      <c r="L64" s="84">
        <v>75850</v>
      </c>
      <c r="M64" s="85" t="s">
        <v>832</v>
      </c>
    </row>
    <row r="65" spans="1:13" x14ac:dyDescent="0.25">
      <c r="A65" s="108" t="s">
        <v>726</v>
      </c>
      <c r="B65" s="87">
        <v>2002668</v>
      </c>
      <c r="C65" s="87">
        <v>17920</v>
      </c>
      <c r="D65" s="87" t="s">
        <v>1265</v>
      </c>
      <c r="E65" s="87">
        <v>66</v>
      </c>
      <c r="F65" s="87" t="s">
        <v>60</v>
      </c>
      <c r="G65" s="87" t="s">
        <v>22</v>
      </c>
      <c r="H65" s="87" t="s">
        <v>1199</v>
      </c>
      <c r="I65" s="87" t="s">
        <v>1236</v>
      </c>
      <c r="J65" s="87" t="s">
        <v>1236</v>
      </c>
      <c r="K65" s="95" t="s">
        <v>714</v>
      </c>
      <c r="L65" s="96">
        <v>70475</v>
      </c>
      <c r="M65" s="91" t="s">
        <v>832</v>
      </c>
    </row>
    <row r="66" spans="1:13" x14ac:dyDescent="0.25">
      <c r="A66" s="103" t="s">
        <v>726</v>
      </c>
      <c r="B66" s="82">
        <v>2017384</v>
      </c>
      <c r="C66" s="82">
        <v>53142</v>
      </c>
      <c r="D66" s="82" t="s">
        <v>1147</v>
      </c>
      <c r="E66" s="82">
        <v>63</v>
      </c>
      <c r="F66" s="82" t="s">
        <v>60</v>
      </c>
      <c r="G66" s="82" t="s">
        <v>22</v>
      </c>
      <c r="H66" s="92" t="s">
        <v>1266</v>
      </c>
      <c r="I66" s="92" t="s">
        <v>1241</v>
      </c>
      <c r="J66" s="92" t="s">
        <v>1241</v>
      </c>
      <c r="K66" s="83" t="s">
        <v>714</v>
      </c>
      <c r="L66" s="84">
        <v>75850</v>
      </c>
      <c r="M66" s="85" t="s">
        <v>832</v>
      </c>
    </row>
    <row r="67" spans="1:13" ht="21" x14ac:dyDescent="0.25">
      <c r="A67" s="108" t="s">
        <v>726</v>
      </c>
      <c r="B67" s="87">
        <v>2012481</v>
      </c>
      <c r="C67" s="87">
        <v>10103</v>
      </c>
      <c r="D67" s="87" t="s">
        <v>1267</v>
      </c>
      <c r="E67" s="87">
        <v>63</v>
      </c>
      <c r="F67" s="87" t="s">
        <v>60</v>
      </c>
      <c r="G67" s="87" t="s">
        <v>22</v>
      </c>
      <c r="H67" s="86" t="s">
        <v>1199</v>
      </c>
      <c r="I67" s="86" t="s">
        <v>1268</v>
      </c>
      <c r="J67" s="86" t="s">
        <v>1242</v>
      </c>
      <c r="K67" s="95" t="s">
        <v>714</v>
      </c>
      <c r="L67" s="96">
        <v>16975</v>
      </c>
      <c r="M67" s="91" t="s">
        <v>832</v>
      </c>
    </row>
    <row r="68" spans="1:13" x14ac:dyDescent="0.25">
      <c r="A68" s="103" t="s">
        <v>726</v>
      </c>
      <c r="B68" s="93">
        <v>2018773</v>
      </c>
      <c r="C68" s="82">
        <v>21046</v>
      </c>
      <c r="D68" s="93" t="s">
        <v>731</v>
      </c>
      <c r="E68" s="93">
        <v>59</v>
      </c>
      <c r="F68" s="93" t="s">
        <v>60</v>
      </c>
      <c r="G68" s="93" t="s">
        <v>22</v>
      </c>
      <c r="H68" s="93" t="s">
        <v>445</v>
      </c>
      <c r="I68" s="93" t="s">
        <v>1264</v>
      </c>
      <c r="J68" s="93" t="s">
        <v>1264</v>
      </c>
      <c r="K68" s="83" t="s">
        <v>714</v>
      </c>
      <c r="L68" s="94">
        <v>49477</v>
      </c>
      <c r="M68" s="85" t="s">
        <v>832</v>
      </c>
    </row>
    <row r="69" spans="1:13" x14ac:dyDescent="0.25">
      <c r="A69" s="108" t="s">
        <v>726</v>
      </c>
      <c r="B69" s="88">
        <v>2000236</v>
      </c>
      <c r="C69" s="87">
        <v>20756</v>
      </c>
      <c r="D69" s="88" t="s">
        <v>1269</v>
      </c>
      <c r="E69" s="88">
        <v>69</v>
      </c>
      <c r="F69" s="88" t="s">
        <v>60</v>
      </c>
      <c r="G69" s="88" t="s">
        <v>22</v>
      </c>
      <c r="H69" s="88" t="s">
        <v>445</v>
      </c>
      <c r="I69" s="88" t="s">
        <v>1264</v>
      </c>
      <c r="J69" s="88" t="s">
        <v>1264</v>
      </c>
      <c r="K69" s="95" t="s">
        <v>714</v>
      </c>
      <c r="L69" s="90">
        <v>43033</v>
      </c>
      <c r="M69" s="91" t="s">
        <v>832</v>
      </c>
    </row>
    <row r="70" spans="1:13" ht="21" x14ac:dyDescent="0.25">
      <c r="A70" s="103" t="s">
        <v>726</v>
      </c>
      <c r="B70" s="93">
        <v>2009023</v>
      </c>
      <c r="C70" s="82">
        <v>18240</v>
      </c>
      <c r="D70" s="93" t="s">
        <v>1191</v>
      </c>
      <c r="E70" s="93">
        <v>42</v>
      </c>
      <c r="F70" s="93" t="s">
        <v>49</v>
      </c>
      <c r="G70" s="93" t="s">
        <v>15</v>
      </c>
      <c r="H70" s="93" t="s">
        <v>1270</v>
      </c>
      <c r="I70" s="93" t="s">
        <v>1271</v>
      </c>
      <c r="J70" s="93" t="s">
        <v>1254</v>
      </c>
      <c r="K70" s="83" t="s">
        <v>714</v>
      </c>
      <c r="L70" s="94">
        <v>114000</v>
      </c>
      <c r="M70" s="85" t="s">
        <v>832</v>
      </c>
    </row>
    <row r="71" spans="1:13" x14ac:dyDescent="0.25">
      <c r="A71" s="106" t="s">
        <v>907</v>
      </c>
      <c r="B71" s="86">
        <v>2505128</v>
      </c>
      <c r="C71" s="87">
        <v>13883</v>
      </c>
      <c r="D71" s="86" t="s">
        <v>202</v>
      </c>
      <c r="E71" s="86">
        <v>66</v>
      </c>
      <c r="F71" s="86" t="s">
        <v>203</v>
      </c>
      <c r="G71" s="86" t="s">
        <v>22</v>
      </c>
      <c r="H71" s="86" t="s">
        <v>908</v>
      </c>
      <c r="I71" s="86" t="s">
        <v>851</v>
      </c>
      <c r="J71" s="86" t="s">
        <v>909</v>
      </c>
      <c r="K71" s="99">
        <v>2</v>
      </c>
      <c r="L71" s="97">
        <v>35600</v>
      </c>
      <c r="M71" s="91" t="s">
        <v>832</v>
      </c>
    </row>
    <row r="72" spans="1:13" ht="31.5" x14ac:dyDescent="0.25">
      <c r="A72" s="107" t="s">
        <v>208</v>
      </c>
      <c r="B72" s="82">
        <v>2011255</v>
      </c>
      <c r="C72" s="82">
        <v>11055</v>
      </c>
      <c r="D72" s="82" t="s">
        <v>950</v>
      </c>
      <c r="E72" s="82">
        <v>20</v>
      </c>
      <c r="F72" s="82" t="s">
        <v>951</v>
      </c>
      <c r="G72" s="82" t="s">
        <v>132</v>
      </c>
      <c r="H72" s="92" t="s">
        <v>952</v>
      </c>
      <c r="I72" s="92" t="s">
        <v>190</v>
      </c>
      <c r="J72" s="82" t="s">
        <v>834</v>
      </c>
      <c r="K72" s="83">
        <v>3</v>
      </c>
      <c r="L72" s="84">
        <v>132500</v>
      </c>
      <c r="M72" s="85" t="s">
        <v>832</v>
      </c>
    </row>
    <row r="73" spans="1:13" ht="52.5" x14ac:dyDescent="0.25">
      <c r="A73" s="106" t="s">
        <v>208</v>
      </c>
      <c r="B73" s="87">
        <v>2014390</v>
      </c>
      <c r="C73" s="87">
        <v>13704</v>
      </c>
      <c r="D73" s="87" t="s">
        <v>1047</v>
      </c>
      <c r="E73" s="87">
        <v>66</v>
      </c>
      <c r="F73" s="87" t="s">
        <v>1048</v>
      </c>
      <c r="G73" s="87" t="s">
        <v>15</v>
      </c>
      <c r="H73" s="86" t="s">
        <v>1049</v>
      </c>
      <c r="I73" s="86" t="s">
        <v>880</v>
      </c>
      <c r="J73" s="87" t="s">
        <v>901</v>
      </c>
      <c r="K73" s="95">
        <v>5</v>
      </c>
      <c r="L73" s="96">
        <v>221810</v>
      </c>
      <c r="M73" s="91" t="s">
        <v>832</v>
      </c>
    </row>
    <row r="74" spans="1:13" x14ac:dyDescent="0.25">
      <c r="A74" s="107" t="s">
        <v>208</v>
      </c>
      <c r="B74" s="93">
        <v>2012902</v>
      </c>
      <c r="C74" s="82">
        <v>55794</v>
      </c>
      <c r="D74" s="93" t="s">
        <v>957</v>
      </c>
      <c r="E74" s="93">
        <v>63</v>
      </c>
      <c r="F74" s="92" t="s">
        <v>14</v>
      </c>
      <c r="G74" s="92" t="s">
        <v>15</v>
      </c>
      <c r="H74" s="93" t="s">
        <v>958</v>
      </c>
      <c r="I74" s="93" t="s">
        <v>901</v>
      </c>
      <c r="J74" s="92" t="s">
        <v>909</v>
      </c>
      <c r="K74" s="100">
        <v>3</v>
      </c>
      <c r="L74" s="94">
        <v>148005</v>
      </c>
      <c r="M74" s="85" t="s">
        <v>832</v>
      </c>
    </row>
    <row r="75" spans="1:13" x14ac:dyDescent="0.25">
      <c r="A75" s="106" t="s">
        <v>208</v>
      </c>
      <c r="B75" s="87">
        <v>2019296</v>
      </c>
      <c r="C75" s="87">
        <v>104424</v>
      </c>
      <c r="D75" s="87" t="s">
        <v>1272</v>
      </c>
      <c r="E75" s="87">
        <v>15</v>
      </c>
      <c r="F75" s="87" t="s">
        <v>1273</v>
      </c>
      <c r="G75" s="87" t="s">
        <v>132</v>
      </c>
      <c r="H75" s="87" t="s">
        <v>1274</v>
      </c>
      <c r="I75" s="87" t="s">
        <v>860</v>
      </c>
      <c r="J75" s="87" t="s">
        <v>1236</v>
      </c>
      <c r="K75" s="95">
        <v>2</v>
      </c>
      <c r="L75" s="96">
        <v>61410</v>
      </c>
      <c r="M75" s="91" t="s">
        <v>832</v>
      </c>
    </row>
    <row r="76" spans="1:13" ht="31.5" x14ac:dyDescent="0.25">
      <c r="A76" s="107" t="s">
        <v>208</v>
      </c>
      <c r="B76" s="82">
        <v>2503001</v>
      </c>
      <c r="C76" s="82">
        <v>64779</v>
      </c>
      <c r="D76" s="82" t="s">
        <v>1275</v>
      </c>
      <c r="E76" s="82">
        <v>65</v>
      </c>
      <c r="F76" s="82" t="s">
        <v>1276</v>
      </c>
      <c r="G76" s="82" t="s">
        <v>22</v>
      </c>
      <c r="H76" s="92" t="s">
        <v>1277</v>
      </c>
      <c r="I76" s="92" t="s">
        <v>919</v>
      </c>
      <c r="J76" s="92" t="s">
        <v>1241</v>
      </c>
      <c r="K76" s="83">
        <v>4</v>
      </c>
      <c r="L76" s="84">
        <v>279559</v>
      </c>
      <c r="M76" s="85" t="s">
        <v>832</v>
      </c>
    </row>
    <row r="77" spans="1:13" ht="21" x14ac:dyDescent="0.25">
      <c r="A77" s="106" t="s">
        <v>208</v>
      </c>
      <c r="B77" s="86">
        <v>2503002</v>
      </c>
      <c r="C77" s="87">
        <v>64779</v>
      </c>
      <c r="D77" s="86" t="s">
        <v>1278</v>
      </c>
      <c r="E77" s="86">
        <v>64</v>
      </c>
      <c r="F77" s="86" t="s">
        <v>1279</v>
      </c>
      <c r="G77" s="86" t="s">
        <v>15</v>
      </c>
      <c r="H77" s="86" t="s">
        <v>1280</v>
      </c>
      <c r="I77" s="86" t="s">
        <v>1225</v>
      </c>
      <c r="J77" s="88" t="s">
        <v>1254</v>
      </c>
      <c r="K77" s="89">
        <v>2</v>
      </c>
      <c r="L77" s="90">
        <v>68785</v>
      </c>
      <c r="M77" s="91" t="s">
        <v>832</v>
      </c>
    </row>
    <row r="78" spans="1:13" x14ac:dyDescent="0.25">
      <c r="A78" s="105" t="s">
        <v>212</v>
      </c>
      <c r="B78" s="92">
        <v>2504092</v>
      </c>
      <c r="C78" s="82">
        <v>62534</v>
      </c>
      <c r="D78" s="92" t="s">
        <v>1281</v>
      </c>
      <c r="E78" s="92">
        <v>58</v>
      </c>
      <c r="F78" s="92" t="s">
        <v>60</v>
      </c>
      <c r="G78" s="92" t="s">
        <v>22</v>
      </c>
      <c r="H78" s="92" t="s">
        <v>445</v>
      </c>
      <c r="I78" s="92" t="s">
        <v>1264</v>
      </c>
      <c r="J78" s="92" t="s">
        <v>1264</v>
      </c>
      <c r="K78" s="83" t="s">
        <v>714</v>
      </c>
      <c r="L78" s="101">
        <v>51486</v>
      </c>
      <c r="M78" s="85" t="s">
        <v>832</v>
      </c>
    </row>
    <row r="79" spans="1:13" ht="21" x14ac:dyDescent="0.25">
      <c r="A79" s="104" t="s">
        <v>212</v>
      </c>
      <c r="B79" s="86">
        <v>2014542</v>
      </c>
      <c r="C79" s="87">
        <v>15484</v>
      </c>
      <c r="D79" s="86" t="s">
        <v>1282</v>
      </c>
      <c r="E79" s="86">
        <v>57</v>
      </c>
      <c r="F79" s="86" t="s">
        <v>1283</v>
      </c>
      <c r="G79" s="86" t="s">
        <v>15</v>
      </c>
      <c r="H79" s="86" t="s">
        <v>1284</v>
      </c>
      <c r="I79" s="86" t="s">
        <v>1236</v>
      </c>
      <c r="J79" s="88" t="s">
        <v>1254</v>
      </c>
      <c r="K79" s="89">
        <v>12</v>
      </c>
      <c r="L79" s="90">
        <v>194295</v>
      </c>
      <c r="M79" s="91" t="s">
        <v>832</v>
      </c>
    </row>
    <row r="80" spans="1:13" ht="31.5" x14ac:dyDescent="0.25">
      <c r="A80" s="105" t="s">
        <v>212</v>
      </c>
      <c r="B80" s="82">
        <v>2504092</v>
      </c>
      <c r="C80" s="82">
        <v>62534</v>
      </c>
      <c r="D80" s="82" t="s">
        <v>1209</v>
      </c>
      <c r="E80" s="82">
        <v>58</v>
      </c>
      <c r="F80" s="82" t="s">
        <v>60</v>
      </c>
      <c r="G80" s="82" t="s">
        <v>22</v>
      </c>
      <c r="H80" s="92" t="s">
        <v>1210</v>
      </c>
      <c r="I80" s="92" t="s">
        <v>1211</v>
      </c>
      <c r="J80" s="82" t="s">
        <v>831</v>
      </c>
      <c r="K80" s="83" t="s">
        <v>714</v>
      </c>
      <c r="L80" s="84">
        <v>40072</v>
      </c>
      <c r="M80" s="85" t="s">
        <v>832</v>
      </c>
    </row>
    <row r="81" spans="1:13" ht="21" x14ac:dyDescent="0.25">
      <c r="A81" s="106" t="s">
        <v>874</v>
      </c>
      <c r="B81" s="86">
        <v>2020728</v>
      </c>
      <c r="C81" s="86">
        <v>55582</v>
      </c>
      <c r="D81" s="86" t="s">
        <v>971</v>
      </c>
      <c r="E81" s="86">
        <v>62</v>
      </c>
      <c r="F81" s="86" t="s">
        <v>894</v>
      </c>
      <c r="G81" s="86" t="s">
        <v>22</v>
      </c>
      <c r="H81" s="86" t="s">
        <v>972</v>
      </c>
      <c r="I81" s="86" t="s">
        <v>193</v>
      </c>
      <c r="J81" s="88" t="s">
        <v>873</v>
      </c>
      <c r="K81" s="99">
        <v>3</v>
      </c>
      <c r="L81" s="97">
        <v>75372</v>
      </c>
      <c r="M81" s="91" t="s">
        <v>832</v>
      </c>
    </row>
    <row r="82" spans="1:13" ht="31.5" x14ac:dyDescent="0.25">
      <c r="A82" s="107" t="s">
        <v>874</v>
      </c>
      <c r="B82" s="93">
        <v>2008555</v>
      </c>
      <c r="C82" s="82">
        <v>61113</v>
      </c>
      <c r="D82" s="93" t="s">
        <v>875</v>
      </c>
      <c r="E82" s="93">
        <v>12</v>
      </c>
      <c r="F82" s="93" t="s">
        <v>876</v>
      </c>
      <c r="G82" s="93" t="s">
        <v>132</v>
      </c>
      <c r="H82" s="93" t="s">
        <v>877</v>
      </c>
      <c r="I82" s="93" t="s">
        <v>190</v>
      </c>
      <c r="J82" s="93" t="s">
        <v>835</v>
      </c>
      <c r="K82" s="98">
        <v>2</v>
      </c>
      <c r="L82" s="94">
        <v>58263</v>
      </c>
      <c r="M82" s="85" t="s">
        <v>832</v>
      </c>
    </row>
    <row r="83" spans="1:13" ht="31.5" x14ac:dyDescent="0.25">
      <c r="A83" s="106" t="s">
        <v>874</v>
      </c>
      <c r="B83" s="88">
        <v>2407407</v>
      </c>
      <c r="C83" s="87">
        <v>67066</v>
      </c>
      <c r="D83" s="87" t="s">
        <v>905</v>
      </c>
      <c r="E83" s="88">
        <v>60</v>
      </c>
      <c r="F83" s="88" t="s">
        <v>1011</v>
      </c>
      <c r="G83" s="88" t="s">
        <v>22</v>
      </c>
      <c r="H83" s="88" t="s">
        <v>1012</v>
      </c>
      <c r="I83" s="88" t="s">
        <v>190</v>
      </c>
      <c r="J83" s="88" t="s">
        <v>880</v>
      </c>
      <c r="K83" s="89">
        <v>4</v>
      </c>
      <c r="L83" s="90">
        <v>151582</v>
      </c>
      <c r="M83" s="91" t="s">
        <v>832</v>
      </c>
    </row>
    <row r="84" spans="1:13" x14ac:dyDescent="0.25">
      <c r="A84" s="107" t="s">
        <v>874</v>
      </c>
      <c r="B84" s="82">
        <v>2014961</v>
      </c>
      <c r="C84" s="82">
        <v>57853</v>
      </c>
      <c r="D84" s="82" t="s">
        <v>887</v>
      </c>
      <c r="E84" s="82">
        <v>64</v>
      </c>
      <c r="F84" s="82" t="s">
        <v>126</v>
      </c>
      <c r="G84" s="82" t="s">
        <v>22</v>
      </c>
      <c r="H84" s="92" t="s">
        <v>888</v>
      </c>
      <c r="I84" s="92" t="s">
        <v>843</v>
      </c>
      <c r="J84" s="82" t="s">
        <v>846</v>
      </c>
      <c r="K84" s="83">
        <v>2</v>
      </c>
      <c r="L84" s="84">
        <v>80193</v>
      </c>
      <c r="M84" s="85" t="s">
        <v>832</v>
      </c>
    </row>
    <row r="85" spans="1:13" ht="21" x14ac:dyDescent="0.25">
      <c r="A85" s="106" t="s">
        <v>874</v>
      </c>
      <c r="B85" s="87">
        <v>2020728</v>
      </c>
      <c r="C85" s="87">
        <v>55582</v>
      </c>
      <c r="D85" s="87" t="s">
        <v>893</v>
      </c>
      <c r="E85" s="87">
        <v>62</v>
      </c>
      <c r="F85" s="87" t="s">
        <v>894</v>
      </c>
      <c r="G85" s="87" t="s">
        <v>22</v>
      </c>
      <c r="H85" s="86" t="s">
        <v>895</v>
      </c>
      <c r="I85" s="86" t="s">
        <v>896</v>
      </c>
      <c r="J85" s="87" t="s">
        <v>851</v>
      </c>
      <c r="K85" s="95">
        <v>2</v>
      </c>
      <c r="L85" s="96">
        <v>343972</v>
      </c>
      <c r="M85" s="91" t="s">
        <v>832</v>
      </c>
    </row>
    <row r="86" spans="1:13" x14ac:dyDescent="0.25">
      <c r="A86" s="107" t="s">
        <v>874</v>
      </c>
      <c r="B86" s="82">
        <v>2002228</v>
      </c>
      <c r="C86" s="82">
        <v>31315</v>
      </c>
      <c r="D86" s="82" t="s">
        <v>634</v>
      </c>
      <c r="E86" s="82">
        <v>72</v>
      </c>
      <c r="F86" s="82" t="s">
        <v>60</v>
      </c>
      <c r="G86" s="82" t="s">
        <v>22</v>
      </c>
      <c r="H86" s="92" t="s">
        <v>514</v>
      </c>
      <c r="I86" s="92" t="s">
        <v>855</v>
      </c>
      <c r="J86" s="82" t="s">
        <v>855</v>
      </c>
      <c r="K86" s="83" t="s">
        <v>623</v>
      </c>
      <c r="L86" s="84">
        <v>10650</v>
      </c>
      <c r="M86" s="85" t="s">
        <v>832</v>
      </c>
    </row>
    <row r="87" spans="1:13" x14ac:dyDescent="0.25">
      <c r="A87" s="106" t="s">
        <v>874</v>
      </c>
      <c r="B87" s="87">
        <v>2407407</v>
      </c>
      <c r="C87" s="87">
        <v>67066</v>
      </c>
      <c r="D87" s="87" t="s">
        <v>905</v>
      </c>
      <c r="E87" s="87">
        <v>60</v>
      </c>
      <c r="F87" s="87" t="s">
        <v>60</v>
      </c>
      <c r="G87" s="87" t="s">
        <v>22</v>
      </c>
      <c r="H87" s="87" t="s">
        <v>906</v>
      </c>
      <c r="I87" s="86" t="s">
        <v>855</v>
      </c>
      <c r="J87" s="86" t="s">
        <v>860</v>
      </c>
      <c r="K87" s="95">
        <v>2</v>
      </c>
      <c r="L87" s="96">
        <v>119766</v>
      </c>
      <c r="M87" s="91" t="s">
        <v>832</v>
      </c>
    </row>
    <row r="88" spans="1:13" x14ac:dyDescent="0.25">
      <c r="A88" s="107" t="s">
        <v>874</v>
      </c>
      <c r="B88" s="82">
        <v>2002228</v>
      </c>
      <c r="C88" s="82">
        <v>31315</v>
      </c>
      <c r="D88" s="82" t="s">
        <v>1285</v>
      </c>
      <c r="E88" s="82">
        <v>72</v>
      </c>
      <c r="F88" s="82" t="s">
        <v>60</v>
      </c>
      <c r="G88" s="82" t="s">
        <v>22</v>
      </c>
      <c r="H88" s="92" t="s">
        <v>633</v>
      </c>
      <c r="I88" s="92" t="s">
        <v>1238</v>
      </c>
      <c r="J88" s="92" t="s">
        <v>1238</v>
      </c>
      <c r="K88" s="83" t="s">
        <v>623</v>
      </c>
      <c r="L88" s="84">
        <v>10650</v>
      </c>
      <c r="M88" s="85" t="s">
        <v>832</v>
      </c>
    </row>
    <row r="89" spans="1:13" x14ac:dyDescent="0.25">
      <c r="A89" s="106" t="s">
        <v>874</v>
      </c>
      <c r="B89" s="87">
        <v>2406019</v>
      </c>
      <c r="C89" s="87">
        <v>32211</v>
      </c>
      <c r="D89" s="87" t="s">
        <v>1286</v>
      </c>
      <c r="E89" s="87">
        <v>50</v>
      </c>
      <c r="F89" s="87" t="s">
        <v>49</v>
      </c>
      <c r="G89" s="87" t="s">
        <v>15</v>
      </c>
      <c r="H89" s="87" t="s">
        <v>1287</v>
      </c>
      <c r="I89" s="87" t="s">
        <v>1238</v>
      </c>
      <c r="J89" s="87" t="s">
        <v>1288</v>
      </c>
      <c r="K89" s="95">
        <v>3</v>
      </c>
      <c r="L89" s="96">
        <v>97954</v>
      </c>
      <c r="M89" s="91" t="s">
        <v>832</v>
      </c>
    </row>
    <row r="90" spans="1:13" x14ac:dyDescent="0.25">
      <c r="A90" s="107" t="s">
        <v>785</v>
      </c>
      <c r="B90" s="82">
        <v>2001267</v>
      </c>
      <c r="C90" s="82">
        <v>3633</v>
      </c>
      <c r="D90" s="82" t="s">
        <v>1214</v>
      </c>
      <c r="E90" s="82">
        <v>77</v>
      </c>
      <c r="F90" s="82" t="s">
        <v>60</v>
      </c>
      <c r="G90" s="82" t="s">
        <v>22</v>
      </c>
      <c r="H90" s="92" t="s">
        <v>791</v>
      </c>
      <c r="I90" s="92" t="s">
        <v>831</v>
      </c>
      <c r="J90" s="82" t="s">
        <v>831</v>
      </c>
      <c r="K90" s="83" t="s">
        <v>788</v>
      </c>
      <c r="L90" s="84">
        <v>155000</v>
      </c>
      <c r="M90" s="85" t="s">
        <v>832</v>
      </c>
    </row>
    <row r="91" spans="1:13" ht="21" x14ac:dyDescent="0.25">
      <c r="A91" s="104" t="s">
        <v>785</v>
      </c>
      <c r="B91" s="86">
        <v>2011827</v>
      </c>
      <c r="C91" s="87">
        <v>101320</v>
      </c>
      <c r="D91" s="86" t="s">
        <v>1289</v>
      </c>
      <c r="E91" s="86">
        <v>64</v>
      </c>
      <c r="F91" s="86" t="s">
        <v>49</v>
      </c>
      <c r="G91" s="86" t="s">
        <v>15</v>
      </c>
      <c r="H91" s="86" t="s">
        <v>1290</v>
      </c>
      <c r="I91" s="86" t="s">
        <v>1260</v>
      </c>
      <c r="J91" s="88" t="s">
        <v>1260</v>
      </c>
      <c r="K91" s="89" t="s">
        <v>556</v>
      </c>
      <c r="L91" s="90">
        <v>120000</v>
      </c>
      <c r="M91" s="91" t="s">
        <v>832</v>
      </c>
    </row>
    <row r="92" spans="1:13" x14ac:dyDescent="0.25">
      <c r="A92" s="105" t="s">
        <v>785</v>
      </c>
      <c r="B92" s="82">
        <v>2001267</v>
      </c>
      <c r="C92" s="82">
        <v>3633</v>
      </c>
      <c r="D92" s="82" t="s">
        <v>1214</v>
      </c>
      <c r="E92" s="82">
        <v>77</v>
      </c>
      <c r="F92" s="82" t="s">
        <v>60</v>
      </c>
      <c r="G92" s="82" t="s">
        <v>22</v>
      </c>
      <c r="H92" s="82" t="s">
        <v>810</v>
      </c>
      <c r="I92" s="82" t="s">
        <v>1249</v>
      </c>
      <c r="J92" s="82" t="s">
        <v>1249</v>
      </c>
      <c r="K92" s="83" t="s">
        <v>788</v>
      </c>
      <c r="L92" s="84">
        <v>160000</v>
      </c>
      <c r="M92" s="85" t="s">
        <v>832</v>
      </c>
    </row>
    <row r="93" spans="1:13" x14ac:dyDescent="0.25">
      <c r="A93" s="106" t="s">
        <v>799</v>
      </c>
      <c r="B93" s="87">
        <v>2002373</v>
      </c>
      <c r="C93" s="87">
        <v>58877</v>
      </c>
      <c r="D93" s="87" t="s">
        <v>802</v>
      </c>
      <c r="E93" s="87">
        <v>58</v>
      </c>
      <c r="F93" s="87" t="s">
        <v>60</v>
      </c>
      <c r="G93" s="87" t="s">
        <v>664</v>
      </c>
      <c r="H93" s="86" t="s">
        <v>1215</v>
      </c>
      <c r="I93" s="86" t="s">
        <v>851</v>
      </c>
      <c r="J93" s="87" t="s">
        <v>851</v>
      </c>
      <c r="K93" s="95" t="s">
        <v>788</v>
      </c>
      <c r="L93" s="96">
        <v>75000</v>
      </c>
      <c r="M93" s="91" t="s">
        <v>832</v>
      </c>
    </row>
    <row r="94" spans="1:13" x14ac:dyDescent="0.25">
      <c r="A94" s="107" t="s">
        <v>933</v>
      </c>
      <c r="B94" s="93">
        <v>2003093</v>
      </c>
      <c r="C94" s="82">
        <v>103537</v>
      </c>
      <c r="D94" s="93" t="s">
        <v>934</v>
      </c>
      <c r="E94" s="93">
        <v>66</v>
      </c>
      <c r="F94" s="93" t="s">
        <v>935</v>
      </c>
      <c r="G94" s="93" t="s">
        <v>22</v>
      </c>
      <c r="H94" s="93" t="s">
        <v>936</v>
      </c>
      <c r="I94" s="93" t="s">
        <v>289</v>
      </c>
      <c r="J94" s="93" t="s">
        <v>835</v>
      </c>
      <c r="K94" s="98">
        <v>3</v>
      </c>
      <c r="L94" s="94">
        <v>59130</v>
      </c>
      <c r="M94" s="85" t="s">
        <v>832</v>
      </c>
    </row>
    <row r="95" spans="1:13" ht="21" x14ac:dyDescent="0.25">
      <c r="A95" s="106" t="s">
        <v>1037</v>
      </c>
      <c r="B95" s="87">
        <v>2009251</v>
      </c>
      <c r="C95" s="87">
        <v>105618</v>
      </c>
      <c r="D95" s="87" t="s">
        <v>1038</v>
      </c>
      <c r="E95" s="87">
        <v>46</v>
      </c>
      <c r="F95" s="87" t="s">
        <v>1039</v>
      </c>
      <c r="G95" s="87" t="s">
        <v>15</v>
      </c>
      <c r="H95" s="86" t="s">
        <v>1040</v>
      </c>
      <c r="I95" s="86" t="s">
        <v>193</v>
      </c>
      <c r="J95" s="87" t="s">
        <v>834</v>
      </c>
      <c r="K95" s="95">
        <v>5</v>
      </c>
      <c r="L95" s="96">
        <v>94155</v>
      </c>
      <c r="M95" s="91" t="s">
        <v>832</v>
      </c>
    </row>
    <row r="96" spans="1:13" ht="21" x14ac:dyDescent="0.25">
      <c r="A96" s="107" t="s">
        <v>1037</v>
      </c>
      <c r="B96" s="93">
        <v>2009253</v>
      </c>
      <c r="C96" s="82">
        <v>105618</v>
      </c>
      <c r="D96" s="93" t="s">
        <v>1291</v>
      </c>
      <c r="E96" s="93">
        <v>20</v>
      </c>
      <c r="F96" s="93" t="s">
        <v>1039</v>
      </c>
      <c r="G96" s="93" t="s">
        <v>132</v>
      </c>
      <c r="H96" s="93" t="s">
        <v>1292</v>
      </c>
      <c r="I96" s="93" t="s">
        <v>1225</v>
      </c>
      <c r="J96" s="93" t="s">
        <v>1254</v>
      </c>
      <c r="K96" s="98">
        <v>1</v>
      </c>
      <c r="L96" s="94">
        <v>48520</v>
      </c>
      <c r="M96" s="85" t="s">
        <v>832</v>
      </c>
    </row>
    <row r="97" spans="1:13" ht="31.5" x14ac:dyDescent="0.25">
      <c r="A97" s="106" t="s">
        <v>221</v>
      </c>
      <c r="B97" s="87">
        <v>2005002</v>
      </c>
      <c r="C97" s="87">
        <v>105502</v>
      </c>
      <c r="D97" s="87" t="s">
        <v>947</v>
      </c>
      <c r="E97" s="87">
        <v>18</v>
      </c>
      <c r="F97" s="87" t="s">
        <v>948</v>
      </c>
      <c r="G97" s="87" t="s">
        <v>132</v>
      </c>
      <c r="H97" s="86" t="s">
        <v>949</v>
      </c>
      <c r="I97" s="86" t="s">
        <v>834</v>
      </c>
      <c r="J97" s="87" t="s">
        <v>846</v>
      </c>
      <c r="K97" s="95">
        <v>3</v>
      </c>
      <c r="L97" s="96">
        <v>82713</v>
      </c>
      <c r="M97" s="91" t="s">
        <v>832</v>
      </c>
    </row>
    <row r="98" spans="1:13" ht="21" x14ac:dyDescent="0.25">
      <c r="A98" s="103" t="s">
        <v>221</v>
      </c>
      <c r="B98" s="82">
        <v>2005002</v>
      </c>
      <c r="C98" s="82">
        <v>105502</v>
      </c>
      <c r="D98" s="82" t="s">
        <v>947</v>
      </c>
      <c r="E98" s="82">
        <v>18</v>
      </c>
      <c r="F98" s="82" t="s">
        <v>1293</v>
      </c>
      <c r="G98" s="82" t="s">
        <v>88</v>
      </c>
      <c r="H98" s="92" t="s">
        <v>1294</v>
      </c>
      <c r="I98" s="92" t="s">
        <v>1204</v>
      </c>
      <c r="J98" s="92" t="s">
        <v>1241</v>
      </c>
      <c r="K98" s="83">
        <v>6</v>
      </c>
      <c r="L98" s="84">
        <v>300000</v>
      </c>
      <c r="M98" s="85" t="s">
        <v>832</v>
      </c>
    </row>
    <row r="99" spans="1:13" x14ac:dyDescent="0.25">
      <c r="A99" s="108" t="s">
        <v>1295</v>
      </c>
      <c r="B99" s="87">
        <v>2407093</v>
      </c>
      <c r="C99" s="87">
        <v>56843</v>
      </c>
      <c r="D99" s="87" t="s">
        <v>1296</v>
      </c>
      <c r="E99" s="87">
        <v>61</v>
      </c>
      <c r="F99" s="87" t="s">
        <v>49</v>
      </c>
      <c r="G99" s="87" t="s">
        <v>15</v>
      </c>
      <c r="H99" s="87" t="s">
        <v>1297</v>
      </c>
      <c r="I99" s="87" t="s">
        <v>1225</v>
      </c>
      <c r="J99" s="87" t="s">
        <v>1225</v>
      </c>
      <c r="K99" s="89" t="s">
        <v>556</v>
      </c>
      <c r="L99" s="96">
        <v>36643</v>
      </c>
      <c r="M99" s="91" t="s">
        <v>832</v>
      </c>
    </row>
    <row r="100" spans="1:13" x14ac:dyDescent="0.25">
      <c r="A100" s="107" t="s">
        <v>913</v>
      </c>
      <c r="B100" s="82">
        <v>26011074</v>
      </c>
      <c r="C100" s="82">
        <v>55454</v>
      </c>
      <c r="D100" s="82" t="s">
        <v>914</v>
      </c>
      <c r="E100" s="82">
        <v>61</v>
      </c>
      <c r="F100" s="82" t="s">
        <v>126</v>
      </c>
      <c r="G100" s="82" t="s">
        <v>22</v>
      </c>
      <c r="H100" s="92" t="s">
        <v>915</v>
      </c>
      <c r="I100" s="92" t="s">
        <v>843</v>
      </c>
      <c r="J100" s="82" t="s">
        <v>846</v>
      </c>
      <c r="K100" s="83">
        <v>2</v>
      </c>
      <c r="L100" s="84">
        <v>38010</v>
      </c>
      <c r="M100" s="85" t="s">
        <v>832</v>
      </c>
    </row>
    <row r="101" spans="1:13" ht="21" x14ac:dyDescent="0.25">
      <c r="A101" s="106" t="s">
        <v>117</v>
      </c>
      <c r="B101" s="87">
        <v>2012471</v>
      </c>
      <c r="C101" s="87">
        <v>47039</v>
      </c>
      <c r="D101" s="87" t="s">
        <v>1000</v>
      </c>
      <c r="E101" s="87">
        <v>10</v>
      </c>
      <c r="F101" s="87" t="s">
        <v>1001</v>
      </c>
      <c r="G101" s="87" t="s">
        <v>132</v>
      </c>
      <c r="H101" s="86" t="s">
        <v>1002</v>
      </c>
      <c r="I101" s="86" t="s">
        <v>289</v>
      </c>
      <c r="J101" s="87" t="s">
        <v>834</v>
      </c>
      <c r="K101" s="95">
        <v>4</v>
      </c>
      <c r="L101" s="96">
        <v>47140</v>
      </c>
      <c r="M101" s="91" t="s">
        <v>832</v>
      </c>
    </row>
    <row r="102" spans="1:13" ht="21" x14ac:dyDescent="0.25">
      <c r="A102" s="107" t="s">
        <v>38</v>
      </c>
      <c r="B102" s="82">
        <v>2002890</v>
      </c>
      <c r="C102" s="82">
        <v>13580</v>
      </c>
      <c r="D102" s="82" t="s">
        <v>1099</v>
      </c>
      <c r="E102" s="82">
        <v>66</v>
      </c>
      <c r="F102" s="82" t="s">
        <v>1100</v>
      </c>
      <c r="G102" s="82" t="s">
        <v>22</v>
      </c>
      <c r="H102" s="92" t="s">
        <v>1101</v>
      </c>
      <c r="I102" s="92" t="s">
        <v>108</v>
      </c>
      <c r="J102" s="82" t="s">
        <v>846</v>
      </c>
      <c r="K102" s="83">
        <v>11</v>
      </c>
      <c r="L102" s="84">
        <v>642785</v>
      </c>
      <c r="M102" s="85" t="s">
        <v>832</v>
      </c>
    </row>
    <row r="103" spans="1:13" x14ac:dyDescent="0.25">
      <c r="A103" s="106" t="s">
        <v>38</v>
      </c>
      <c r="B103" s="87">
        <v>2019609</v>
      </c>
      <c r="C103" s="87">
        <v>61525</v>
      </c>
      <c r="D103" s="87" t="s">
        <v>848</v>
      </c>
      <c r="E103" s="87">
        <v>45</v>
      </c>
      <c r="F103" s="87" t="s">
        <v>14</v>
      </c>
      <c r="G103" s="87" t="s">
        <v>15</v>
      </c>
      <c r="H103" s="86" t="s">
        <v>1006</v>
      </c>
      <c r="I103" s="86" t="s">
        <v>843</v>
      </c>
      <c r="J103" s="87" t="s">
        <v>901</v>
      </c>
      <c r="K103" s="95">
        <v>4</v>
      </c>
      <c r="L103" s="96">
        <v>185034</v>
      </c>
      <c r="M103" s="91" t="s">
        <v>832</v>
      </c>
    </row>
    <row r="104" spans="1:13" x14ac:dyDescent="0.25">
      <c r="A104" s="107" t="s">
        <v>38</v>
      </c>
      <c r="B104" s="82">
        <v>2003647</v>
      </c>
      <c r="C104" s="82">
        <v>14902</v>
      </c>
      <c r="D104" s="82" t="s">
        <v>736</v>
      </c>
      <c r="E104" s="82">
        <v>66</v>
      </c>
      <c r="F104" s="82" t="s">
        <v>60</v>
      </c>
      <c r="G104" s="82" t="s">
        <v>22</v>
      </c>
      <c r="H104" s="82" t="s">
        <v>445</v>
      </c>
      <c r="I104" s="82" t="s">
        <v>1231</v>
      </c>
      <c r="J104" s="82" t="s">
        <v>1231</v>
      </c>
      <c r="K104" s="83" t="s">
        <v>714</v>
      </c>
      <c r="L104" s="84">
        <v>57540</v>
      </c>
      <c r="M104" s="85" t="s">
        <v>832</v>
      </c>
    </row>
    <row r="105" spans="1:13" x14ac:dyDescent="0.25">
      <c r="A105" s="106" t="s">
        <v>38</v>
      </c>
      <c r="B105" s="87">
        <v>2002006</v>
      </c>
      <c r="C105" s="87">
        <v>14768</v>
      </c>
      <c r="D105" s="87" t="s">
        <v>735</v>
      </c>
      <c r="E105" s="87">
        <v>68</v>
      </c>
      <c r="F105" s="87" t="s">
        <v>60</v>
      </c>
      <c r="G105" s="87" t="s">
        <v>22</v>
      </c>
      <c r="H105" s="86" t="s">
        <v>1298</v>
      </c>
      <c r="I105" s="86" t="s">
        <v>1242</v>
      </c>
      <c r="J105" s="86" t="s">
        <v>1242</v>
      </c>
      <c r="K105" s="95" t="s">
        <v>714</v>
      </c>
      <c r="L105" s="96">
        <v>131319</v>
      </c>
      <c r="M105" s="91" t="s">
        <v>832</v>
      </c>
    </row>
    <row r="106" spans="1:13" ht="52.5" x14ac:dyDescent="0.25">
      <c r="A106" s="107" t="s">
        <v>515</v>
      </c>
      <c r="B106" s="82">
        <v>2014301</v>
      </c>
      <c r="C106" s="82">
        <v>55303</v>
      </c>
      <c r="D106" s="82" t="s">
        <v>1106</v>
      </c>
      <c r="E106" s="82">
        <v>14</v>
      </c>
      <c r="F106" s="82" t="s">
        <v>1107</v>
      </c>
      <c r="G106" s="82" t="s">
        <v>88</v>
      </c>
      <c r="H106" s="92" t="s">
        <v>1108</v>
      </c>
      <c r="I106" s="92" t="s">
        <v>1109</v>
      </c>
      <c r="J106" s="82" t="s">
        <v>835</v>
      </c>
      <c r="K106" s="83">
        <v>28</v>
      </c>
      <c r="L106" s="84">
        <v>728082</v>
      </c>
      <c r="M106" s="85" t="s">
        <v>832</v>
      </c>
    </row>
    <row r="107" spans="1:13" ht="31.5" x14ac:dyDescent="0.25">
      <c r="A107" s="106" t="s">
        <v>1033</v>
      </c>
      <c r="B107" s="87">
        <v>2003427</v>
      </c>
      <c r="C107" s="87">
        <v>9108</v>
      </c>
      <c r="D107" s="87" t="s">
        <v>1034</v>
      </c>
      <c r="E107" s="87">
        <v>68</v>
      </c>
      <c r="F107" s="87" t="s">
        <v>60</v>
      </c>
      <c r="G107" s="87" t="s">
        <v>22</v>
      </c>
      <c r="H107" s="86" t="s">
        <v>1035</v>
      </c>
      <c r="I107" s="86" t="s">
        <v>1036</v>
      </c>
      <c r="J107" s="87" t="s">
        <v>896</v>
      </c>
      <c r="K107" s="95">
        <v>5</v>
      </c>
      <c r="L107" s="96">
        <v>104991</v>
      </c>
      <c r="M107" s="91" t="s">
        <v>832</v>
      </c>
    </row>
    <row r="108" spans="1:13" ht="21" x14ac:dyDescent="0.25">
      <c r="A108" s="107" t="s">
        <v>1033</v>
      </c>
      <c r="B108" s="82">
        <v>2016144</v>
      </c>
      <c r="C108" s="82">
        <v>57112</v>
      </c>
      <c r="D108" s="82" t="s">
        <v>1299</v>
      </c>
      <c r="E108" s="82">
        <v>58</v>
      </c>
      <c r="F108" s="82" t="s">
        <v>14</v>
      </c>
      <c r="G108" s="82" t="s">
        <v>706</v>
      </c>
      <c r="H108" s="92" t="s">
        <v>1300</v>
      </c>
      <c r="I108" s="92" t="s">
        <v>1301</v>
      </c>
      <c r="J108" s="92" t="s">
        <v>1238</v>
      </c>
      <c r="K108" s="83" t="s">
        <v>714</v>
      </c>
      <c r="L108" s="84">
        <v>68500</v>
      </c>
      <c r="M108" s="85" t="s">
        <v>832</v>
      </c>
    </row>
    <row r="109" spans="1:13" ht="21" x14ac:dyDescent="0.25">
      <c r="A109" s="106" t="s">
        <v>808</v>
      </c>
      <c r="B109" s="87">
        <v>2002911</v>
      </c>
      <c r="C109" s="87">
        <v>13903</v>
      </c>
      <c r="D109" s="87" t="s">
        <v>1216</v>
      </c>
      <c r="E109" s="87">
        <v>67</v>
      </c>
      <c r="F109" s="87" t="s">
        <v>60</v>
      </c>
      <c r="G109" s="87" t="s">
        <v>22</v>
      </c>
      <c r="H109" s="86" t="s">
        <v>1217</v>
      </c>
      <c r="I109" s="86" t="s">
        <v>851</v>
      </c>
      <c r="J109" s="87" t="s">
        <v>851</v>
      </c>
      <c r="K109" s="95" t="s">
        <v>788</v>
      </c>
      <c r="L109" s="96">
        <v>80000</v>
      </c>
      <c r="M109" s="91" t="s">
        <v>832</v>
      </c>
    </row>
    <row r="110" spans="1:13" ht="21" x14ac:dyDescent="0.25">
      <c r="A110" s="107" t="s">
        <v>808</v>
      </c>
      <c r="B110" s="92">
        <v>2015867</v>
      </c>
      <c r="C110" s="82">
        <v>58766</v>
      </c>
      <c r="D110" s="92" t="s">
        <v>1302</v>
      </c>
      <c r="E110" s="92">
        <v>59</v>
      </c>
      <c r="F110" s="92" t="s">
        <v>49</v>
      </c>
      <c r="G110" s="92" t="s">
        <v>15</v>
      </c>
      <c r="H110" s="92" t="s">
        <v>1303</v>
      </c>
      <c r="I110" s="92" t="s">
        <v>1260</v>
      </c>
      <c r="J110" s="93" t="s">
        <v>1260</v>
      </c>
      <c r="K110" s="83" t="s">
        <v>788</v>
      </c>
      <c r="L110" s="101">
        <v>120000</v>
      </c>
      <c r="M110" s="85" t="s">
        <v>832</v>
      </c>
    </row>
    <row r="111" spans="1:13" ht="21" x14ac:dyDescent="0.25">
      <c r="A111" s="106" t="s">
        <v>808</v>
      </c>
      <c r="B111" s="87">
        <v>2001896</v>
      </c>
      <c r="C111" s="87">
        <v>7794</v>
      </c>
      <c r="D111" s="87" t="s">
        <v>1304</v>
      </c>
      <c r="E111" s="87">
        <v>70</v>
      </c>
      <c r="F111" s="87" t="s">
        <v>60</v>
      </c>
      <c r="G111" s="87" t="s">
        <v>22</v>
      </c>
      <c r="H111" s="86" t="s">
        <v>1305</v>
      </c>
      <c r="I111" s="86" t="s">
        <v>1241</v>
      </c>
      <c r="J111" s="86" t="s">
        <v>1241</v>
      </c>
      <c r="K111" s="95" t="s">
        <v>788</v>
      </c>
      <c r="L111" s="96">
        <v>200000</v>
      </c>
      <c r="M111" s="91" t="s">
        <v>832</v>
      </c>
    </row>
    <row r="112" spans="1:13" x14ac:dyDescent="0.25">
      <c r="A112" s="107" t="s">
        <v>808</v>
      </c>
      <c r="B112" s="82">
        <v>2015348</v>
      </c>
      <c r="C112" s="82">
        <v>103549</v>
      </c>
      <c r="D112" s="82" t="s">
        <v>1196</v>
      </c>
      <c r="E112" s="82">
        <v>64</v>
      </c>
      <c r="F112" s="82" t="s">
        <v>60</v>
      </c>
      <c r="G112" s="82" t="s">
        <v>22</v>
      </c>
      <c r="H112" s="92" t="s">
        <v>1306</v>
      </c>
      <c r="I112" s="92" t="s">
        <v>1241</v>
      </c>
      <c r="J112" s="92" t="s">
        <v>1241</v>
      </c>
      <c r="K112" s="83" t="s">
        <v>788</v>
      </c>
      <c r="L112" s="84">
        <v>60000</v>
      </c>
      <c r="M112" s="85" t="s">
        <v>832</v>
      </c>
    </row>
    <row r="113" spans="1:13" ht="31.5" x14ac:dyDescent="0.25">
      <c r="A113" s="106" t="s">
        <v>808</v>
      </c>
      <c r="B113" s="87">
        <v>2003095</v>
      </c>
      <c r="C113" s="87">
        <v>56910</v>
      </c>
      <c r="D113" s="87" t="s">
        <v>1307</v>
      </c>
      <c r="E113" s="87">
        <v>65</v>
      </c>
      <c r="F113" s="87" t="s">
        <v>60</v>
      </c>
      <c r="G113" s="87" t="s">
        <v>22</v>
      </c>
      <c r="H113" s="86" t="s">
        <v>1308</v>
      </c>
      <c r="I113" s="86" t="s">
        <v>1242</v>
      </c>
      <c r="J113" s="86" t="s">
        <v>1242</v>
      </c>
      <c r="K113" s="95" t="s">
        <v>788</v>
      </c>
      <c r="L113" s="96">
        <v>120000</v>
      </c>
      <c r="M113" s="91" t="s">
        <v>832</v>
      </c>
    </row>
    <row r="114" spans="1:13" ht="21" x14ac:dyDescent="0.25">
      <c r="A114" s="107" t="s">
        <v>808</v>
      </c>
      <c r="B114" s="82">
        <v>2001322</v>
      </c>
      <c r="C114" s="82">
        <v>20858</v>
      </c>
      <c r="D114" s="82" t="s">
        <v>1309</v>
      </c>
      <c r="E114" s="82">
        <v>65</v>
      </c>
      <c r="F114" s="82" t="s">
        <v>60</v>
      </c>
      <c r="G114" s="82" t="s">
        <v>22</v>
      </c>
      <c r="H114" s="92" t="s">
        <v>1310</v>
      </c>
      <c r="I114" s="92" t="s">
        <v>1242</v>
      </c>
      <c r="J114" s="92" t="s">
        <v>1242</v>
      </c>
      <c r="K114" s="83" t="s">
        <v>788</v>
      </c>
      <c r="L114" s="84">
        <v>40000</v>
      </c>
      <c r="M114" s="85" t="s">
        <v>832</v>
      </c>
    </row>
    <row r="115" spans="1:13" x14ac:dyDescent="0.25">
      <c r="A115" s="106" t="s">
        <v>808</v>
      </c>
      <c r="B115" s="88">
        <v>204427</v>
      </c>
      <c r="C115" s="87">
        <v>11345</v>
      </c>
      <c r="D115" s="88" t="s">
        <v>1311</v>
      </c>
      <c r="E115" s="88">
        <v>67</v>
      </c>
      <c r="F115" s="88" t="s">
        <v>60</v>
      </c>
      <c r="G115" s="88" t="s">
        <v>22</v>
      </c>
      <c r="H115" s="88" t="s">
        <v>1312</v>
      </c>
      <c r="I115" s="88" t="s">
        <v>1232</v>
      </c>
      <c r="J115" s="88" t="s">
        <v>1232</v>
      </c>
      <c r="K115" s="95" t="s">
        <v>788</v>
      </c>
      <c r="L115" s="90">
        <v>110000</v>
      </c>
      <c r="M115" s="91" t="s">
        <v>832</v>
      </c>
    </row>
    <row r="116" spans="1:13" x14ac:dyDescent="0.25">
      <c r="A116" s="107" t="s">
        <v>808</v>
      </c>
      <c r="B116" s="82">
        <v>2002666</v>
      </c>
      <c r="C116" s="82">
        <v>50731</v>
      </c>
      <c r="D116" s="82" t="s">
        <v>1313</v>
      </c>
      <c r="E116" s="82">
        <v>59</v>
      </c>
      <c r="F116" s="82" t="s">
        <v>49</v>
      </c>
      <c r="G116" s="82" t="s">
        <v>22</v>
      </c>
      <c r="H116" s="82" t="s">
        <v>791</v>
      </c>
      <c r="I116" s="82" t="s">
        <v>1314</v>
      </c>
      <c r="J116" s="82" t="s">
        <v>1225</v>
      </c>
      <c r="K116" s="83" t="s">
        <v>788</v>
      </c>
      <c r="L116" s="84">
        <v>110000</v>
      </c>
      <c r="M116" s="85" t="s">
        <v>832</v>
      </c>
    </row>
    <row r="117" spans="1:13" x14ac:dyDescent="0.25">
      <c r="A117" s="106" t="s">
        <v>808</v>
      </c>
      <c r="B117" s="87">
        <v>2011036</v>
      </c>
      <c r="C117" s="87">
        <v>11334</v>
      </c>
      <c r="D117" s="87" t="s">
        <v>816</v>
      </c>
      <c r="E117" s="87">
        <v>60</v>
      </c>
      <c r="F117" s="87" t="s">
        <v>49</v>
      </c>
      <c r="G117" s="87" t="s">
        <v>15</v>
      </c>
      <c r="H117" s="87" t="s">
        <v>825</v>
      </c>
      <c r="I117" s="87" t="s">
        <v>1225</v>
      </c>
      <c r="J117" s="87" t="s">
        <v>1225</v>
      </c>
      <c r="K117" s="95" t="s">
        <v>788</v>
      </c>
      <c r="L117" s="96">
        <v>67500</v>
      </c>
      <c r="M117" s="91" t="s">
        <v>832</v>
      </c>
    </row>
    <row r="118" spans="1:13" x14ac:dyDescent="0.25">
      <c r="A118" s="107" t="s">
        <v>808</v>
      </c>
      <c r="B118" s="82">
        <v>2021151</v>
      </c>
      <c r="C118" s="82">
        <v>15485</v>
      </c>
      <c r="D118" s="82" t="s">
        <v>814</v>
      </c>
      <c r="E118" s="82">
        <v>63</v>
      </c>
      <c r="F118" s="82" t="s">
        <v>49</v>
      </c>
      <c r="G118" s="82" t="s">
        <v>22</v>
      </c>
      <c r="H118" s="82" t="s">
        <v>1315</v>
      </c>
      <c r="I118" s="82" t="s">
        <v>1316</v>
      </c>
      <c r="J118" s="82" t="s">
        <v>1225</v>
      </c>
      <c r="K118" s="83" t="s">
        <v>788</v>
      </c>
      <c r="L118" s="84">
        <v>15200</v>
      </c>
      <c r="M118" s="85" t="s">
        <v>832</v>
      </c>
    </row>
    <row r="119" spans="1:13" ht="21" x14ac:dyDescent="0.25">
      <c r="A119" s="106" t="s">
        <v>43</v>
      </c>
      <c r="B119" s="86">
        <v>2003928</v>
      </c>
      <c r="C119" s="87">
        <v>101178</v>
      </c>
      <c r="D119" s="86" t="s">
        <v>937</v>
      </c>
      <c r="E119" s="86">
        <v>65</v>
      </c>
      <c r="F119" s="86" t="s">
        <v>938</v>
      </c>
      <c r="G119" s="86" t="s">
        <v>22</v>
      </c>
      <c r="H119" s="86" t="s">
        <v>939</v>
      </c>
      <c r="I119" s="86" t="s">
        <v>940</v>
      </c>
      <c r="J119" s="88" t="s">
        <v>843</v>
      </c>
      <c r="K119" s="99">
        <v>3</v>
      </c>
      <c r="L119" s="97">
        <v>204504</v>
      </c>
      <c r="M119" s="91" t="s">
        <v>832</v>
      </c>
    </row>
    <row r="120" spans="1:13" ht="42" x14ac:dyDescent="0.25">
      <c r="A120" s="107" t="s">
        <v>43</v>
      </c>
      <c r="B120" s="82">
        <v>2007413</v>
      </c>
      <c r="C120" s="82">
        <v>20881</v>
      </c>
      <c r="D120" s="82" t="s">
        <v>27</v>
      </c>
      <c r="E120" s="82">
        <v>64</v>
      </c>
      <c r="F120" s="82" t="s">
        <v>28</v>
      </c>
      <c r="G120" s="82" t="s">
        <v>15</v>
      </c>
      <c r="H120" s="92" t="s">
        <v>1102</v>
      </c>
      <c r="I120" s="92" t="s">
        <v>31</v>
      </c>
      <c r="J120" s="82" t="s">
        <v>831</v>
      </c>
      <c r="K120" s="83">
        <v>11</v>
      </c>
      <c r="L120" s="84">
        <v>887876</v>
      </c>
      <c r="M120" s="85" t="s">
        <v>832</v>
      </c>
    </row>
    <row r="121" spans="1:13" ht="31.5" x14ac:dyDescent="0.25">
      <c r="A121" s="106" t="s">
        <v>43</v>
      </c>
      <c r="B121" s="87">
        <v>2001143</v>
      </c>
      <c r="C121" s="87">
        <v>14236</v>
      </c>
      <c r="D121" s="87" t="s">
        <v>920</v>
      </c>
      <c r="E121" s="87">
        <v>64</v>
      </c>
      <c r="F121" s="87" t="s">
        <v>921</v>
      </c>
      <c r="G121" s="87" t="s">
        <v>15</v>
      </c>
      <c r="H121" s="86" t="s">
        <v>922</v>
      </c>
      <c r="I121" s="86" t="s">
        <v>880</v>
      </c>
      <c r="J121" s="87" t="s">
        <v>846</v>
      </c>
      <c r="K121" s="95">
        <v>3</v>
      </c>
      <c r="L121" s="96">
        <v>120908.61</v>
      </c>
      <c r="M121" s="91" t="s">
        <v>832</v>
      </c>
    </row>
    <row r="122" spans="1:13" x14ac:dyDescent="0.25">
      <c r="A122" s="107" t="s">
        <v>43</v>
      </c>
      <c r="B122" s="82">
        <v>2021362</v>
      </c>
      <c r="C122" s="82">
        <v>57442</v>
      </c>
      <c r="D122" s="82" t="s">
        <v>1154</v>
      </c>
      <c r="E122" s="82">
        <v>61</v>
      </c>
      <c r="F122" s="82" t="s">
        <v>60</v>
      </c>
      <c r="G122" s="82" t="s">
        <v>22</v>
      </c>
      <c r="H122" s="92" t="s">
        <v>1155</v>
      </c>
      <c r="I122" s="92" t="s">
        <v>851</v>
      </c>
      <c r="J122" s="82" t="s">
        <v>851</v>
      </c>
      <c r="K122" s="83" t="s">
        <v>556</v>
      </c>
      <c r="L122" s="84">
        <v>31034</v>
      </c>
      <c r="M122" s="85" t="s">
        <v>832</v>
      </c>
    </row>
    <row r="123" spans="1:13" x14ac:dyDescent="0.25">
      <c r="A123" s="108" t="s">
        <v>43</v>
      </c>
      <c r="B123" s="87">
        <v>2002668</v>
      </c>
      <c r="C123" s="87">
        <v>17920</v>
      </c>
      <c r="D123" s="87" t="s">
        <v>1265</v>
      </c>
      <c r="E123" s="87">
        <v>66</v>
      </c>
      <c r="F123" s="87" t="s">
        <v>1317</v>
      </c>
      <c r="G123" s="87" t="s">
        <v>22</v>
      </c>
      <c r="H123" s="87" t="s">
        <v>1318</v>
      </c>
      <c r="I123" s="87" t="s">
        <v>1319</v>
      </c>
      <c r="J123" s="87" t="s">
        <v>1249</v>
      </c>
      <c r="K123" s="95">
        <v>24</v>
      </c>
      <c r="L123" s="96">
        <v>1929520</v>
      </c>
      <c r="M123" s="91" t="s">
        <v>832</v>
      </c>
    </row>
    <row r="124" spans="1:13" x14ac:dyDescent="0.25">
      <c r="A124" s="103" t="s">
        <v>43</v>
      </c>
      <c r="B124" s="82">
        <v>2003938</v>
      </c>
      <c r="C124" s="82">
        <v>101178</v>
      </c>
      <c r="D124" s="82" t="s">
        <v>1320</v>
      </c>
      <c r="E124" s="82">
        <v>67</v>
      </c>
      <c r="F124" s="82" t="s">
        <v>938</v>
      </c>
      <c r="G124" s="82" t="s">
        <v>22</v>
      </c>
      <c r="H124" s="82" t="s">
        <v>1321</v>
      </c>
      <c r="I124" s="82" t="s">
        <v>1322</v>
      </c>
      <c r="J124" s="82" t="s">
        <v>1288</v>
      </c>
      <c r="K124" s="83">
        <v>2</v>
      </c>
      <c r="L124" s="84">
        <v>338877.33</v>
      </c>
      <c r="M124" s="85" t="s">
        <v>832</v>
      </c>
    </row>
    <row r="125" spans="1:13" x14ac:dyDescent="0.25">
      <c r="A125" s="108" t="s">
        <v>43</v>
      </c>
      <c r="B125" s="87">
        <v>2407155</v>
      </c>
      <c r="C125" s="87">
        <v>59414</v>
      </c>
      <c r="D125" s="87" t="s">
        <v>1323</v>
      </c>
      <c r="E125" s="87">
        <v>57</v>
      </c>
      <c r="F125" s="87" t="s">
        <v>1324</v>
      </c>
      <c r="G125" s="87" t="s">
        <v>15</v>
      </c>
      <c r="H125" s="87" t="s">
        <v>1325</v>
      </c>
      <c r="I125" s="87" t="s">
        <v>1326</v>
      </c>
      <c r="J125" s="87" t="s">
        <v>1231</v>
      </c>
      <c r="K125" s="95">
        <v>5</v>
      </c>
      <c r="L125" s="96">
        <v>444480.16</v>
      </c>
      <c r="M125" s="91" t="s">
        <v>832</v>
      </c>
    </row>
    <row r="126" spans="1:13" ht="21" x14ac:dyDescent="0.25">
      <c r="A126" s="103" t="s">
        <v>43</v>
      </c>
      <c r="B126" s="92">
        <v>2021362</v>
      </c>
      <c r="C126" s="82">
        <v>57442</v>
      </c>
      <c r="D126" s="92" t="s">
        <v>1327</v>
      </c>
      <c r="E126" s="92">
        <v>61</v>
      </c>
      <c r="F126" s="92" t="s">
        <v>1328</v>
      </c>
      <c r="G126" s="92" t="s">
        <v>22</v>
      </c>
      <c r="H126" s="92" t="s">
        <v>1329</v>
      </c>
      <c r="I126" s="92" t="s">
        <v>1330</v>
      </c>
      <c r="J126" s="93" t="s">
        <v>1254</v>
      </c>
      <c r="K126" s="98">
        <v>4</v>
      </c>
      <c r="L126" s="94">
        <v>150512.9</v>
      </c>
      <c r="M126" s="85" t="s">
        <v>832</v>
      </c>
    </row>
    <row r="127" spans="1:13" ht="42" x14ac:dyDescent="0.25">
      <c r="A127" s="104" t="s">
        <v>1331</v>
      </c>
      <c r="B127" s="86">
        <v>2006672</v>
      </c>
      <c r="C127" s="87">
        <v>59575</v>
      </c>
      <c r="D127" s="86" t="s">
        <v>1332</v>
      </c>
      <c r="E127" s="86">
        <v>15</v>
      </c>
      <c r="F127" s="86" t="s">
        <v>1333</v>
      </c>
      <c r="G127" s="86" t="s">
        <v>132</v>
      </c>
      <c r="H127" s="86" t="s">
        <v>1334</v>
      </c>
      <c r="I127" s="86" t="s">
        <v>1225</v>
      </c>
      <c r="J127" s="88" t="s">
        <v>1264</v>
      </c>
      <c r="K127" s="99">
        <v>1</v>
      </c>
      <c r="L127" s="97">
        <v>180550</v>
      </c>
      <c r="M127" s="91" t="s">
        <v>832</v>
      </c>
    </row>
    <row r="128" spans="1:13" ht="31.5" x14ac:dyDescent="0.25">
      <c r="A128" s="105" t="s">
        <v>1331</v>
      </c>
      <c r="B128" s="92">
        <v>2021285</v>
      </c>
      <c r="C128" s="82">
        <v>60702</v>
      </c>
      <c r="D128" s="92" t="s">
        <v>218</v>
      </c>
      <c r="E128" s="92">
        <v>8</v>
      </c>
      <c r="F128" s="92" t="s">
        <v>219</v>
      </c>
      <c r="G128" s="92" t="s">
        <v>132</v>
      </c>
      <c r="H128" s="92" t="s">
        <v>1335</v>
      </c>
      <c r="I128" s="92" t="s">
        <v>1231</v>
      </c>
      <c r="J128" s="93" t="s">
        <v>1264</v>
      </c>
      <c r="K128" s="98">
        <v>4</v>
      </c>
      <c r="L128" s="94">
        <v>123160</v>
      </c>
      <c r="M128" s="85" t="s">
        <v>832</v>
      </c>
    </row>
    <row r="129" spans="1:13" ht="21" x14ac:dyDescent="0.25">
      <c r="A129" s="106" t="s">
        <v>228</v>
      </c>
      <c r="B129" s="88">
        <v>2005259</v>
      </c>
      <c r="C129" s="87">
        <v>106787</v>
      </c>
      <c r="D129" s="88" t="s">
        <v>1110</v>
      </c>
      <c r="E129" s="88">
        <v>47</v>
      </c>
      <c r="F129" s="88" t="s">
        <v>1111</v>
      </c>
      <c r="G129" s="88" t="s">
        <v>15</v>
      </c>
      <c r="H129" s="88" t="s">
        <v>1112</v>
      </c>
      <c r="I129" s="88" t="s">
        <v>1113</v>
      </c>
      <c r="J129" s="88" t="s">
        <v>835</v>
      </c>
      <c r="K129" s="89">
        <v>29</v>
      </c>
      <c r="L129" s="90">
        <v>115440.52</v>
      </c>
      <c r="M129" s="91" t="s">
        <v>832</v>
      </c>
    </row>
    <row r="130" spans="1:13" ht="31.5" x14ac:dyDescent="0.25">
      <c r="A130" s="107" t="s">
        <v>228</v>
      </c>
      <c r="B130" s="82">
        <v>2505152</v>
      </c>
      <c r="C130" s="82">
        <v>67191</v>
      </c>
      <c r="D130" s="82" t="s">
        <v>39</v>
      </c>
      <c r="E130" s="82">
        <v>57</v>
      </c>
      <c r="F130" s="82" t="s">
        <v>40</v>
      </c>
      <c r="G130" s="82" t="s">
        <v>22</v>
      </c>
      <c r="H130" s="92" t="s">
        <v>1105</v>
      </c>
      <c r="I130" s="92" t="s">
        <v>78</v>
      </c>
      <c r="J130" s="82" t="s">
        <v>834</v>
      </c>
      <c r="K130" s="83">
        <v>19</v>
      </c>
      <c r="L130" s="84">
        <v>288937.64</v>
      </c>
      <c r="M130" s="85" t="s">
        <v>832</v>
      </c>
    </row>
    <row r="131" spans="1:13" x14ac:dyDescent="0.25">
      <c r="A131" s="108" t="s">
        <v>1336</v>
      </c>
      <c r="B131" s="87">
        <v>2009536</v>
      </c>
      <c r="C131" s="87">
        <v>100555</v>
      </c>
      <c r="D131" s="87" t="s">
        <v>1337</v>
      </c>
      <c r="E131" s="87">
        <v>52</v>
      </c>
      <c r="F131" s="87" t="s">
        <v>1338</v>
      </c>
      <c r="G131" s="87" t="s">
        <v>15</v>
      </c>
      <c r="H131" s="87" t="s">
        <v>1339</v>
      </c>
      <c r="I131" s="87" t="s">
        <v>1238</v>
      </c>
      <c r="J131" s="87" t="s">
        <v>1249</v>
      </c>
      <c r="K131" s="95">
        <v>2</v>
      </c>
      <c r="L131" s="96">
        <v>33530</v>
      </c>
      <c r="M131" s="91" t="s">
        <v>832</v>
      </c>
    </row>
    <row r="132" spans="1:13" x14ac:dyDescent="0.25">
      <c r="A132" s="107" t="s">
        <v>856</v>
      </c>
      <c r="B132" s="93">
        <v>2004095</v>
      </c>
      <c r="C132" s="82">
        <v>102642</v>
      </c>
      <c r="D132" s="93" t="s">
        <v>1189</v>
      </c>
      <c r="E132" s="93">
        <v>61</v>
      </c>
      <c r="F132" s="93" t="s">
        <v>60</v>
      </c>
      <c r="G132" s="93" t="s">
        <v>22</v>
      </c>
      <c r="H132" s="93" t="s">
        <v>728</v>
      </c>
      <c r="I132" s="93" t="s">
        <v>835</v>
      </c>
      <c r="J132" s="93" t="s">
        <v>835</v>
      </c>
      <c r="K132" s="83" t="s">
        <v>714</v>
      </c>
      <c r="L132" s="94">
        <v>27452</v>
      </c>
      <c r="M132" s="85" t="s">
        <v>832</v>
      </c>
    </row>
    <row r="133" spans="1:13" x14ac:dyDescent="0.25">
      <c r="A133" s="106" t="s">
        <v>856</v>
      </c>
      <c r="B133" s="87">
        <v>2004095</v>
      </c>
      <c r="C133" s="87">
        <v>102642</v>
      </c>
      <c r="D133" s="87" t="s">
        <v>740</v>
      </c>
      <c r="E133" s="87">
        <v>65</v>
      </c>
      <c r="F133" s="87" t="s">
        <v>60</v>
      </c>
      <c r="G133" s="87" t="s">
        <v>22</v>
      </c>
      <c r="H133" s="86" t="s">
        <v>728</v>
      </c>
      <c r="I133" s="86" t="s">
        <v>834</v>
      </c>
      <c r="J133" s="87" t="s">
        <v>834</v>
      </c>
      <c r="K133" s="95" t="s">
        <v>714</v>
      </c>
      <c r="L133" s="96">
        <v>16783.830000000002</v>
      </c>
      <c r="M133" s="91" t="s">
        <v>832</v>
      </c>
    </row>
    <row r="134" spans="1:13" ht="31.5" x14ac:dyDescent="0.25">
      <c r="A134" s="107" t="s">
        <v>856</v>
      </c>
      <c r="B134" s="82">
        <v>2002987</v>
      </c>
      <c r="C134" s="82">
        <v>60750</v>
      </c>
      <c r="D134" s="82" t="s">
        <v>1066</v>
      </c>
      <c r="E134" s="82">
        <v>56</v>
      </c>
      <c r="F134" s="82" t="s">
        <v>1067</v>
      </c>
      <c r="G134" s="82" t="s">
        <v>22</v>
      </c>
      <c r="H134" s="92" t="s">
        <v>1068</v>
      </c>
      <c r="I134" s="92" t="s">
        <v>835</v>
      </c>
      <c r="J134" s="82" t="s">
        <v>901</v>
      </c>
      <c r="K134" s="83">
        <v>7</v>
      </c>
      <c r="L134" s="84">
        <v>427126.14</v>
      </c>
      <c r="M134" s="85" t="s">
        <v>832</v>
      </c>
    </row>
    <row r="135" spans="1:13" ht="21" x14ac:dyDescent="0.25">
      <c r="A135" s="106" t="s">
        <v>856</v>
      </c>
      <c r="B135" s="87">
        <v>2001553</v>
      </c>
      <c r="C135" s="87">
        <v>17939</v>
      </c>
      <c r="D135" s="87" t="s">
        <v>987</v>
      </c>
      <c r="E135" s="87">
        <v>68</v>
      </c>
      <c r="F135" s="87" t="s">
        <v>60</v>
      </c>
      <c r="G135" s="87" t="s">
        <v>22</v>
      </c>
      <c r="H135" s="87" t="s">
        <v>988</v>
      </c>
      <c r="I135" s="86" t="s">
        <v>989</v>
      </c>
      <c r="J135" s="86" t="s">
        <v>859</v>
      </c>
      <c r="K135" s="95">
        <v>4</v>
      </c>
      <c r="L135" s="96">
        <v>86843.53</v>
      </c>
      <c r="M135" s="91" t="s">
        <v>832</v>
      </c>
    </row>
    <row r="136" spans="1:13" x14ac:dyDescent="0.25">
      <c r="A136" s="107" t="s">
        <v>856</v>
      </c>
      <c r="B136" s="82">
        <v>2022317</v>
      </c>
      <c r="C136" s="82">
        <v>103261</v>
      </c>
      <c r="D136" s="82" t="s">
        <v>857</v>
      </c>
      <c r="E136" s="82">
        <v>56</v>
      </c>
      <c r="F136" s="82" t="s">
        <v>49</v>
      </c>
      <c r="G136" s="82" t="s">
        <v>15</v>
      </c>
      <c r="H136" s="82" t="s">
        <v>858</v>
      </c>
      <c r="I136" s="92" t="s">
        <v>859</v>
      </c>
      <c r="J136" s="92" t="s">
        <v>860</v>
      </c>
      <c r="K136" s="83">
        <v>1</v>
      </c>
      <c r="L136" s="84">
        <v>158625.75</v>
      </c>
      <c r="M136" s="85" t="s">
        <v>832</v>
      </c>
    </row>
    <row r="137" spans="1:13" x14ac:dyDescent="0.25">
      <c r="A137" s="104" t="s">
        <v>856</v>
      </c>
      <c r="B137" s="87">
        <v>2002605</v>
      </c>
      <c r="C137" s="87">
        <v>11287</v>
      </c>
      <c r="D137" s="87" t="s">
        <v>1340</v>
      </c>
      <c r="E137" s="87">
        <v>67</v>
      </c>
      <c r="F137" s="87" t="s">
        <v>1293</v>
      </c>
      <c r="G137" s="87" t="s">
        <v>22</v>
      </c>
      <c r="H137" s="87" t="s">
        <v>1341</v>
      </c>
      <c r="I137" s="87" t="s">
        <v>909</v>
      </c>
      <c r="J137" s="87" t="s">
        <v>1236</v>
      </c>
      <c r="K137" s="95">
        <v>4</v>
      </c>
      <c r="L137" s="96">
        <v>419329.62</v>
      </c>
      <c r="M137" s="91" t="s">
        <v>832</v>
      </c>
    </row>
    <row r="138" spans="1:13" ht="31.5" x14ac:dyDescent="0.25">
      <c r="A138" s="105" t="s">
        <v>856</v>
      </c>
      <c r="B138" s="92">
        <v>2001872</v>
      </c>
      <c r="C138" s="82">
        <v>13663</v>
      </c>
      <c r="D138" s="92" t="s">
        <v>105</v>
      </c>
      <c r="E138" s="92">
        <v>65</v>
      </c>
      <c r="F138" s="92" t="s">
        <v>126</v>
      </c>
      <c r="G138" s="92" t="s">
        <v>22</v>
      </c>
      <c r="H138" s="92" t="s">
        <v>1342</v>
      </c>
      <c r="I138" s="92" t="s">
        <v>85</v>
      </c>
      <c r="J138" s="93" t="s">
        <v>1260</v>
      </c>
      <c r="K138" s="100">
        <v>20</v>
      </c>
      <c r="L138" s="101">
        <v>1398370.77</v>
      </c>
      <c r="M138" s="85" t="s">
        <v>832</v>
      </c>
    </row>
    <row r="139" spans="1:13" x14ac:dyDescent="0.25">
      <c r="A139" s="104" t="s">
        <v>856</v>
      </c>
      <c r="B139" s="88">
        <v>2018734</v>
      </c>
      <c r="C139" s="87">
        <v>64401</v>
      </c>
      <c r="D139" s="88" t="s">
        <v>1343</v>
      </c>
      <c r="E139" s="88">
        <v>61</v>
      </c>
      <c r="F139" s="88" t="s">
        <v>60</v>
      </c>
      <c r="G139" s="88" t="s">
        <v>22</v>
      </c>
      <c r="H139" s="88" t="s">
        <v>1344</v>
      </c>
      <c r="I139" s="88" t="s">
        <v>1260</v>
      </c>
      <c r="J139" s="88" t="s">
        <v>1260</v>
      </c>
      <c r="K139" s="95" t="s">
        <v>714</v>
      </c>
      <c r="L139" s="90">
        <v>90000</v>
      </c>
      <c r="M139" s="91" t="s">
        <v>832</v>
      </c>
    </row>
    <row r="140" spans="1:13" ht="21" x14ac:dyDescent="0.25">
      <c r="A140" s="105" t="s">
        <v>856</v>
      </c>
      <c r="B140" s="82">
        <v>2001511</v>
      </c>
      <c r="C140" s="82">
        <v>18974</v>
      </c>
      <c r="D140" s="82" t="s">
        <v>1345</v>
      </c>
      <c r="E140" s="82">
        <v>56</v>
      </c>
      <c r="F140" s="82" t="s">
        <v>60</v>
      </c>
      <c r="G140" s="82" t="s">
        <v>22</v>
      </c>
      <c r="H140" s="92" t="s">
        <v>1346</v>
      </c>
      <c r="I140" s="92" t="s">
        <v>1236</v>
      </c>
      <c r="J140" s="92" t="s">
        <v>1238</v>
      </c>
      <c r="K140" s="83">
        <v>2</v>
      </c>
      <c r="L140" s="84">
        <v>293763.32</v>
      </c>
      <c r="M140" s="85" t="s">
        <v>832</v>
      </c>
    </row>
    <row r="141" spans="1:13" ht="21" x14ac:dyDescent="0.25">
      <c r="A141" s="104" t="s">
        <v>856</v>
      </c>
      <c r="B141" s="86">
        <v>2003252</v>
      </c>
      <c r="C141" s="87">
        <v>60699</v>
      </c>
      <c r="D141" s="86" t="s">
        <v>1347</v>
      </c>
      <c r="E141" s="86">
        <v>64</v>
      </c>
      <c r="F141" s="86" t="s">
        <v>1348</v>
      </c>
      <c r="G141" s="86" t="s">
        <v>22</v>
      </c>
      <c r="H141" s="86" t="s">
        <v>1349</v>
      </c>
      <c r="I141" s="86" t="s">
        <v>1288</v>
      </c>
      <c r="J141" s="88" t="s">
        <v>1264</v>
      </c>
      <c r="K141" s="89">
        <v>6</v>
      </c>
      <c r="L141" s="97">
        <v>218929.94</v>
      </c>
      <c r="M141" s="91" t="s">
        <v>832</v>
      </c>
    </row>
    <row r="142" spans="1:13" ht="31.5" x14ac:dyDescent="0.25">
      <c r="A142" s="105" t="s">
        <v>856</v>
      </c>
      <c r="B142" s="92">
        <v>2408051</v>
      </c>
      <c r="C142" s="82">
        <v>35699</v>
      </c>
      <c r="D142" s="92" t="s">
        <v>1350</v>
      </c>
      <c r="E142" s="92">
        <v>7</v>
      </c>
      <c r="F142" s="92" t="s">
        <v>1351</v>
      </c>
      <c r="G142" s="92" t="s">
        <v>132</v>
      </c>
      <c r="H142" s="92" t="s">
        <v>1352</v>
      </c>
      <c r="I142" s="92" t="s">
        <v>1232</v>
      </c>
      <c r="J142" s="93" t="s">
        <v>1264</v>
      </c>
      <c r="K142" s="98">
        <v>2</v>
      </c>
      <c r="L142" s="94">
        <v>42507.45</v>
      </c>
      <c r="M142" s="85" t="s">
        <v>832</v>
      </c>
    </row>
    <row r="143" spans="1:13" ht="21" x14ac:dyDescent="0.25">
      <c r="A143" s="104" t="s">
        <v>856</v>
      </c>
      <c r="B143" s="86">
        <v>2006553</v>
      </c>
      <c r="C143" s="87">
        <v>100752</v>
      </c>
      <c r="D143" s="86" t="s">
        <v>1131</v>
      </c>
      <c r="E143" s="86">
        <v>63</v>
      </c>
      <c r="F143" s="86" t="s">
        <v>1353</v>
      </c>
      <c r="G143" s="86" t="s">
        <v>15</v>
      </c>
      <c r="H143" s="86" t="s">
        <v>1354</v>
      </c>
      <c r="I143" s="86" t="s">
        <v>860</v>
      </c>
      <c r="J143" s="86" t="s">
        <v>1254</v>
      </c>
      <c r="K143" s="99">
        <v>14</v>
      </c>
      <c r="L143" s="90">
        <v>772980</v>
      </c>
      <c r="M143" s="91" t="s">
        <v>832</v>
      </c>
    </row>
    <row r="144" spans="1:13" ht="31.5" x14ac:dyDescent="0.25">
      <c r="A144" s="107" t="s">
        <v>53</v>
      </c>
      <c r="B144" s="82">
        <v>2004100</v>
      </c>
      <c r="C144" s="82">
        <v>100573</v>
      </c>
      <c r="D144" s="82" t="s">
        <v>83</v>
      </c>
      <c r="E144" s="82">
        <v>68</v>
      </c>
      <c r="F144" s="82" t="s">
        <v>941</v>
      </c>
      <c r="G144" s="82" t="s">
        <v>22</v>
      </c>
      <c r="H144" s="92" t="s">
        <v>942</v>
      </c>
      <c r="I144" s="92" t="s">
        <v>943</v>
      </c>
      <c r="J144" s="82" t="s">
        <v>831</v>
      </c>
      <c r="K144" s="83">
        <v>3</v>
      </c>
      <c r="L144" s="84">
        <v>344000</v>
      </c>
      <c r="M144" s="85" t="s">
        <v>832</v>
      </c>
    </row>
    <row r="145" spans="1:13" x14ac:dyDescent="0.25">
      <c r="A145" s="106" t="s">
        <v>53</v>
      </c>
      <c r="B145" s="87">
        <v>2015348</v>
      </c>
      <c r="C145" s="87">
        <v>103549</v>
      </c>
      <c r="D145" s="87" t="s">
        <v>1196</v>
      </c>
      <c r="E145" s="87">
        <v>64</v>
      </c>
      <c r="F145" s="87" t="s">
        <v>60</v>
      </c>
      <c r="G145" s="87" t="s">
        <v>22</v>
      </c>
      <c r="H145" s="86" t="s">
        <v>445</v>
      </c>
      <c r="I145" s="86" t="s">
        <v>901</v>
      </c>
      <c r="J145" s="87" t="s">
        <v>901</v>
      </c>
      <c r="K145" s="95" t="s">
        <v>714</v>
      </c>
      <c r="L145" s="96">
        <v>45308.23</v>
      </c>
      <c r="M145" s="91" t="s">
        <v>832</v>
      </c>
    </row>
    <row r="146" spans="1:13" x14ac:dyDescent="0.25">
      <c r="A146" s="107" t="s">
        <v>53</v>
      </c>
      <c r="B146" s="82">
        <v>2007795</v>
      </c>
      <c r="C146" s="82">
        <v>15404</v>
      </c>
      <c r="D146" s="82" t="s">
        <v>749</v>
      </c>
      <c r="E146" s="82">
        <v>63</v>
      </c>
      <c r="F146" s="82" t="s">
        <v>49</v>
      </c>
      <c r="G146" s="82" t="s">
        <v>15</v>
      </c>
      <c r="H146" s="92" t="s">
        <v>1190</v>
      </c>
      <c r="I146" s="92" t="s">
        <v>855</v>
      </c>
      <c r="J146" s="82" t="s">
        <v>855</v>
      </c>
      <c r="K146" s="83" t="s">
        <v>714</v>
      </c>
      <c r="L146" s="84">
        <v>471646.92</v>
      </c>
      <c r="M146" s="85" t="s">
        <v>832</v>
      </c>
    </row>
    <row r="147" spans="1:13" ht="31.5" x14ac:dyDescent="0.25">
      <c r="A147" s="106" t="s">
        <v>53</v>
      </c>
      <c r="B147" s="87">
        <v>2002779</v>
      </c>
      <c r="C147" s="87">
        <v>54318</v>
      </c>
      <c r="D147" s="87" t="s">
        <v>928</v>
      </c>
      <c r="E147" s="87">
        <v>70</v>
      </c>
      <c r="F147" s="87" t="s">
        <v>135</v>
      </c>
      <c r="G147" s="87" t="s">
        <v>22</v>
      </c>
      <c r="H147" s="86" t="s">
        <v>929</v>
      </c>
      <c r="I147" s="86" t="s">
        <v>896</v>
      </c>
      <c r="J147" s="87" t="s">
        <v>855</v>
      </c>
      <c r="K147" s="95">
        <v>3</v>
      </c>
      <c r="L147" s="96">
        <v>90023.64</v>
      </c>
      <c r="M147" s="91" t="s">
        <v>832</v>
      </c>
    </row>
    <row r="148" spans="1:13" x14ac:dyDescent="0.25">
      <c r="A148" s="107" t="s">
        <v>53</v>
      </c>
      <c r="B148" s="82">
        <v>2006553</v>
      </c>
      <c r="C148" s="82">
        <v>100752</v>
      </c>
      <c r="D148" s="82" t="s">
        <v>1131</v>
      </c>
      <c r="E148" s="82">
        <v>63</v>
      </c>
      <c r="F148" s="82" t="s">
        <v>49</v>
      </c>
      <c r="G148" s="82" t="s">
        <v>15</v>
      </c>
      <c r="H148" s="92" t="s">
        <v>1132</v>
      </c>
      <c r="I148" s="92" t="s">
        <v>855</v>
      </c>
      <c r="J148" s="82" t="s">
        <v>855</v>
      </c>
      <c r="K148" s="83" t="s">
        <v>556</v>
      </c>
      <c r="L148" s="84">
        <v>70000</v>
      </c>
      <c r="M148" s="85" t="s">
        <v>832</v>
      </c>
    </row>
    <row r="149" spans="1:13" ht="21" x14ac:dyDescent="0.25">
      <c r="A149" s="106" t="s">
        <v>53</v>
      </c>
      <c r="B149" s="86">
        <v>2016328</v>
      </c>
      <c r="C149" s="87">
        <v>103314</v>
      </c>
      <c r="D149" s="86" t="s">
        <v>1077</v>
      </c>
      <c r="E149" s="86">
        <v>57</v>
      </c>
      <c r="F149" s="86" t="s">
        <v>14</v>
      </c>
      <c r="G149" s="86" t="s">
        <v>15</v>
      </c>
      <c r="H149" s="86" t="s">
        <v>1078</v>
      </c>
      <c r="I149" s="86" t="s">
        <v>843</v>
      </c>
      <c r="J149" s="86" t="s">
        <v>909</v>
      </c>
      <c r="K149" s="99">
        <v>7</v>
      </c>
      <c r="L149" s="97">
        <v>205497</v>
      </c>
      <c r="M149" s="91" t="s">
        <v>832</v>
      </c>
    </row>
    <row r="150" spans="1:13" ht="31.5" x14ac:dyDescent="0.25">
      <c r="A150" s="107" t="s">
        <v>53</v>
      </c>
      <c r="B150" s="82">
        <v>2506022</v>
      </c>
      <c r="C150" s="82">
        <v>58697</v>
      </c>
      <c r="D150" s="82" t="s">
        <v>1212</v>
      </c>
      <c r="E150" s="82">
        <v>60</v>
      </c>
      <c r="F150" s="82" t="s">
        <v>60</v>
      </c>
      <c r="G150" s="82" t="s">
        <v>22</v>
      </c>
      <c r="H150" s="82" t="s">
        <v>23</v>
      </c>
      <c r="I150" s="92" t="s">
        <v>1213</v>
      </c>
      <c r="J150" s="92" t="s">
        <v>859</v>
      </c>
      <c r="K150" s="83" t="s">
        <v>714</v>
      </c>
      <c r="L150" s="84">
        <v>62100</v>
      </c>
      <c r="M150" s="85" t="s">
        <v>832</v>
      </c>
    </row>
    <row r="151" spans="1:13" ht="21" x14ac:dyDescent="0.25">
      <c r="A151" s="106" t="s">
        <v>53</v>
      </c>
      <c r="B151" s="87">
        <v>2020238</v>
      </c>
      <c r="C151" s="87">
        <v>43253</v>
      </c>
      <c r="D151" s="87" t="s">
        <v>964</v>
      </c>
      <c r="E151" s="87">
        <v>62</v>
      </c>
      <c r="F151" s="87" t="s">
        <v>965</v>
      </c>
      <c r="G151" s="87" t="s">
        <v>15</v>
      </c>
      <c r="H151" s="87" t="s">
        <v>966</v>
      </c>
      <c r="I151" s="86" t="s">
        <v>967</v>
      </c>
      <c r="J151" s="86" t="s">
        <v>919</v>
      </c>
      <c r="K151" s="95">
        <v>3</v>
      </c>
      <c r="L151" s="96">
        <v>336560</v>
      </c>
      <c r="M151" s="91" t="s">
        <v>832</v>
      </c>
    </row>
    <row r="152" spans="1:13" x14ac:dyDescent="0.25">
      <c r="A152" s="103" t="s">
        <v>53</v>
      </c>
      <c r="B152" s="82">
        <v>2011016</v>
      </c>
      <c r="C152" s="82">
        <v>18256</v>
      </c>
      <c r="D152" s="82" t="s">
        <v>745</v>
      </c>
      <c r="E152" s="82">
        <v>65</v>
      </c>
      <c r="F152" s="82" t="s">
        <v>49</v>
      </c>
      <c r="G152" s="82" t="s">
        <v>15</v>
      </c>
      <c r="H152" s="92" t="s">
        <v>730</v>
      </c>
      <c r="I152" s="92" t="s">
        <v>1238</v>
      </c>
      <c r="J152" s="92" t="s">
        <v>1238</v>
      </c>
      <c r="K152" s="83" t="s">
        <v>714</v>
      </c>
      <c r="L152" s="84">
        <v>133540</v>
      </c>
      <c r="M152" s="85" t="s">
        <v>832</v>
      </c>
    </row>
    <row r="153" spans="1:13" x14ac:dyDescent="0.25">
      <c r="A153" s="108" t="s">
        <v>53</v>
      </c>
      <c r="B153" s="87">
        <v>2020767</v>
      </c>
      <c r="C153" s="87">
        <v>105075</v>
      </c>
      <c r="D153" s="87" t="s">
        <v>1355</v>
      </c>
      <c r="E153" s="87">
        <v>52</v>
      </c>
      <c r="F153" s="87" t="s">
        <v>1356</v>
      </c>
      <c r="G153" s="87" t="s">
        <v>15</v>
      </c>
      <c r="H153" s="86" t="s">
        <v>1357</v>
      </c>
      <c r="I153" s="86" t="s">
        <v>1236</v>
      </c>
      <c r="J153" s="86" t="s">
        <v>1241</v>
      </c>
      <c r="K153" s="95">
        <v>3</v>
      </c>
      <c r="L153" s="96">
        <v>307973</v>
      </c>
      <c r="M153" s="91" t="s">
        <v>832</v>
      </c>
    </row>
    <row r="154" spans="1:13" ht="42" x14ac:dyDescent="0.25">
      <c r="A154" s="103" t="s">
        <v>53</v>
      </c>
      <c r="B154" s="82">
        <v>2001006</v>
      </c>
      <c r="C154" s="82">
        <v>18347</v>
      </c>
      <c r="D154" s="82" t="s">
        <v>519</v>
      </c>
      <c r="E154" s="82">
        <v>60</v>
      </c>
      <c r="F154" s="82" t="s">
        <v>60</v>
      </c>
      <c r="G154" s="82" t="s">
        <v>22</v>
      </c>
      <c r="H154" s="92" t="s">
        <v>1358</v>
      </c>
      <c r="I154" s="92" t="s">
        <v>1359</v>
      </c>
      <c r="J154" s="92" t="s">
        <v>1241</v>
      </c>
      <c r="K154" s="83">
        <v>7</v>
      </c>
      <c r="L154" s="84">
        <v>280720.21999999997</v>
      </c>
      <c r="M154" s="85" t="s">
        <v>832</v>
      </c>
    </row>
    <row r="155" spans="1:13" ht="21" x14ac:dyDescent="0.25">
      <c r="A155" s="108" t="s">
        <v>53</v>
      </c>
      <c r="B155" s="87">
        <v>2020238</v>
      </c>
      <c r="C155" s="87">
        <v>43253</v>
      </c>
      <c r="D155" s="87" t="s">
        <v>964</v>
      </c>
      <c r="E155" s="87">
        <v>62</v>
      </c>
      <c r="F155" s="87" t="s">
        <v>965</v>
      </c>
      <c r="G155" s="87" t="s">
        <v>15</v>
      </c>
      <c r="H155" s="86" t="s">
        <v>1360</v>
      </c>
      <c r="I155" s="86" t="s">
        <v>919</v>
      </c>
      <c r="J155" s="86" t="s">
        <v>1241</v>
      </c>
      <c r="K155" s="95">
        <v>4</v>
      </c>
      <c r="L155" s="96">
        <v>239368</v>
      </c>
      <c r="M155" s="91" t="s">
        <v>832</v>
      </c>
    </row>
    <row r="156" spans="1:13" x14ac:dyDescent="0.25">
      <c r="A156" s="103" t="s">
        <v>53</v>
      </c>
      <c r="B156" s="82">
        <v>2014783</v>
      </c>
      <c r="C156" s="82">
        <v>100701</v>
      </c>
      <c r="D156" s="82" t="s">
        <v>1361</v>
      </c>
      <c r="E156" s="82">
        <v>61</v>
      </c>
      <c r="F156" s="82" t="s">
        <v>1362</v>
      </c>
      <c r="G156" s="82" t="s">
        <v>15</v>
      </c>
      <c r="H156" s="82" t="s">
        <v>1363</v>
      </c>
      <c r="I156" s="82" t="s">
        <v>1260</v>
      </c>
      <c r="J156" s="82" t="s">
        <v>1249</v>
      </c>
      <c r="K156" s="83">
        <v>3</v>
      </c>
      <c r="L156" s="84">
        <v>84812.43</v>
      </c>
      <c r="M156" s="85" t="s">
        <v>832</v>
      </c>
    </row>
    <row r="157" spans="1:13" ht="21" x14ac:dyDescent="0.25">
      <c r="A157" s="108" t="s">
        <v>53</v>
      </c>
      <c r="B157" s="87">
        <v>2014318</v>
      </c>
      <c r="C157" s="87">
        <v>61208</v>
      </c>
      <c r="D157" s="87" t="s">
        <v>651</v>
      </c>
      <c r="E157" s="87">
        <v>62</v>
      </c>
      <c r="F157" s="87" t="s">
        <v>1364</v>
      </c>
      <c r="G157" s="87" t="s">
        <v>22</v>
      </c>
      <c r="H157" s="86" t="s">
        <v>1365</v>
      </c>
      <c r="I157" s="86" t="s">
        <v>1366</v>
      </c>
      <c r="J157" s="86" t="s">
        <v>1242</v>
      </c>
      <c r="K157" s="95">
        <v>2</v>
      </c>
      <c r="L157" s="96">
        <v>182486</v>
      </c>
      <c r="M157" s="91" t="s">
        <v>832</v>
      </c>
    </row>
    <row r="158" spans="1:13" x14ac:dyDescent="0.25">
      <c r="A158" s="103" t="s">
        <v>53</v>
      </c>
      <c r="B158" s="93">
        <v>2006996</v>
      </c>
      <c r="C158" s="82">
        <v>14842</v>
      </c>
      <c r="D158" s="93" t="s">
        <v>757</v>
      </c>
      <c r="E158" s="93">
        <v>64</v>
      </c>
      <c r="F158" s="93" t="s">
        <v>49</v>
      </c>
      <c r="G158" s="93" t="s">
        <v>15</v>
      </c>
      <c r="H158" s="93" t="s">
        <v>1367</v>
      </c>
      <c r="I158" s="93" t="s">
        <v>1232</v>
      </c>
      <c r="J158" s="93" t="s">
        <v>1232</v>
      </c>
      <c r="K158" s="83" t="s">
        <v>714</v>
      </c>
      <c r="L158" s="94">
        <v>28179.599999999999</v>
      </c>
      <c r="M158" s="85" t="s">
        <v>832</v>
      </c>
    </row>
    <row r="159" spans="1:13" ht="52.5" x14ac:dyDescent="0.25">
      <c r="A159" s="106" t="s">
        <v>1016</v>
      </c>
      <c r="B159" s="87">
        <v>2503295</v>
      </c>
      <c r="C159" s="87">
        <v>62746</v>
      </c>
      <c r="D159" s="87" t="s">
        <v>1059</v>
      </c>
      <c r="E159" s="87">
        <v>12</v>
      </c>
      <c r="F159" s="87" t="s">
        <v>60</v>
      </c>
      <c r="G159" s="87" t="s">
        <v>88</v>
      </c>
      <c r="H159" s="86" t="s">
        <v>1060</v>
      </c>
      <c r="I159" s="86" t="s">
        <v>843</v>
      </c>
      <c r="J159" s="87" t="s">
        <v>851</v>
      </c>
      <c r="K159" s="95">
        <v>5</v>
      </c>
      <c r="L159" s="96">
        <v>145327</v>
      </c>
      <c r="M159" s="91" t="s">
        <v>832</v>
      </c>
    </row>
    <row r="160" spans="1:13" ht="21" x14ac:dyDescent="0.25">
      <c r="A160" s="107" t="s">
        <v>1016</v>
      </c>
      <c r="B160" s="82">
        <v>2503242</v>
      </c>
      <c r="C160" s="82">
        <v>62746</v>
      </c>
      <c r="D160" s="82" t="s">
        <v>1017</v>
      </c>
      <c r="E160" s="82">
        <v>54</v>
      </c>
      <c r="F160" s="82" t="s">
        <v>1018</v>
      </c>
      <c r="G160" s="82" t="s">
        <v>15</v>
      </c>
      <c r="H160" s="92" t="s">
        <v>1019</v>
      </c>
      <c r="I160" s="92" t="s">
        <v>831</v>
      </c>
      <c r="J160" s="82" t="s">
        <v>851</v>
      </c>
      <c r="K160" s="83">
        <v>4</v>
      </c>
      <c r="L160" s="84">
        <v>71629</v>
      </c>
      <c r="M160" s="85" t="s">
        <v>832</v>
      </c>
    </row>
    <row r="161" spans="1:13" ht="42" x14ac:dyDescent="0.25">
      <c r="A161" s="106" t="s">
        <v>449</v>
      </c>
      <c r="B161" s="87">
        <v>2013074</v>
      </c>
      <c r="C161" s="87">
        <v>101343</v>
      </c>
      <c r="D161" s="87" t="s">
        <v>1091</v>
      </c>
      <c r="E161" s="87">
        <v>68</v>
      </c>
      <c r="F161" s="87" t="s">
        <v>451</v>
      </c>
      <c r="G161" s="87" t="s">
        <v>15</v>
      </c>
      <c r="H161" s="86" t="s">
        <v>1092</v>
      </c>
      <c r="I161" s="86" t="s">
        <v>835</v>
      </c>
      <c r="J161" s="87" t="s">
        <v>855</v>
      </c>
      <c r="K161" s="95">
        <v>9</v>
      </c>
      <c r="L161" s="96">
        <v>196082.8</v>
      </c>
      <c r="M161" s="91" t="s">
        <v>832</v>
      </c>
    </row>
    <row r="162" spans="1:13" ht="21" x14ac:dyDescent="0.25">
      <c r="A162" s="107" t="s">
        <v>916</v>
      </c>
      <c r="B162" s="82">
        <v>200779</v>
      </c>
      <c r="C162" s="82">
        <v>1284</v>
      </c>
      <c r="D162" s="82" t="s">
        <v>1024</v>
      </c>
      <c r="E162" s="82">
        <v>66</v>
      </c>
      <c r="F162" s="82" t="s">
        <v>1025</v>
      </c>
      <c r="G162" s="82" t="s">
        <v>15</v>
      </c>
      <c r="H162" s="92" t="s">
        <v>1026</v>
      </c>
      <c r="I162" s="92" t="s">
        <v>835</v>
      </c>
      <c r="J162" s="82" t="s">
        <v>846</v>
      </c>
      <c r="K162" s="83">
        <v>5</v>
      </c>
      <c r="L162" s="84">
        <v>270736.14</v>
      </c>
      <c r="M162" s="85" t="s">
        <v>832</v>
      </c>
    </row>
    <row r="163" spans="1:13" x14ac:dyDescent="0.25">
      <c r="A163" s="106" t="s">
        <v>916</v>
      </c>
      <c r="B163" s="87">
        <v>2000713</v>
      </c>
      <c r="C163" s="87">
        <v>19277</v>
      </c>
      <c r="D163" s="87" t="s">
        <v>917</v>
      </c>
      <c r="E163" s="87">
        <v>71</v>
      </c>
      <c r="F163" s="87" t="s">
        <v>60</v>
      </c>
      <c r="G163" s="87" t="s">
        <v>22</v>
      </c>
      <c r="H163" s="87" t="s">
        <v>918</v>
      </c>
      <c r="I163" s="86" t="s">
        <v>909</v>
      </c>
      <c r="J163" s="86" t="s">
        <v>919</v>
      </c>
      <c r="K163" s="95">
        <v>3</v>
      </c>
      <c r="L163" s="96">
        <v>117500</v>
      </c>
      <c r="M163" s="91" t="s">
        <v>832</v>
      </c>
    </row>
    <row r="164" spans="1:13" ht="31.5" x14ac:dyDescent="0.25">
      <c r="A164" s="107" t="s">
        <v>562</v>
      </c>
      <c r="B164" s="92">
        <v>2011543</v>
      </c>
      <c r="C164" s="82">
        <v>9552</v>
      </c>
      <c r="D164" s="92" t="s">
        <v>953</v>
      </c>
      <c r="E164" s="92">
        <v>21</v>
      </c>
      <c r="F164" s="92" t="s">
        <v>954</v>
      </c>
      <c r="G164" s="92" t="s">
        <v>955</v>
      </c>
      <c r="H164" s="92" t="s">
        <v>956</v>
      </c>
      <c r="I164" s="92" t="s">
        <v>835</v>
      </c>
      <c r="J164" s="93" t="s">
        <v>843</v>
      </c>
      <c r="K164" s="100">
        <v>3</v>
      </c>
      <c r="L164" s="101">
        <v>56677</v>
      </c>
      <c r="M164" s="85" t="s">
        <v>832</v>
      </c>
    </row>
    <row r="165" spans="1:13" x14ac:dyDescent="0.25">
      <c r="A165" s="108" t="s">
        <v>562</v>
      </c>
      <c r="B165" s="87">
        <v>2008670</v>
      </c>
      <c r="C165" s="87">
        <v>77163</v>
      </c>
      <c r="D165" s="87" t="s">
        <v>1368</v>
      </c>
      <c r="E165" s="87">
        <v>17</v>
      </c>
      <c r="F165" s="87" t="s">
        <v>1369</v>
      </c>
      <c r="G165" s="87" t="s">
        <v>132</v>
      </c>
      <c r="H165" s="87" t="s">
        <v>1370</v>
      </c>
      <c r="I165" s="87" t="s">
        <v>1241</v>
      </c>
      <c r="J165" s="87" t="s">
        <v>1231</v>
      </c>
      <c r="K165" s="95">
        <v>4</v>
      </c>
      <c r="L165" s="96">
        <v>143756.5</v>
      </c>
      <c r="M165" s="91" t="s">
        <v>832</v>
      </c>
    </row>
    <row r="166" spans="1:13" x14ac:dyDescent="0.25">
      <c r="A166" s="103" t="s">
        <v>1371</v>
      </c>
      <c r="B166" s="82">
        <v>2016894</v>
      </c>
      <c r="C166" s="82">
        <v>57521</v>
      </c>
      <c r="D166" s="82" t="s">
        <v>1372</v>
      </c>
      <c r="E166" s="82">
        <v>65</v>
      </c>
      <c r="F166" s="82" t="s">
        <v>49</v>
      </c>
      <c r="G166" s="82" t="s">
        <v>15</v>
      </c>
      <c r="H166" s="82" t="s">
        <v>1373</v>
      </c>
      <c r="I166" s="82" t="s">
        <v>1249</v>
      </c>
      <c r="J166" s="82" t="s">
        <v>1288</v>
      </c>
      <c r="K166" s="83">
        <v>1</v>
      </c>
      <c r="L166" s="84">
        <v>296910</v>
      </c>
      <c r="M166" s="85" t="s">
        <v>832</v>
      </c>
    </row>
    <row r="167" spans="1:13" x14ac:dyDescent="0.25">
      <c r="A167" s="108" t="s">
        <v>1371</v>
      </c>
      <c r="B167" s="87">
        <v>2011817</v>
      </c>
      <c r="C167" s="87">
        <v>56558</v>
      </c>
      <c r="D167" s="87" t="s">
        <v>884</v>
      </c>
      <c r="E167" s="87">
        <v>58</v>
      </c>
      <c r="F167" s="87" t="s">
        <v>14</v>
      </c>
      <c r="G167" s="87" t="s">
        <v>15</v>
      </c>
      <c r="H167" s="86" t="s">
        <v>164</v>
      </c>
      <c r="I167" s="86" t="s">
        <v>843</v>
      </c>
      <c r="J167" s="87" t="s">
        <v>846</v>
      </c>
      <c r="K167" s="95">
        <v>2</v>
      </c>
      <c r="L167" s="96">
        <v>268640</v>
      </c>
      <c r="M167" s="91" t="s">
        <v>832</v>
      </c>
    </row>
    <row r="168" spans="1:13" ht="42" x14ac:dyDescent="0.25">
      <c r="A168" s="107" t="s">
        <v>337</v>
      </c>
      <c r="B168" s="82">
        <v>2019617</v>
      </c>
      <c r="C168" s="82">
        <v>62874</v>
      </c>
      <c r="D168" s="82" t="s">
        <v>1103</v>
      </c>
      <c r="E168" s="82">
        <v>19</v>
      </c>
      <c r="F168" s="82" t="s">
        <v>60</v>
      </c>
      <c r="G168" s="82" t="s">
        <v>132</v>
      </c>
      <c r="H168" s="92" t="s">
        <v>1104</v>
      </c>
      <c r="I168" s="92" t="s">
        <v>31</v>
      </c>
      <c r="J168" s="82" t="s">
        <v>831</v>
      </c>
      <c r="K168" s="83">
        <v>11</v>
      </c>
      <c r="L168" s="84">
        <v>949084</v>
      </c>
      <c r="M168" s="85" t="s">
        <v>832</v>
      </c>
    </row>
    <row r="169" spans="1:13" ht="21" x14ac:dyDescent="0.25">
      <c r="A169" s="108" t="s">
        <v>337</v>
      </c>
      <c r="B169" s="87">
        <v>2020019</v>
      </c>
      <c r="C169" s="87">
        <v>14642</v>
      </c>
      <c r="D169" s="87" t="s">
        <v>1374</v>
      </c>
      <c r="E169" s="87">
        <v>64</v>
      </c>
      <c r="F169" s="87" t="s">
        <v>60</v>
      </c>
      <c r="G169" s="87" t="s">
        <v>22</v>
      </c>
      <c r="H169" s="86" t="s">
        <v>1375</v>
      </c>
      <c r="I169" s="86" t="s">
        <v>1242</v>
      </c>
      <c r="J169" s="86" t="s">
        <v>1242</v>
      </c>
      <c r="K169" s="89" t="s">
        <v>556</v>
      </c>
      <c r="L169" s="96">
        <v>20000</v>
      </c>
      <c r="M169" s="91" t="s">
        <v>832</v>
      </c>
    </row>
    <row r="170" spans="1:13" x14ac:dyDescent="0.25">
      <c r="A170" s="103" t="s">
        <v>337</v>
      </c>
      <c r="B170" s="93">
        <v>2023807</v>
      </c>
      <c r="C170" s="82">
        <v>31891</v>
      </c>
      <c r="D170" s="93" t="s">
        <v>1376</v>
      </c>
      <c r="E170" s="93">
        <v>64</v>
      </c>
      <c r="F170" s="93" t="s">
        <v>49</v>
      </c>
      <c r="G170" s="93" t="s">
        <v>15</v>
      </c>
      <c r="H170" s="93" t="s">
        <v>791</v>
      </c>
      <c r="I170" s="93" t="s">
        <v>1254</v>
      </c>
      <c r="J170" s="93" t="s">
        <v>1254</v>
      </c>
      <c r="K170" s="83" t="s">
        <v>788</v>
      </c>
      <c r="L170" s="94">
        <v>71143</v>
      </c>
      <c r="M170" s="85" t="s">
        <v>832</v>
      </c>
    </row>
    <row r="171" spans="1:13" x14ac:dyDescent="0.25">
      <c r="A171" s="108" t="s">
        <v>58</v>
      </c>
      <c r="B171" s="87">
        <v>2020764</v>
      </c>
      <c r="C171" s="87">
        <v>42528</v>
      </c>
      <c r="D171" s="87" t="s">
        <v>1377</v>
      </c>
      <c r="E171" s="87">
        <v>64</v>
      </c>
      <c r="F171" s="87" t="s">
        <v>1378</v>
      </c>
      <c r="G171" s="87" t="s">
        <v>22</v>
      </c>
      <c r="H171" s="87" t="s">
        <v>1379</v>
      </c>
      <c r="I171" s="87" t="s">
        <v>1260</v>
      </c>
      <c r="J171" s="87" t="s">
        <v>1288</v>
      </c>
      <c r="K171" s="95">
        <v>3</v>
      </c>
      <c r="L171" s="96">
        <v>404929</v>
      </c>
      <c r="M171" s="91" t="s">
        <v>832</v>
      </c>
    </row>
    <row r="172" spans="1:13" ht="21" x14ac:dyDescent="0.25">
      <c r="A172" s="103" t="s">
        <v>58</v>
      </c>
      <c r="B172" s="82">
        <v>2004386</v>
      </c>
      <c r="C172" s="82">
        <v>13390</v>
      </c>
      <c r="D172" s="82" t="s">
        <v>1380</v>
      </c>
      <c r="E172" s="82">
        <v>65</v>
      </c>
      <c r="F172" s="82" t="s">
        <v>1381</v>
      </c>
      <c r="G172" s="82" t="s">
        <v>22</v>
      </c>
      <c r="H172" s="92" t="s">
        <v>1382</v>
      </c>
      <c r="I172" s="92" t="s">
        <v>1288</v>
      </c>
      <c r="J172" s="92" t="s">
        <v>1242</v>
      </c>
      <c r="K172" s="83">
        <v>3</v>
      </c>
      <c r="L172" s="84">
        <v>61539</v>
      </c>
      <c r="M172" s="85" t="s">
        <v>832</v>
      </c>
    </row>
    <row r="173" spans="1:13" ht="42" x14ac:dyDescent="0.25">
      <c r="A173" s="106" t="s">
        <v>1383</v>
      </c>
      <c r="B173" s="88">
        <v>2015925</v>
      </c>
      <c r="C173" s="87">
        <v>37303</v>
      </c>
      <c r="D173" s="88" t="s">
        <v>1384</v>
      </c>
      <c r="E173" s="88">
        <v>46</v>
      </c>
      <c r="F173" s="88" t="s">
        <v>126</v>
      </c>
      <c r="G173" s="88" t="s">
        <v>664</v>
      </c>
      <c r="H173" s="88" t="s">
        <v>1385</v>
      </c>
      <c r="I173" s="88" t="s">
        <v>103</v>
      </c>
      <c r="J173" s="86" t="s">
        <v>1260</v>
      </c>
      <c r="K173" s="89">
        <v>47</v>
      </c>
      <c r="L173" s="90">
        <v>172244</v>
      </c>
      <c r="M173" s="91" t="s">
        <v>832</v>
      </c>
    </row>
    <row r="174" spans="1:13" ht="21" x14ac:dyDescent="0.25">
      <c r="A174" s="107" t="s">
        <v>889</v>
      </c>
      <c r="B174" s="92">
        <v>2021140</v>
      </c>
      <c r="C174" s="92">
        <v>15630</v>
      </c>
      <c r="D174" s="92" t="s">
        <v>973</v>
      </c>
      <c r="E174" s="92">
        <v>54</v>
      </c>
      <c r="F174" s="92" t="s">
        <v>49</v>
      </c>
      <c r="G174" s="92" t="s">
        <v>15</v>
      </c>
      <c r="H174" s="92" t="s">
        <v>974</v>
      </c>
      <c r="I174" s="92" t="s">
        <v>975</v>
      </c>
      <c r="J174" s="93" t="s">
        <v>835</v>
      </c>
      <c r="K174" s="100">
        <v>3</v>
      </c>
      <c r="L174" s="101">
        <v>253940</v>
      </c>
      <c r="M174" s="85" t="s">
        <v>832</v>
      </c>
    </row>
    <row r="175" spans="1:13" ht="21" x14ac:dyDescent="0.25">
      <c r="A175" s="106" t="s">
        <v>889</v>
      </c>
      <c r="B175" s="87">
        <v>2020377</v>
      </c>
      <c r="C175" s="87">
        <v>60366</v>
      </c>
      <c r="D175" s="87" t="s">
        <v>890</v>
      </c>
      <c r="E175" s="87">
        <v>19</v>
      </c>
      <c r="F175" s="87" t="s">
        <v>891</v>
      </c>
      <c r="G175" s="87" t="s">
        <v>132</v>
      </c>
      <c r="H175" s="86" t="s">
        <v>892</v>
      </c>
      <c r="I175" s="86" t="s">
        <v>880</v>
      </c>
      <c r="J175" s="87" t="s">
        <v>831</v>
      </c>
      <c r="K175" s="95">
        <v>2</v>
      </c>
      <c r="L175" s="96">
        <v>52590</v>
      </c>
      <c r="M175" s="91" t="s">
        <v>832</v>
      </c>
    </row>
    <row r="176" spans="1:13" ht="21" x14ac:dyDescent="0.25">
      <c r="A176" s="107" t="s">
        <v>1386</v>
      </c>
      <c r="B176" s="93">
        <v>2017620</v>
      </c>
      <c r="C176" s="82">
        <v>54137</v>
      </c>
      <c r="D176" s="93" t="s">
        <v>1387</v>
      </c>
      <c r="E176" s="93">
        <v>17</v>
      </c>
      <c r="F176" s="93" t="s">
        <v>470</v>
      </c>
      <c r="G176" s="93" t="s">
        <v>88</v>
      </c>
      <c r="H176" s="92" t="s">
        <v>471</v>
      </c>
      <c r="I176" s="93" t="s">
        <v>1245</v>
      </c>
      <c r="J176" s="93" t="s">
        <v>1232</v>
      </c>
      <c r="K176" s="98" t="s">
        <v>556</v>
      </c>
      <c r="L176" s="94">
        <v>75000</v>
      </c>
      <c r="M176" s="85" t="s">
        <v>832</v>
      </c>
    </row>
    <row r="177" spans="1:13" ht="21" x14ac:dyDescent="0.25">
      <c r="A177" s="106" t="s">
        <v>340</v>
      </c>
      <c r="B177" s="88">
        <v>2014318</v>
      </c>
      <c r="C177" s="87">
        <v>61208</v>
      </c>
      <c r="D177" s="88" t="s">
        <v>1169</v>
      </c>
      <c r="E177" s="88">
        <v>62</v>
      </c>
      <c r="F177" s="88" t="s">
        <v>60</v>
      </c>
      <c r="G177" s="88" t="s">
        <v>22</v>
      </c>
      <c r="H177" s="88" t="s">
        <v>1170</v>
      </c>
      <c r="I177" s="88" t="s">
        <v>835</v>
      </c>
      <c r="J177" s="88" t="s">
        <v>835</v>
      </c>
      <c r="K177" s="95" t="s">
        <v>623</v>
      </c>
      <c r="L177" s="90">
        <v>9500</v>
      </c>
      <c r="M177" s="91" t="s">
        <v>832</v>
      </c>
    </row>
    <row r="178" spans="1:13" ht="21" x14ac:dyDescent="0.25">
      <c r="A178" s="107" t="s">
        <v>340</v>
      </c>
      <c r="B178" s="82">
        <v>2003427</v>
      </c>
      <c r="C178" s="82">
        <v>9108</v>
      </c>
      <c r="D178" s="82" t="s">
        <v>341</v>
      </c>
      <c r="E178" s="82">
        <v>67</v>
      </c>
      <c r="F178" s="82" t="s">
        <v>342</v>
      </c>
      <c r="G178" s="82" t="s">
        <v>22</v>
      </c>
      <c r="H178" s="92" t="s">
        <v>995</v>
      </c>
      <c r="I178" s="92" t="s">
        <v>193</v>
      </c>
      <c r="J178" s="82" t="s">
        <v>834</v>
      </c>
      <c r="K178" s="83">
        <v>4</v>
      </c>
      <c r="L178" s="84">
        <v>65236</v>
      </c>
      <c r="M178" s="85" t="s">
        <v>832</v>
      </c>
    </row>
    <row r="179" spans="1:13" x14ac:dyDescent="0.25">
      <c r="A179" s="106" t="s">
        <v>340</v>
      </c>
      <c r="B179" s="87">
        <v>2014318</v>
      </c>
      <c r="C179" s="87">
        <v>61208</v>
      </c>
      <c r="D179" s="88" t="s">
        <v>1169</v>
      </c>
      <c r="E179" s="87">
        <v>63</v>
      </c>
      <c r="F179" s="87" t="s">
        <v>60</v>
      </c>
      <c r="G179" s="87" t="s">
        <v>22</v>
      </c>
      <c r="H179" s="86" t="s">
        <v>514</v>
      </c>
      <c r="I179" s="86" t="s">
        <v>901</v>
      </c>
      <c r="J179" s="87" t="s">
        <v>901</v>
      </c>
      <c r="K179" s="95" t="s">
        <v>623</v>
      </c>
      <c r="L179" s="96">
        <v>9500</v>
      </c>
      <c r="M179" s="91" t="s">
        <v>832</v>
      </c>
    </row>
    <row r="180" spans="1:13" ht="31.5" x14ac:dyDescent="0.25">
      <c r="A180" s="107" t="s">
        <v>340</v>
      </c>
      <c r="B180" s="82">
        <v>2023528</v>
      </c>
      <c r="C180" s="82">
        <v>55634</v>
      </c>
      <c r="D180" s="82" t="s">
        <v>1056</v>
      </c>
      <c r="E180" s="82">
        <v>63</v>
      </c>
      <c r="F180" s="82" t="s">
        <v>1057</v>
      </c>
      <c r="G180" s="82" t="s">
        <v>15</v>
      </c>
      <c r="H180" s="92" t="s">
        <v>1058</v>
      </c>
      <c r="I180" s="92" t="s">
        <v>831</v>
      </c>
      <c r="J180" s="82" t="s">
        <v>855</v>
      </c>
      <c r="K180" s="83">
        <v>5</v>
      </c>
      <c r="L180" s="84">
        <v>99345</v>
      </c>
      <c r="M180" s="85" t="s">
        <v>832</v>
      </c>
    </row>
    <row r="181" spans="1:13" x14ac:dyDescent="0.25">
      <c r="A181" s="108" t="s">
        <v>340</v>
      </c>
      <c r="B181" s="87">
        <v>2014318</v>
      </c>
      <c r="C181" s="87">
        <v>61208</v>
      </c>
      <c r="D181" s="87" t="s">
        <v>651</v>
      </c>
      <c r="E181" s="87">
        <v>62</v>
      </c>
      <c r="F181" s="87" t="s">
        <v>49</v>
      </c>
      <c r="G181" s="87" t="s">
        <v>22</v>
      </c>
      <c r="H181" s="87" t="s">
        <v>514</v>
      </c>
      <c r="I181" s="87" t="s">
        <v>1236</v>
      </c>
      <c r="J181" s="87" t="s">
        <v>1236</v>
      </c>
      <c r="K181" s="95" t="s">
        <v>623</v>
      </c>
      <c r="L181" s="96">
        <v>9500</v>
      </c>
      <c r="M181" s="91" t="s">
        <v>832</v>
      </c>
    </row>
    <row r="182" spans="1:13" ht="42" x14ac:dyDescent="0.25">
      <c r="A182" s="107" t="s">
        <v>522</v>
      </c>
      <c r="B182" s="82">
        <v>2003111</v>
      </c>
      <c r="C182" s="82">
        <v>53272</v>
      </c>
      <c r="D182" s="82" t="s">
        <v>59</v>
      </c>
      <c r="E182" s="82">
        <v>67</v>
      </c>
      <c r="F182" s="82" t="s">
        <v>213</v>
      </c>
      <c r="G182" s="82" t="s">
        <v>22</v>
      </c>
      <c r="H182" s="92" t="s">
        <v>1087</v>
      </c>
      <c r="I182" s="92" t="s">
        <v>31</v>
      </c>
      <c r="J182" s="82" t="s">
        <v>834</v>
      </c>
      <c r="K182" s="83">
        <v>8</v>
      </c>
      <c r="L182" s="84">
        <v>487614</v>
      </c>
      <c r="M182" s="85" t="s">
        <v>832</v>
      </c>
    </row>
    <row r="183" spans="1:13" x14ac:dyDescent="0.25">
      <c r="A183" s="108" t="s">
        <v>522</v>
      </c>
      <c r="B183" s="87">
        <v>2013015</v>
      </c>
      <c r="C183" s="87">
        <v>18692</v>
      </c>
      <c r="D183" s="87" t="s">
        <v>760</v>
      </c>
      <c r="E183" s="87">
        <v>66</v>
      </c>
      <c r="F183" s="87" t="s">
        <v>49</v>
      </c>
      <c r="G183" s="87" t="s">
        <v>15</v>
      </c>
      <c r="H183" s="86" t="s">
        <v>720</v>
      </c>
      <c r="I183" s="86" t="s">
        <v>1241</v>
      </c>
      <c r="J183" s="86" t="s">
        <v>1241</v>
      </c>
      <c r="K183" s="95" t="s">
        <v>714</v>
      </c>
      <c r="L183" s="96">
        <v>92637</v>
      </c>
      <c r="M183" s="91" t="s">
        <v>832</v>
      </c>
    </row>
    <row r="184" spans="1:13" x14ac:dyDescent="0.25">
      <c r="A184" s="103" t="s">
        <v>522</v>
      </c>
      <c r="B184" s="82">
        <v>2020996</v>
      </c>
      <c r="C184" s="82">
        <v>103608</v>
      </c>
      <c r="D184" s="82" t="s">
        <v>1388</v>
      </c>
      <c r="E184" s="82">
        <v>64</v>
      </c>
      <c r="F184" s="82" t="s">
        <v>60</v>
      </c>
      <c r="G184" s="82" t="s">
        <v>22</v>
      </c>
      <c r="H184" s="82" t="s">
        <v>1389</v>
      </c>
      <c r="I184" s="82" t="s">
        <v>1231</v>
      </c>
      <c r="J184" s="82" t="s">
        <v>1231</v>
      </c>
      <c r="K184" s="98" t="s">
        <v>556</v>
      </c>
      <c r="L184" s="84">
        <v>36499</v>
      </c>
      <c r="M184" s="85" t="s">
        <v>832</v>
      </c>
    </row>
    <row r="185" spans="1:13" ht="21" x14ac:dyDescent="0.25">
      <c r="A185" s="106" t="s">
        <v>63</v>
      </c>
      <c r="B185" s="87">
        <v>2010544</v>
      </c>
      <c r="C185" s="87">
        <v>34067</v>
      </c>
      <c r="D185" s="87" t="s">
        <v>878</v>
      </c>
      <c r="E185" s="87">
        <v>49</v>
      </c>
      <c r="F185" s="87" t="s">
        <v>49</v>
      </c>
      <c r="G185" s="87" t="s">
        <v>15</v>
      </c>
      <c r="H185" s="86" t="s">
        <v>879</v>
      </c>
      <c r="I185" s="86" t="s">
        <v>880</v>
      </c>
      <c r="J185" s="87" t="s">
        <v>831</v>
      </c>
      <c r="K185" s="95">
        <v>2</v>
      </c>
      <c r="L185" s="96">
        <v>182497</v>
      </c>
      <c r="M185" s="91" t="s">
        <v>832</v>
      </c>
    </row>
    <row r="186" spans="1:13" ht="31.5" x14ac:dyDescent="0.25">
      <c r="A186" s="107" t="s">
        <v>63</v>
      </c>
      <c r="B186" s="82">
        <v>2002234</v>
      </c>
      <c r="C186" s="82">
        <v>31013</v>
      </c>
      <c r="D186" s="82" t="s">
        <v>1093</v>
      </c>
      <c r="E186" s="82">
        <v>69</v>
      </c>
      <c r="F186" s="82" t="s">
        <v>1094</v>
      </c>
      <c r="G186" s="82" t="s">
        <v>22</v>
      </c>
      <c r="H186" s="92" t="s">
        <v>1095</v>
      </c>
      <c r="I186" s="92" t="s">
        <v>193</v>
      </c>
      <c r="J186" s="82" t="s">
        <v>896</v>
      </c>
      <c r="K186" s="83">
        <v>10</v>
      </c>
      <c r="L186" s="84">
        <v>846478</v>
      </c>
      <c r="M186" s="85" t="s">
        <v>832</v>
      </c>
    </row>
    <row r="187" spans="1:13" ht="31.5" x14ac:dyDescent="0.25">
      <c r="A187" s="106" t="s">
        <v>63</v>
      </c>
      <c r="B187" s="87">
        <v>2010780</v>
      </c>
      <c r="C187" s="87">
        <v>58898</v>
      </c>
      <c r="D187" s="87" t="s">
        <v>1044</v>
      </c>
      <c r="E187" s="87">
        <v>58</v>
      </c>
      <c r="F187" s="87" t="s">
        <v>1045</v>
      </c>
      <c r="G187" s="87" t="s">
        <v>15</v>
      </c>
      <c r="H187" s="86" t="s">
        <v>1046</v>
      </c>
      <c r="I187" s="86" t="s">
        <v>834</v>
      </c>
      <c r="J187" s="87" t="s">
        <v>896</v>
      </c>
      <c r="K187" s="95">
        <v>5</v>
      </c>
      <c r="L187" s="96">
        <v>277489</v>
      </c>
      <c r="M187" s="91" t="s">
        <v>832</v>
      </c>
    </row>
    <row r="188" spans="1:13" ht="21" x14ac:dyDescent="0.25">
      <c r="A188" s="107" t="s">
        <v>63</v>
      </c>
      <c r="B188" s="82">
        <v>2014680</v>
      </c>
      <c r="C188" s="82">
        <v>37008</v>
      </c>
      <c r="D188" s="82" t="s">
        <v>1141</v>
      </c>
      <c r="E188" s="82">
        <v>79</v>
      </c>
      <c r="F188" s="82" t="s">
        <v>49</v>
      </c>
      <c r="G188" s="82" t="s">
        <v>15</v>
      </c>
      <c r="H188" s="92" t="s">
        <v>1142</v>
      </c>
      <c r="I188" s="92" t="s">
        <v>851</v>
      </c>
      <c r="J188" s="82" t="s">
        <v>851</v>
      </c>
      <c r="K188" s="83" t="s">
        <v>556</v>
      </c>
      <c r="L188" s="84">
        <v>72916</v>
      </c>
      <c r="M188" s="85" t="s">
        <v>832</v>
      </c>
    </row>
    <row r="189" spans="1:13" ht="21" x14ac:dyDescent="0.25">
      <c r="A189" s="106" t="s">
        <v>63</v>
      </c>
      <c r="B189" s="87">
        <v>2001843</v>
      </c>
      <c r="C189" s="87">
        <v>14127</v>
      </c>
      <c r="D189" s="87" t="s">
        <v>761</v>
      </c>
      <c r="E189" s="87">
        <v>68</v>
      </c>
      <c r="F189" s="87" t="s">
        <v>60</v>
      </c>
      <c r="G189" s="87" t="s">
        <v>22</v>
      </c>
      <c r="H189" s="86" t="s">
        <v>1185</v>
      </c>
      <c r="I189" s="86" t="s">
        <v>851</v>
      </c>
      <c r="J189" s="87" t="s">
        <v>851</v>
      </c>
      <c r="K189" s="95" t="s">
        <v>714</v>
      </c>
      <c r="L189" s="96">
        <v>46620</v>
      </c>
      <c r="M189" s="91" t="s">
        <v>832</v>
      </c>
    </row>
    <row r="190" spans="1:13" x14ac:dyDescent="0.25">
      <c r="A190" s="105" t="s">
        <v>63</v>
      </c>
      <c r="B190" s="92">
        <v>2018512</v>
      </c>
      <c r="C190" s="82">
        <v>34312</v>
      </c>
      <c r="D190" s="92" t="s">
        <v>1390</v>
      </c>
      <c r="E190" s="92">
        <v>17</v>
      </c>
      <c r="F190" s="92" t="s">
        <v>126</v>
      </c>
      <c r="G190" s="92" t="s">
        <v>132</v>
      </c>
      <c r="H190" s="92" t="s">
        <v>1391</v>
      </c>
      <c r="I190" s="92" t="s">
        <v>1236</v>
      </c>
      <c r="J190" s="93" t="s">
        <v>1260</v>
      </c>
      <c r="K190" s="98">
        <v>1</v>
      </c>
      <c r="L190" s="94">
        <v>236288</v>
      </c>
      <c r="M190" s="85" t="s">
        <v>832</v>
      </c>
    </row>
    <row r="191" spans="1:13" ht="42" x14ac:dyDescent="0.25">
      <c r="A191" s="104" t="s">
        <v>63</v>
      </c>
      <c r="B191" s="87">
        <v>2602058</v>
      </c>
      <c r="C191" s="87">
        <v>65446</v>
      </c>
      <c r="D191" s="87" t="s">
        <v>1392</v>
      </c>
      <c r="E191" s="87">
        <v>61</v>
      </c>
      <c r="F191" s="87" t="s">
        <v>1393</v>
      </c>
      <c r="G191" s="87" t="s">
        <v>22</v>
      </c>
      <c r="H191" s="86" t="s">
        <v>1394</v>
      </c>
      <c r="I191" s="86" t="s">
        <v>1236</v>
      </c>
      <c r="J191" s="86" t="s">
        <v>1241</v>
      </c>
      <c r="K191" s="95">
        <v>3</v>
      </c>
      <c r="L191" s="96">
        <v>357533</v>
      </c>
      <c r="M191" s="91" t="s">
        <v>832</v>
      </c>
    </row>
    <row r="192" spans="1:13" x14ac:dyDescent="0.25">
      <c r="A192" s="105" t="s">
        <v>63</v>
      </c>
      <c r="B192" s="82">
        <v>2004684</v>
      </c>
      <c r="C192" s="82">
        <v>34706</v>
      </c>
      <c r="D192" s="82" t="s">
        <v>1395</v>
      </c>
      <c r="E192" s="82">
        <v>12</v>
      </c>
      <c r="F192" s="82" t="s">
        <v>1396</v>
      </c>
      <c r="G192" s="82" t="s">
        <v>132</v>
      </c>
      <c r="H192" s="82" t="s">
        <v>1397</v>
      </c>
      <c r="I192" s="82" t="s">
        <v>1398</v>
      </c>
      <c r="J192" s="82" t="s">
        <v>1288</v>
      </c>
      <c r="K192" s="83">
        <v>1</v>
      </c>
      <c r="L192" s="84">
        <v>76377</v>
      </c>
      <c r="M192" s="85" t="s">
        <v>832</v>
      </c>
    </row>
    <row r="193" spans="1:13" ht="21" x14ac:dyDescent="0.25">
      <c r="A193" s="106" t="s">
        <v>1136</v>
      </c>
      <c r="B193" s="88">
        <v>2012165</v>
      </c>
      <c r="C193" s="87">
        <v>85480</v>
      </c>
      <c r="D193" s="88" t="s">
        <v>1137</v>
      </c>
      <c r="E193" s="88">
        <v>40</v>
      </c>
      <c r="F193" s="88" t="s">
        <v>49</v>
      </c>
      <c r="G193" s="88" t="s">
        <v>15</v>
      </c>
      <c r="H193" s="88" t="s">
        <v>1138</v>
      </c>
      <c r="I193" s="88" t="s">
        <v>835</v>
      </c>
      <c r="J193" s="88" t="s">
        <v>835</v>
      </c>
      <c r="K193" s="95" t="s">
        <v>556</v>
      </c>
      <c r="L193" s="90">
        <v>43566.239999999998</v>
      </c>
      <c r="M193" s="91" t="s">
        <v>832</v>
      </c>
    </row>
    <row r="194" spans="1:13" ht="31.5" x14ac:dyDescent="0.25">
      <c r="A194" s="105" t="s">
        <v>1399</v>
      </c>
      <c r="B194" s="92">
        <v>2508065</v>
      </c>
      <c r="C194" s="82">
        <v>33978</v>
      </c>
      <c r="D194" s="92" t="s">
        <v>1400</v>
      </c>
      <c r="E194" s="92">
        <v>61</v>
      </c>
      <c r="F194" s="92" t="s">
        <v>1401</v>
      </c>
      <c r="G194" s="92" t="s">
        <v>22</v>
      </c>
      <c r="H194" s="92" t="s">
        <v>1402</v>
      </c>
      <c r="I194" s="92" t="s">
        <v>1288</v>
      </c>
      <c r="J194" s="93" t="s">
        <v>1232</v>
      </c>
      <c r="K194" s="98">
        <v>4</v>
      </c>
      <c r="L194" s="94">
        <v>89510</v>
      </c>
      <c r="M194" s="85" t="s">
        <v>832</v>
      </c>
    </row>
    <row r="195" spans="1:13" ht="31.5" x14ac:dyDescent="0.25">
      <c r="A195" s="106" t="s">
        <v>142</v>
      </c>
      <c r="B195" s="86">
        <v>2004684</v>
      </c>
      <c r="C195" s="86">
        <v>34706</v>
      </c>
      <c r="D195" s="86" t="s">
        <v>871</v>
      </c>
      <c r="E195" s="86">
        <v>11</v>
      </c>
      <c r="F195" s="86" t="s">
        <v>49</v>
      </c>
      <c r="G195" s="86" t="s">
        <v>132</v>
      </c>
      <c r="H195" s="86" t="s">
        <v>872</v>
      </c>
      <c r="I195" s="86" t="s">
        <v>289</v>
      </c>
      <c r="J195" s="88" t="s">
        <v>873</v>
      </c>
      <c r="K195" s="99">
        <v>2</v>
      </c>
      <c r="L195" s="102">
        <v>58712.02</v>
      </c>
      <c r="M195" s="91" t="s">
        <v>832</v>
      </c>
    </row>
    <row r="196" spans="1:13" x14ac:dyDescent="0.25">
      <c r="A196" s="103" t="s">
        <v>142</v>
      </c>
      <c r="B196" s="82">
        <v>2017509</v>
      </c>
      <c r="C196" s="82">
        <v>19309</v>
      </c>
      <c r="D196" s="82" t="s">
        <v>1403</v>
      </c>
      <c r="E196" s="82">
        <v>63</v>
      </c>
      <c r="F196" s="82" t="s">
        <v>60</v>
      </c>
      <c r="G196" s="82" t="s">
        <v>22</v>
      </c>
      <c r="H196" s="92" t="s">
        <v>514</v>
      </c>
      <c r="I196" s="92" t="s">
        <v>1238</v>
      </c>
      <c r="J196" s="92" t="s">
        <v>1238</v>
      </c>
      <c r="K196" s="83" t="s">
        <v>623</v>
      </c>
      <c r="L196" s="84">
        <v>8500</v>
      </c>
      <c r="M196" s="85" t="s">
        <v>832</v>
      </c>
    </row>
    <row r="197" spans="1:13" x14ac:dyDescent="0.25">
      <c r="A197" s="108" t="s">
        <v>142</v>
      </c>
      <c r="B197" s="87">
        <v>2007427</v>
      </c>
      <c r="C197" s="87">
        <v>57700</v>
      </c>
      <c r="D197" s="87" t="s">
        <v>1404</v>
      </c>
      <c r="E197" s="87">
        <v>64</v>
      </c>
      <c r="F197" s="87" t="s">
        <v>49</v>
      </c>
      <c r="G197" s="87" t="s">
        <v>15</v>
      </c>
      <c r="H197" s="87" t="s">
        <v>558</v>
      </c>
      <c r="I197" s="87" t="s">
        <v>1231</v>
      </c>
      <c r="J197" s="87" t="s">
        <v>1231</v>
      </c>
      <c r="K197" s="89" t="s">
        <v>556</v>
      </c>
      <c r="L197" s="96">
        <v>122168</v>
      </c>
      <c r="M197" s="91" t="s">
        <v>832</v>
      </c>
    </row>
    <row r="198" spans="1:13" x14ac:dyDescent="0.25">
      <c r="A198" s="103" t="s">
        <v>142</v>
      </c>
      <c r="B198" s="93">
        <v>2017509</v>
      </c>
      <c r="C198" s="82">
        <v>19209</v>
      </c>
      <c r="D198" s="93" t="s">
        <v>1403</v>
      </c>
      <c r="E198" s="93">
        <v>63</v>
      </c>
      <c r="F198" s="93" t="s">
        <v>60</v>
      </c>
      <c r="G198" s="93" t="s">
        <v>22</v>
      </c>
      <c r="H198" s="93" t="s">
        <v>514</v>
      </c>
      <c r="I198" s="93" t="s">
        <v>1232</v>
      </c>
      <c r="J198" s="93" t="s">
        <v>1232</v>
      </c>
      <c r="K198" s="83" t="s">
        <v>623</v>
      </c>
      <c r="L198" s="94">
        <v>8500</v>
      </c>
      <c r="M198" s="85" t="s">
        <v>832</v>
      </c>
    </row>
    <row r="199" spans="1:13" x14ac:dyDescent="0.25">
      <c r="A199" s="106" t="s">
        <v>68</v>
      </c>
      <c r="B199" s="87">
        <v>2002953</v>
      </c>
      <c r="C199" s="87">
        <v>18654</v>
      </c>
      <c r="D199" s="87" t="s">
        <v>657</v>
      </c>
      <c r="E199" s="87">
        <v>63</v>
      </c>
      <c r="F199" s="87" t="s">
        <v>60</v>
      </c>
      <c r="G199" s="87" t="s">
        <v>22</v>
      </c>
      <c r="H199" s="86" t="s">
        <v>1168</v>
      </c>
      <c r="I199" s="86" t="s">
        <v>834</v>
      </c>
      <c r="J199" s="87" t="s">
        <v>834</v>
      </c>
      <c r="K199" s="95" t="s">
        <v>623</v>
      </c>
      <c r="L199" s="96">
        <v>12394</v>
      </c>
      <c r="M199" s="91" t="s">
        <v>832</v>
      </c>
    </row>
    <row r="200" spans="1:13" ht="21" x14ac:dyDescent="0.25">
      <c r="A200" s="107" t="s">
        <v>68</v>
      </c>
      <c r="B200" s="82">
        <v>2002126</v>
      </c>
      <c r="C200" s="82">
        <v>10331</v>
      </c>
      <c r="D200" s="82" t="s">
        <v>440</v>
      </c>
      <c r="E200" s="82">
        <v>69</v>
      </c>
      <c r="F200" s="82" t="s">
        <v>60</v>
      </c>
      <c r="G200" s="82" t="s">
        <v>22</v>
      </c>
      <c r="H200" s="92" t="s">
        <v>829</v>
      </c>
      <c r="I200" s="92" t="s">
        <v>830</v>
      </c>
      <c r="J200" s="82" t="s">
        <v>831</v>
      </c>
      <c r="K200" s="83">
        <v>1</v>
      </c>
      <c r="L200" s="84">
        <v>130867</v>
      </c>
      <c r="M200" s="85" t="s">
        <v>832</v>
      </c>
    </row>
    <row r="201" spans="1:13" x14ac:dyDescent="0.25">
      <c r="A201" s="106" t="s">
        <v>68</v>
      </c>
      <c r="B201" s="87">
        <v>2002953</v>
      </c>
      <c r="C201" s="87">
        <v>18654</v>
      </c>
      <c r="D201" s="87" t="s">
        <v>657</v>
      </c>
      <c r="E201" s="87">
        <v>63</v>
      </c>
      <c r="F201" s="87" t="s">
        <v>60</v>
      </c>
      <c r="G201" s="87" t="s">
        <v>22</v>
      </c>
      <c r="H201" s="86" t="s">
        <v>1168</v>
      </c>
      <c r="I201" s="86" t="s">
        <v>851</v>
      </c>
      <c r="J201" s="87" t="s">
        <v>851</v>
      </c>
      <c r="K201" s="95" t="s">
        <v>623</v>
      </c>
      <c r="L201" s="96">
        <v>12369</v>
      </c>
      <c r="M201" s="91" t="s">
        <v>832</v>
      </c>
    </row>
    <row r="202" spans="1:13" x14ac:dyDescent="0.25">
      <c r="A202" s="107" t="s">
        <v>68</v>
      </c>
      <c r="B202" s="93">
        <v>2002953</v>
      </c>
      <c r="C202" s="82">
        <v>18654</v>
      </c>
      <c r="D202" s="93" t="s">
        <v>654</v>
      </c>
      <c r="E202" s="93">
        <v>63</v>
      </c>
      <c r="F202" s="93" t="s">
        <v>60</v>
      </c>
      <c r="G202" s="93" t="s">
        <v>22</v>
      </c>
      <c r="H202" s="93" t="s">
        <v>514</v>
      </c>
      <c r="I202" s="93" t="s">
        <v>1260</v>
      </c>
      <c r="J202" s="93" t="s">
        <v>1260</v>
      </c>
      <c r="K202" s="83" t="s">
        <v>623</v>
      </c>
      <c r="L202" s="94">
        <v>11974</v>
      </c>
      <c r="M202" s="85" t="s">
        <v>832</v>
      </c>
    </row>
    <row r="203" spans="1:13" x14ac:dyDescent="0.25">
      <c r="A203" s="106" t="s">
        <v>68</v>
      </c>
      <c r="B203" s="87">
        <v>2016320</v>
      </c>
      <c r="C203" s="87">
        <v>13287</v>
      </c>
      <c r="D203" s="87" t="s">
        <v>1405</v>
      </c>
      <c r="E203" s="87">
        <v>64</v>
      </c>
      <c r="F203" s="87" t="s">
        <v>60</v>
      </c>
      <c r="G203" s="87" t="s">
        <v>22</v>
      </c>
      <c r="H203" s="86" t="s">
        <v>227</v>
      </c>
      <c r="I203" s="86" t="s">
        <v>1238</v>
      </c>
      <c r="J203" s="86" t="s">
        <v>1238</v>
      </c>
      <c r="K203" s="89" t="s">
        <v>556</v>
      </c>
      <c r="L203" s="96">
        <v>41520</v>
      </c>
      <c r="M203" s="91" t="s">
        <v>832</v>
      </c>
    </row>
    <row r="204" spans="1:13" x14ac:dyDescent="0.25">
      <c r="A204" s="107" t="s">
        <v>68</v>
      </c>
      <c r="B204" s="82">
        <v>2002171</v>
      </c>
      <c r="C204" s="82">
        <v>15126</v>
      </c>
      <c r="D204" s="82" t="s">
        <v>1406</v>
      </c>
      <c r="E204" s="82">
        <v>68</v>
      </c>
      <c r="F204" s="82" t="s">
        <v>60</v>
      </c>
      <c r="G204" s="82" t="s">
        <v>22</v>
      </c>
      <c r="H204" s="82" t="s">
        <v>1407</v>
      </c>
      <c r="I204" s="82" t="s">
        <v>1249</v>
      </c>
      <c r="J204" s="82" t="s">
        <v>1366</v>
      </c>
      <c r="K204" s="83">
        <v>1</v>
      </c>
      <c r="L204" s="84">
        <v>188955</v>
      </c>
      <c r="M204" s="85" t="s">
        <v>832</v>
      </c>
    </row>
    <row r="205" spans="1:13" ht="21" x14ac:dyDescent="0.25">
      <c r="A205" s="106" t="s">
        <v>68</v>
      </c>
      <c r="B205" s="86">
        <v>2512234</v>
      </c>
      <c r="C205" s="87">
        <v>62162</v>
      </c>
      <c r="D205" s="86" t="s">
        <v>1408</v>
      </c>
      <c r="E205" s="86">
        <v>15</v>
      </c>
      <c r="F205" s="86" t="s">
        <v>49</v>
      </c>
      <c r="G205" s="86" t="s">
        <v>132</v>
      </c>
      <c r="H205" s="86" t="s">
        <v>1409</v>
      </c>
      <c r="I205" s="86" t="s">
        <v>901</v>
      </c>
      <c r="J205" s="86" t="s">
        <v>1264</v>
      </c>
      <c r="K205" s="99">
        <v>18</v>
      </c>
      <c r="L205" s="97">
        <v>562593</v>
      </c>
      <c r="M205" s="91" t="s">
        <v>832</v>
      </c>
    </row>
    <row r="206" spans="1:13" ht="42" x14ac:dyDescent="0.25">
      <c r="A206" s="103" t="s">
        <v>1410</v>
      </c>
      <c r="B206" s="82">
        <v>2504059</v>
      </c>
      <c r="C206" s="82">
        <v>43518</v>
      </c>
      <c r="D206" s="82" t="s">
        <v>1411</v>
      </c>
      <c r="E206" s="82">
        <v>53</v>
      </c>
      <c r="F206" s="82" t="s">
        <v>1412</v>
      </c>
      <c r="G206" s="82" t="s">
        <v>15</v>
      </c>
      <c r="H206" s="92" t="s">
        <v>1413</v>
      </c>
      <c r="I206" s="92" t="s">
        <v>1288</v>
      </c>
      <c r="J206" s="92" t="s">
        <v>1242</v>
      </c>
      <c r="K206" s="83">
        <v>3</v>
      </c>
      <c r="L206" s="84">
        <v>68985</v>
      </c>
      <c r="M206" s="85" t="s">
        <v>832</v>
      </c>
    </row>
    <row r="207" spans="1:13" x14ac:dyDescent="0.25">
      <c r="A207" s="108" t="s">
        <v>1410</v>
      </c>
      <c r="B207" s="87">
        <v>2019476</v>
      </c>
      <c r="C207" s="87">
        <v>57023</v>
      </c>
      <c r="D207" s="87" t="s">
        <v>1088</v>
      </c>
      <c r="E207" s="87">
        <v>59</v>
      </c>
      <c r="F207" s="87" t="s">
        <v>126</v>
      </c>
      <c r="G207" s="87" t="s">
        <v>22</v>
      </c>
      <c r="H207" s="87" t="s">
        <v>1089</v>
      </c>
      <c r="I207" s="86" t="s">
        <v>843</v>
      </c>
      <c r="J207" s="86" t="s">
        <v>860</v>
      </c>
      <c r="K207" s="95">
        <v>8</v>
      </c>
      <c r="L207" s="96">
        <v>475110</v>
      </c>
      <c r="M207" s="91" t="s">
        <v>832</v>
      </c>
    </row>
    <row r="208" spans="1:13" ht="21" x14ac:dyDescent="0.25">
      <c r="A208" s="107" t="s">
        <v>897</v>
      </c>
      <c r="B208" s="82">
        <v>2022557</v>
      </c>
      <c r="C208" s="82">
        <v>56098</v>
      </c>
      <c r="D208" s="82" t="s">
        <v>902</v>
      </c>
      <c r="E208" s="82">
        <v>59</v>
      </c>
      <c r="F208" s="82" t="s">
        <v>903</v>
      </c>
      <c r="G208" s="82" t="s">
        <v>15</v>
      </c>
      <c r="H208" s="92" t="s">
        <v>904</v>
      </c>
      <c r="I208" s="92" t="s">
        <v>880</v>
      </c>
      <c r="J208" s="82" t="s">
        <v>831</v>
      </c>
      <c r="K208" s="83">
        <v>2</v>
      </c>
      <c r="L208" s="84">
        <v>47510</v>
      </c>
      <c r="M208" s="85" t="s">
        <v>832</v>
      </c>
    </row>
    <row r="209" spans="1:13" ht="21" x14ac:dyDescent="0.25">
      <c r="A209" s="106" t="s">
        <v>897</v>
      </c>
      <c r="B209" s="87">
        <v>2022008</v>
      </c>
      <c r="C209" s="87">
        <v>99272</v>
      </c>
      <c r="D209" s="87" t="s">
        <v>898</v>
      </c>
      <c r="E209" s="87">
        <v>9</v>
      </c>
      <c r="F209" s="87" t="s">
        <v>899</v>
      </c>
      <c r="G209" s="87" t="s">
        <v>132</v>
      </c>
      <c r="H209" s="86" t="s">
        <v>900</v>
      </c>
      <c r="I209" s="86" t="s">
        <v>846</v>
      </c>
      <c r="J209" s="87" t="s">
        <v>901</v>
      </c>
      <c r="K209" s="95">
        <v>2</v>
      </c>
      <c r="L209" s="96">
        <v>55900</v>
      </c>
      <c r="M209" s="91" t="s">
        <v>832</v>
      </c>
    </row>
    <row r="210" spans="1:13" ht="31.5" x14ac:dyDescent="0.25">
      <c r="A210" s="103" t="s">
        <v>146</v>
      </c>
      <c r="B210" s="82">
        <v>2004023</v>
      </c>
      <c r="C210" s="82">
        <v>61041</v>
      </c>
      <c r="D210" s="82" t="s">
        <v>1414</v>
      </c>
      <c r="E210" s="82">
        <v>65</v>
      </c>
      <c r="F210" s="82" t="s">
        <v>1415</v>
      </c>
      <c r="G210" s="82" t="s">
        <v>22</v>
      </c>
      <c r="H210" s="92" t="s">
        <v>1416</v>
      </c>
      <c r="I210" s="92" t="s">
        <v>1366</v>
      </c>
      <c r="J210" s="92" t="s">
        <v>1242</v>
      </c>
      <c r="K210" s="83">
        <v>2</v>
      </c>
      <c r="L210" s="84">
        <v>51297</v>
      </c>
      <c r="M210" s="85" t="s">
        <v>832</v>
      </c>
    </row>
    <row r="211" spans="1:13" x14ac:dyDescent="0.25">
      <c r="A211" s="108" t="s">
        <v>1417</v>
      </c>
      <c r="B211" s="87">
        <v>2402026</v>
      </c>
      <c r="C211" s="87">
        <v>56018</v>
      </c>
      <c r="D211" s="87" t="s">
        <v>1418</v>
      </c>
      <c r="E211" s="87">
        <v>59</v>
      </c>
      <c r="F211" s="87" t="s">
        <v>1419</v>
      </c>
      <c r="G211" s="87" t="s">
        <v>15</v>
      </c>
      <c r="H211" s="87" t="s">
        <v>1420</v>
      </c>
      <c r="I211" s="87" t="s">
        <v>909</v>
      </c>
      <c r="J211" s="87" t="s">
        <v>1231</v>
      </c>
      <c r="K211" s="95">
        <v>12</v>
      </c>
      <c r="L211" s="96">
        <v>512380</v>
      </c>
      <c r="M211" s="91" t="s">
        <v>832</v>
      </c>
    </row>
    <row r="212" spans="1:13" ht="31.5" x14ac:dyDescent="0.25">
      <c r="A212" s="107" t="s">
        <v>350</v>
      </c>
      <c r="B212" s="93">
        <v>2501244</v>
      </c>
      <c r="C212" s="82">
        <v>15954</v>
      </c>
      <c r="D212" s="93" t="s">
        <v>1013</v>
      </c>
      <c r="E212" s="93">
        <v>67</v>
      </c>
      <c r="F212" s="93" t="s">
        <v>1014</v>
      </c>
      <c r="G212" s="93" t="s">
        <v>22</v>
      </c>
      <c r="H212" s="93" t="s">
        <v>1015</v>
      </c>
      <c r="I212" s="93" t="s">
        <v>193</v>
      </c>
      <c r="J212" s="93" t="s">
        <v>835</v>
      </c>
      <c r="K212" s="98">
        <v>4</v>
      </c>
      <c r="L212" s="94">
        <v>42850</v>
      </c>
      <c r="M212" s="85" t="s">
        <v>832</v>
      </c>
    </row>
    <row r="213" spans="1:13" x14ac:dyDescent="0.25">
      <c r="A213" s="106" t="s">
        <v>155</v>
      </c>
      <c r="B213" s="87">
        <v>2510126</v>
      </c>
      <c r="C213" s="87">
        <v>55824</v>
      </c>
      <c r="D213" s="87" t="s">
        <v>1122</v>
      </c>
      <c r="E213" s="87">
        <v>21</v>
      </c>
      <c r="F213" s="87" t="s">
        <v>49</v>
      </c>
      <c r="G213" s="87" t="s">
        <v>132</v>
      </c>
      <c r="H213" s="86" t="s">
        <v>1123</v>
      </c>
      <c r="I213" s="86" t="s">
        <v>1124</v>
      </c>
      <c r="J213" s="87" t="s">
        <v>831</v>
      </c>
      <c r="K213" s="95" t="s">
        <v>1125</v>
      </c>
      <c r="L213" s="96">
        <v>43586</v>
      </c>
      <c r="M213" s="91" t="s">
        <v>832</v>
      </c>
    </row>
    <row r="214" spans="1:13" x14ac:dyDescent="0.25">
      <c r="A214" s="107" t="s">
        <v>155</v>
      </c>
      <c r="B214" s="82">
        <v>2017384</v>
      </c>
      <c r="C214" s="82">
        <v>53142</v>
      </c>
      <c r="D214" s="82" t="s">
        <v>1147</v>
      </c>
      <c r="E214" s="82">
        <v>63</v>
      </c>
      <c r="F214" s="82" t="s">
        <v>60</v>
      </c>
      <c r="G214" s="82" t="s">
        <v>22</v>
      </c>
      <c r="H214" s="92" t="s">
        <v>1148</v>
      </c>
      <c r="I214" s="92" t="s">
        <v>901</v>
      </c>
      <c r="J214" s="82" t="s">
        <v>901</v>
      </c>
      <c r="K214" s="83" t="s">
        <v>556</v>
      </c>
      <c r="L214" s="84">
        <v>150000</v>
      </c>
      <c r="M214" s="85" t="s">
        <v>832</v>
      </c>
    </row>
    <row r="215" spans="1:13" ht="21" x14ac:dyDescent="0.25">
      <c r="A215" s="106" t="s">
        <v>155</v>
      </c>
      <c r="B215" s="87">
        <v>2014385</v>
      </c>
      <c r="C215" s="87">
        <v>12663</v>
      </c>
      <c r="D215" s="87" t="s">
        <v>1139</v>
      </c>
      <c r="E215" s="87">
        <v>66</v>
      </c>
      <c r="F215" s="87" t="s">
        <v>60</v>
      </c>
      <c r="G215" s="87" t="s">
        <v>22</v>
      </c>
      <c r="H215" s="86" t="s">
        <v>1140</v>
      </c>
      <c r="I215" s="86" t="s">
        <v>855</v>
      </c>
      <c r="J215" s="87" t="s">
        <v>855</v>
      </c>
      <c r="K215" s="95" t="s">
        <v>556</v>
      </c>
      <c r="L215" s="96">
        <v>165000</v>
      </c>
      <c r="M215" s="91" t="s">
        <v>832</v>
      </c>
    </row>
    <row r="216" spans="1:13" ht="42" x14ac:dyDescent="0.25">
      <c r="A216" s="107" t="s">
        <v>155</v>
      </c>
      <c r="B216" s="82">
        <v>2020509</v>
      </c>
      <c r="C216" s="82">
        <v>104396</v>
      </c>
      <c r="D216" s="82" t="s">
        <v>852</v>
      </c>
      <c r="E216" s="82">
        <v>57</v>
      </c>
      <c r="F216" s="82" t="s">
        <v>853</v>
      </c>
      <c r="G216" s="82" t="s">
        <v>15</v>
      </c>
      <c r="H216" s="92" t="s">
        <v>854</v>
      </c>
      <c r="I216" s="92" t="s">
        <v>851</v>
      </c>
      <c r="J216" s="82" t="s">
        <v>855</v>
      </c>
      <c r="K216" s="83">
        <v>1</v>
      </c>
      <c r="L216" s="84">
        <v>44068</v>
      </c>
      <c r="M216" s="85" t="s">
        <v>832</v>
      </c>
    </row>
    <row r="217" spans="1:13" ht="21" x14ac:dyDescent="0.25">
      <c r="A217" s="104" t="s">
        <v>155</v>
      </c>
      <c r="B217" s="86">
        <v>2407209</v>
      </c>
      <c r="C217" s="87">
        <v>58921</v>
      </c>
      <c r="D217" s="86" t="s">
        <v>864</v>
      </c>
      <c r="E217" s="86">
        <v>44</v>
      </c>
      <c r="F217" s="86" t="s">
        <v>1421</v>
      </c>
      <c r="G217" s="86" t="s">
        <v>15</v>
      </c>
      <c r="H217" s="86" t="s">
        <v>865</v>
      </c>
      <c r="I217" s="86" t="s">
        <v>860</v>
      </c>
      <c r="J217" s="86" t="s">
        <v>1260</v>
      </c>
      <c r="K217" s="99">
        <v>3</v>
      </c>
      <c r="L217" s="97">
        <v>83032</v>
      </c>
      <c r="M217" s="91" t="s">
        <v>832</v>
      </c>
    </row>
    <row r="218" spans="1:13" x14ac:dyDescent="0.25">
      <c r="A218" s="105" t="s">
        <v>155</v>
      </c>
      <c r="B218" s="82">
        <v>2006586</v>
      </c>
      <c r="C218" s="82">
        <v>9088</v>
      </c>
      <c r="D218" s="82" t="s">
        <v>1422</v>
      </c>
      <c r="E218" s="82">
        <v>70</v>
      </c>
      <c r="F218" s="82" t="s">
        <v>1423</v>
      </c>
      <c r="G218" s="82" t="s">
        <v>15</v>
      </c>
      <c r="H218" s="82" t="s">
        <v>1424</v>
      </c>
      <c r="I218" s="82" t="s">
        <v>1241</v>
      </c>
      <c r="J218" s="82" t="s">
        <v>1288</v>
      </c>
      <c r="K218" s="83">
        <v>1</v>
      </c>
      <c r="L218" s="84">
        <v>215893</v>
      </c>
      <c r="M218" s="85" t="s">
        <v>832</v>
      </c>
    </row>
    <row r="219" spans="1:13" ht="21" x14ac:dyDescent="0.25">
      <c r="A219" s="104" t="s">
        <v>159</v>
      </c>
      <c r="B219" s="88">
        <v>2001198</v>
      </c>
      <c r="C219" s="87">
        <v>18587</v>
      </c>
      <c r="D219" s="88" t="s">
        <v>1425</v>
      </c>
      <c r="E219" s="88">
        <v>76</v>
      </c>
      <c r="F219" s="88" t="s">
        <v>60</v>
      </c>
      <c r="G219" s="88" t="s">
        <v>22</v>
      </c>
      <c r="H219" s="88" t="s">
        <v>514</v>
      </c>
      <c r="I219" s="88" t="s">
        <v>1426</v>
      </c>
      <c r="J219" s="88" t="s">
        <v>1264</v>
      </c>
      <c r="K219" s="95" t="s">
        <v>623</v>
      </c>
      <c r="L219" s="90">
        <v>11500</v>
      </c>
      <c r="M219" s="91" t="s">
        <v>832</v>
      </c>
    </row>
    <row r="220" spans="1:13" ht="21" x14ac:dyDescent="0.25">
      <c r="A220" s="105" t="s">
        <v>159</v>
      </c>
      <c r="B220" s="92">
        <v>2013477</v>
      </c>
      <c r="C220" s="82">
        <v>107739</v>
      </c>
      <c r="D220" s="92" t="s">
        <v>1427</v>
      </c>
      <c r="E220" s="92">
        <v>45</v>
      </c>
      <c r="F220" s="92" t="s">
        <v>1428</v>
      </c>
      <c r="G220" s="92" t="s">
        <v>22</v>
      </c>
      <c r="H220" s="92" t="s">
        <v>1429</v>
      </c>
      <c r="I220" s="92" t="s">
        <v>1231</v>
      </c>
      <c r="J220" s="93" t="s">
        <v>1254</v>
      </c>
      <c r="K220" s="98">
        <v>5</v>
      </c>
      <c r="L220" s="94">
        <v>141118</v>
      </c>
      <c r="M220" s="85" t="s">
        <v>832</v>
      </c>
    </row>
    <row r="221" spans="1:13" ht="84" x14ac:dyDescent="0.25">
      <c r="A221" s="104" t="s">
        <v>1430</v>
      </c>
      <c r="B221" s="86">
        <v>2003072</v>
      </c>
      <c r="C221" s="87">
        <v>104118</v>
      </c>
      <c r="D221" s="86" t="s">
        <v>1431</v>
      </c>
      <c r="E221" s="86">
        <v>66</v>
      </c>
      <c r="F221" s="86" t="s">
        <v>1432</v>
      </c>
      <c r="G221" s="86" t="s">
        <v>22</v>
      </c>
      <c r="H221" s="86" t="s">
        <v>1433</v>
      </c>
      <c r="I221" s="86" t="s">
        <v>1434</v>
      </c>
      <c r="J221" s="86" t="s">
        <v>1225</v>
      </c>
      <c r="K221" s="99">
        <v>15</v>
      </c>
      <c r="L221" s="97">
        <v>478348.63</v>
      </c>
      <c r="M221" s="91" t="s">
        <v>832</v>
      </c>
    </row>
    <row r="222" spans="1:13" x14ac:dyDescent="0.25">
      <c r="A222" s="107" t="s">
        <v>836</v>
      </c>
      <c r="B222" s="93">
        <v>2015079</v>
      </c>
      <c r="C222" s="82">
        <v>14150</v>
      </c>
      <c r="D222" s="93" t="s">
        <v>1194</v>
      </c>
      <c r="E222" s="93">
        <v>68</v>
      </c>
      <c r="F222" s="93" t="s">
        <v>60</v>
      </c>
      <c r="G222" s="93" t="s">
        <v>22</v>
      </c>
      <c r="H222" s="93" t="s">
        <v>1195</v>
      </c>
      <c r="I222" s="93" t="s">
        <v>835</v>
      </c>
      <c r="J222" s="93" t="s">
        <v>835</v>
      </c>
      <c r="K222" s="83" t="s">
        <v>714</v>
      </c>
      <c r="L222" s="94">
        <v>161463</v>
      </c>
      <c r="M222" s="85" t="s">
        <v>832</v>
      </c>
    </row>
    <row r="223" spans="1:13" x14ac:dyDescent="0.25">
      <c r="A223" s="106" t="s">
        <v>836</v>
      </c>
      <c r="B223" s="88">
        <v>2502095</v>
      </c>
      <c r="C223" s="87">
        <v>21102</v>
      </c>
      <c r="D223" s="88" t="s">
        <v>665</v>
      </c>
      <c r="E223" s="88">
        <v>57</v>
      </c>
      <c r="F223" s="88" t="s">
        <v>60</v>
      </c>
      <c r="G223" s="88" t="s">
        <v>22</v>
      </c>
      <c r="H223" s="88" t="s">
        <v>514</v>
      </c>
      <c r="I223" s="88" t="s">
        <v>835</v>
      </c>
      <c r="J223" s="88" t="s">
        <v>835</v>
      </c>
      <c r="K223" s="95" t="s">
        <v>623</v>
      </c>
      <c r="L223" s="90">
        <v>11500</v>
      </c>
      <c r="M223" s="91" t="s">
        <v>832</v>
      </c>
    </row>
    <row r="224" spans="1:13" x14ac:dyDescent="0.25">
      <c r="A224" s="107" t="s">
        <v>836</v>
      </c>
      <c r="B224" s="82">
        <v>2016420</v>
      </c>
      <c r="C224" s="82">
        <v>58277</v>
      </c>
      <c r="D224" s="82" t="s">
        <v>1145</v>
      </c>
      <c r="E224" s="82">
        <v>62</v>
      </c>
      <c r="F224" s="82" t="s">
        <v>60</v>
      </c>
      <c r="G224" s="82" t="s">
        <v>22</v>
      </c>
      <c r="H224" s="92" t="s">
        <v>1146</v>
      </c>
      <c r="I224" s="92" t="s">
        <v>834</v>
      </c>
      <c r="J224" s="82" t="s">
        <v>834</v>
      </c>
      <c r="K224" s="83" t="s">
        <v>556</v>
      </c>
      <c r="L224" s="84">
        <v>94888.2</v>
      </c>
      <c r="M224" s="85" t="s">
        <v>832</v>
      </c>
    </row>
    <row r="225" spans="1:13" ht="21" x14ac:dyDescent="0.25">
      <c r="A225" s="106" t="s">
        <v>836</v>
      </c>
      <c r="B225" s="87">
        <v>2005700</v>
      </c>
      <c r="C225" s="87">
        <v>60742</v>
      </c>
      <c r="D225" s="87" t="s">
        <v>837</v>
      </c>
      <c r="E225" s="87">
        <v>19</v>
      </c>
      <c r="F225" s="87" t="s">
        <v>838</v>
      </c>
      <c r="G225" s="87" t="s">
        <v>132</v>
      </c>
      <c r="H225" s="86" t="s">
        <v>839</v>
      </c>
      <c r="I225" s="86" t="s">
        <v>835</v>
      </c>
      <c r="J225" s="87" t="s">
        <v>834</v>
      </c>
      <c r="K225" s="95">
        <v>1</v>
      </c>
      <c r="L225" s="96">
        <v>75416.800000000003</v>
      </c>
      <c r="M225" s="91" t="s">
        <v>832</v>
      </c>
    </row>
    <row r="226" spans="1:13" ht="21" x14ac:dyDescent="0.25">
      <c r="A226" s="107" t="s">
        <v>836</v>
      </c>
      <c r="B226" s="93">
        <v>2506100</v>
      </c>
      <c r="C226" s="82">
        <v>62340</v>
      </c>
      <c r="D226" s="93" t="s">
        <v>1084</v>
      </c>
      <c r="E226" s="93">
        <v>58</v>
      </c>
      <c r="F226" s="93" t="s">
        <v>1085</v>
      </c>
      <c r="G226" s="93" t="s">
        <v>22</v>
      </c>
      <c r="H226" s="93" t="s">
        <v>1086</v>
      </c>
      <c r="I226" s="93" t="s">
        <v>85</v>
      </c>
      <c r="J226" s="93" t="s">
        <v>880</v>
      </c>
      <c r="K226" s="98">
        <v>7</v>
      </c>
      <c r="L226" s="94">
        <v>160297</v>
      </c>
      <c r="M226" s="85" t="s">
        <v>832</v>
      </c>
    </row>
    <row r="227" spans="1:13" ht="21" x14ac:dyDescent="0.25">
      <c r="A227" s="106" t="s">
        <v>836</v>
      </c>
      <c r="B227" s="88">
        <v>2001461</v>
      </c>
      <c r="C227" s="87">
        <v>18779</v>
      </c>
      <c r="D227" s="88" t="s">
        <v>1127</v>
      </c>
      <c r="E227" s="88">
        <v>71</v>
      </c>
      <c r="F227" s="88" t="s">
        <v>60</v>
      </c>
      <c r="G227" s="88" t="s">
        <v>22</v>
      </c>
      <c r="H227" s="88" t="s">
        <v>1128</v>
      </c>
      <c r="I227" s="88" t="s">
        <v>880</v>
      </c>
      <c r="J227" s="88" t="s">
        <v>880</v>
      </c>
      <c r="K227" s="95" t="s">
        <v>556</v>
      </c>
      <c r="L227" s="90">
        <v>25282</v>
      </c>
      <c r="M227" s="91" t="s">
        <v>832</v>
      </c>
    </row>
    <row r="228" spans="1:13" x14ac:dyDescent="0.25">
      <c r="A228" s="107" t="s">
        <v>836</v>
      </c>
      <c r="B228" s="82">
        <v>2004507</v>
      </c>
      <c r="C228" s="82">
        <v>16289</v>
      </c>
      <c r="D228" s="82" t="s">
        <v>944</v>
      </c>
      <c r="E228" s="82">
        <v>64</v>
      </c>
      <c r="F228" s="82" t="s">
        <v>945</v>
      </c>
      <c r="G228" s="82" t="s">
        <v>22</v>
      </c>
      <c r="H228" s="92" t="s">
        <v>946</v>
      </c>
      <c r="I228" s="92" t="s">
        <v>880</v>
      </c>
      <c r="J228" s="82" t="s">
        <v>846</v>
      </c>
      <c r="K228" s="83">
        <v>3</v>
      </c>
      <c r="L228" s="84">
        <v>77121</v>
      </c>
      <c r="M228" s="85" t="s">
        <v>832</v>
      </c>
    </row>
    <row r="229" spans="1:13" ht="21" x14ac:dyDescent="0.25">
      <c r="A229" s="106" t="s">
        <v>836</v>
      </c>
      <c r="B229" s="87">
        <v>2021863</v>
      </c>
      <c r="C229" s="87">
        <v>57255</v>
      </c>
      <c r="D229" s="87" t="s">
        <v>1007</v>
      </c>
      <c r="E229" s="87">
        <v>62</v>
      </c>
      <c r="F229" s="87" t="s">
        <v>60</v>
      </c>
      <c r="G229" s="87" t="s">
        <v>22</v>
      </c>
      <c r="H229" s="86" t="s">
        <v>1008</v>
      </c>
      <c r="I229" s="86" t="s">
        <v>880</v>
      </c>
      <c r="J229" s="87" t="s">
        <v>896</v>
      </c>
      <c r="K229" s="95">
        <v>4</v>
      </c>
      <c r="L229" s="96">
        <v>112556.2</v>
      </c>
      <c r="M229" s="91" t="s">
        <v>832</v>
      </c>
    </row>
    <row r="230" spans="1:13" x14ac:dyDescent="0.25">
      <c r="A230" s="107" t="s">
        <v>836</v>
      </c>
      <c r="B230" s="82">
        <v>2002095</v>
      </c>
      <c r="C230" s="82">
        <v>21102</v>
      </c>
      <c r="D230" s="82" t="s">
        <v>665</v>
      </c>
      <c r="E230" s="82">
        <v>57</v>
      </c>
      <c r="F230" s="82" t="s">
        <v>60</v>
      </c>
      <c r="G230" s="82" t="s">
        <v>22</v>
      </c>
      <c r="H230" s="92" t="s">
        <v>514</v>
      </c>
      <c r="I230" s="92" t="s">
        <v>901</v>
      </c>
      <c r="J230" s="82" t="s">
        <v>901</v>
      </c>
      <c r="K230" s="83" t="s">
        <v>623</v>
      </c>
      <c r="L230" s="84">
        <v>11500</v>
      </c>
      <c r="M230" s="85" t="s">
        <v>832</v>
      </c>
    </row>
    <row r="231" spans="1:13" ht="21" x14ac:dyDescent="0.25">
      <c r="A231" s="106" t="s">
        <v>836</v>
      </c>
      <c r="B231" s="87">
        <v>2005052</v>
      </c>
      <c r="C231" s="87">
        <v>13711</v>
      </c>
      <c r="D231" s="87" t="s">
        <v>73</v>
      </c>
      <c r="E231" s="87">
        <v>57</v>
      </c>
      <c r="F231" s="87" t="s">
        <v>280</v>
      </c>
      <c r="G231" s="87" t="s">
        <v>15</v>
      </c>
      <c r="H231" s="86" t="s">
        <v>996</v>
      </c>
      <c r="I231" s="86" t="s">
        <v>997</v>
      </c>
      <c r="J231" s="87" t="s">
        <v>851</v>
      </c>
      <c r="K231" s="95">
        <v>4</v>
      </c>
      <c r="L231" s="96">
        <v>125590.39999999999</v>
      </c>
      <c r="M231" s="91" t="s">
        <v>832</v>
      </c>
    </row>
    <row r="232" spans="1:13" x14ac:dyDescent="0.25">
      <c r="A232" s="107" t="s">
        <v>836</v>
      </c>
      <c r="B232" s="92">
        <v>2003627</v>
      </c>
      <c r="C232" s="82">
        <v>10424</v>
      </c>
      <c r="D232" s="92" t="s">
        <v>1069</v>
      </c>
      <c r="E232" s="92">
        <v>68</v>
      </c>
      <c r="F232" s="92" t="s">
        <v>126</v>
      </c>
      <c r="G232" s="92" t="s">
        <v>22</v>
      </c>
      <c r="H232" s="92" t="s">
        <v>1070</v>
      </c>
      <c r="I232" s="92" t="s">
        <v>843</v>
      </c>
      <c r="J232" s="92" t="s">
        <v>909</v>
      </c>
      <c r="K232" s="100">
        <v>7</v>
      </c>
      <c r="L232" s="101">
        <v>546512.19999999995</v>
      </c>
      <c r="M232" s="85" t="s">
        <v>832</v>
      </c>
    </row>
    <row r="233" spans="1:13" x14ac:dyDescent="0.25">
      <c r="A233" s="106" t="s">
        <v>836</v>
      </c>
      <c r="B233" s="87">
        <v>2503065</v>
      </c>
      <c r="C233" s="87">
        <v>59127</v>
      </c>
      <c r="D233" s="87" t="s">
        <v>1207</v>
      </c>
      <c r="E233" s="87">
        <v>59</v>
      </c>
      <c r="F233" s="87" t="s">
        <v>60</v>
      </c>
      <c r="G233" s="87" t="s">
        <v>22</v>
      </c>
      <c r="H233" s="87" t="s">
        <v>1208</v>
      </c>
      <c r="I233" s="86" t="s">
        <v>859</v>
      </c>
      <c r="J233" s="86" t="s">
        <v>859</v>
      </c>
      <c r="K233" s="95" t="s">
        <v>714</v>
      </c>
      <c r="L233" s="96">
        <v>147840</v>
      </c>
      <c r="M233" s="91" t="s">
        <v>832</v>
      </c>
    </row>
    <row r="234" spans="1:13" ht="31.5" x14ac:dyDescent="0.25">
      <c r="A234" s="105" t="s">
        <v>836</v>
      </c>
      <c r="B234" s="92">
        <v>2502095</v>
      </c>
      <c r="C234" s="82">
        <v>21102</v>
      </c>
      <c r="D234" s="92" t="s">
        <v>665</v>
      </c>
      <c r="E234" s="92">
        <v>57</v>
      </c>
      <c r="F234" s="92" t="s">
        <v>60</v>
      </c>
      <c r="G234" s="92" t="s">
        <v>22</v>
      </c>
      <c r="H234" s="92" t="s">
        <v>514</v>
      </c>
      <c r="I234" s="92" t="s">
        <v>1435</v>
      </c>
      <c r="J234" s="93" t="s">
        <v>1260</v>
      </c>
      <c r="K234" s="83" t="s">
        <v>623</v>
      </c>
      <c r="L234" s="94">
        <v>11500</v>
      </c>
      <c r="M234" s="85" t="s">
        <v>832</v>
      </c>
    </row>
    <row r="235" spans="1:13" x14ac:dyDescent="0.25">
      <c r="A235" s="104" t="s">
        <v>836</v>
      </c>
      <c r="B235" s="87">
        <v>2014390</v>
      </c>
      <c r="C235" s="87">
        <v>13704</v>
      </c>
      <c r="D235" s="87" t="s">
        <v>1436</v>
      </c>
      <c r="E235" s="87">
        <v>66</v>
      </c>
      <c r="F235" s="87" t="s">
        <v>1437</v>
      </c>
      <c r="G235" s="87" t="s">
        <v>15</v>
      </c>
      <c r="H235" s="87" t="s">
        <v>1438</v>
      </c>
      <c r="I235" s="87" t="s">
        <v>1439</v>
      </c>
      <c r="J235" s="87" t="s">
        <v>1288</v>
      </c>
      <c r="K235" s="95">
        <v>3</v>
      </c>
      <c r="L235" s="96">
        <v>460510.8</v>
      </c>
      <c r="M235" s="91" t="s">
        <v>832</v>
      </c>
    </row>
    <row r="236" spans="1:13" x14ac:dyDescent="0.25">
      <c r="A236" s="105" t="s">
        <v>836</v>
      </c>
      <c r="B236" s="82">
        <v>2502095</v>
      </c>
      <c r="C236" s="82">
        <v>21102</v>
      </c>
      <c r="D236" s="82" t="s">
        <v>665</v>
      </c>
      <c r="E236" s="82">
        <v>57</v>
      </c>
      <c r="F236" s="82" t="s">
        <v>60</v>
      </c>
      <c r="G236" s="82" t="s">
        <v>22</v>
      </c>
      <c r="H236" s="82" t="s">
        <v>1440</v>
      </c>
      <c r="I236" s="82" t="s">
        <v>1231</v>
      </c>
      <c r="J236" s="82" t="s">
        <v>1231</v>
      </c>
      <c r="K236" s="83" t="s">
        <v>623</v>
      </c>
      <c r="L236" s="84">
        <v>11500</v>
      </c>
      <c r="M236" s="85" t="s">
        <v>832</v>
      </c>
    </row>
    <row r="237" spans="1:13" ht="21" x14ac:dyDescent="0.25">
      <c r="A237" s="104" t="s">
        <v>836</v>
      </c>
      <c r="B237" s="87">
        <v>2002534</v>
      </c>
      <c r="C237" s="87">
        <v>9231</v>
      </c>
      <c r="D237" s="87" t="s">
        <v>1441</v>
      </c>
      <c r="E237" s="87">
        <v>70</v>
      </c>
      <c r="F237" s="87" t="s">
        <v>1442</v>
      </c>
      <c r="G237" s="87" t="s">
        <v>22</v>
      </c>
      <c r="H237" s="86" t="s">
        <v>1443</v>
      </c>
      <c r="I237" s="86" t="s">
        <v>1238</v>
      </c>
      <c r="J237" s="86" t="s">
        <v>1242</v>
      </c>
      <c r="K237" s="95">
        <v>6</v>
      </c>
      <c r="L237" s="96">
        <v>227599.6</v>
      </c>
      <c r="M237" s="91" t="s">
        <v>832</v>
      </c>
    </row>
    <row r="238" spans="1:13" ht="21" x14ac:dyDescent="0.25">
      <c r="A238" s="105" t="s">
        <v>836</v>
      </c>
      <c r="B238" s="82">
        <v>2602044</v>
      </c>
      <c r="C238" s="82">
        <v>63333</v>
      </c>
      <c r="D238" s="82" t="s">
        <v>1444</v>
      </c>
      <c r="E238" s="82">
        <v>58</v>
      </c>
      <c r="F238" s="82" t="s">
        <v>1445</v>
      </c>
      <c r="G238" s="82" t="s">
        <v>22</v>
      </c>
      <c r="H238" s="92" t="s">
        <v>1446</v>
      </c>
      <c r="I238" s="92" t="s">
        <v>1447</v>
      </c>
      <c r="J238" s="92" t="s">
        <v>1242</v>
      </c>
      <c r="K238" s="83">
        <v>5</v>
      </c>
      <c r="L238" s="84">
        <v>153714</v>
      </c>
      <c r="M238" s="85" t="s">
        <v>832</v>
      </c>
    </row>
    <row r="239" spans="1:13" x14ac:dyDescent="0.25">
      <c r="A239" s="104" t="s">
        <v>836</v>
      </c>
      <c r="B239" s="88">
        <v>2001028</v>
      </c>
      <c r="C239" s="87">
        <v>18492</v>
      </c>
      <c r="D239" s="88" t="s">
        <v>1448</v>
      </c>
      <c r="E239" s="88">
        <v>64</v>
      </c>
      <c r="F239" s="88" t="s">
        <v>60</v>
      </c>
      <c r="G239" s="88" t="s">
        <v>22</v>
      </c>
      <c r="H239" s="88" t="s">
        <v>445</v>
      </c>
      <c r="I239" s="88" t="s">
        <v>1232</v>
      </c>
      <c r="J239" s="88" t="s">
        <v>1232</v>
      </c>
      <c r="K239" s="95" t="s">
        <v>714</v>
      </c>
      <c r="L239" s="90">
        <v>105000</v>
      </c>
      <c r="M239" s="91" t="s">
        <v>832</v>
      </c>
    </row>
    <row r="240" spans="1:13" ht="31.5" x14ac:dyDescent="0.25">
      <c r="A240" s="105" t="s">
        <v>836</v>
      </c>
      <c r="B240" s="92">
        <v>2004023</v>
      </c>
      <c r="C240" s="82">
        <v>61041</v>
      </c>
      <c r="D240" s="92" t="s">
        <v>1414</v>
      </c>
      <c r="E240" s="92">
        <v>65</v>
      </c>
      <c r="F240" s="92" t="s">
        <v>1415</v>
      </c>
      <c r="G240" s="92" t="s">
        <v>22</v>
      </c>
      <c r="H240" s="92" t="s">
        <v>1416</v>
      </c>
      <c r="I240" s="92" t="s">
        <v>1242</v>
      </c>
      <c r="J240" s="93" t="s">
        <v>1232</v>
      </c>
      <c r="K240" s="98">
        <v>1</v>
      </c>
      <c r="L240" s="94">
        <v>62050</v>
      </c>
      <c r="M240" s="85" t="s">
        <v>832</v>
      </c>
    </row>
    <row r="241" spans="1:13" ht="21" x14ac:dyDescent="0.25">
      <c r="A241" s="108" t="s">
        <v>1449</v>
      </c>
      <c r="B241" s="87">
        <v>2004218</v>
      </c>
      <c r="C241" s="87">
        <v>15214</v>
      </c>
      <c r="D241" s="87" t="s">
        <v>1450</v>
      </c>
      <c r="E241" s="87">
        <v>67</v>
      </c>
      <c r="F241" s="87" t="s">
        <v>60</v>
      </c>
      <c r="G241" s="87" t="s">
        <v>22</v>
      </c>
      <c r="H241" s="86" t="s">
        <v>1451</v>
      </c>
      <c r="I241" s="86" t="s">
        <v>1241</v>
      </c>
      <c r="J241" s="86" t="s">
        <v>1241</v>
      </c>
      <c r="K241" s="89" t="s">
        <v>556</v>
      </c>
      <c r="L241" s="96">
        <v>25000</v>
      </c>
      <c r="M241" s="91" t="s">
        <v>832</v>
      </c>
    </row>
    <row r="242" spans="1:13" ht="42" x14ac:dyDescent="0.25">
      <c r="A242" s="103" t="s">
        <v>1452</v>
      </c>
      <c r="B242" s="82">
        <v>2505080</v>
      </c>
      <c r="C242" s="82">
        <v>100854</v>
      </c>
      <c r="D242" s="82" t="s">
        <v>1453</v>
      </c>
      <c r="E242" s="82">
        <v>69</v>
      </c>
      <c r="F242" s="82" t="s">
        <v>1454</v>
      </c>
      <c r="G242" s="82" t="s">
        <v>22</v>
      </c>
      <c r="H242" s="92" t="s">
        <v>1455</v>
      </c>
      <c r="I242" s="92" t="s">
        <v>1260</v>
      </c>
      <c r="J242" s="92" t="s">
        <v>1242</v>
      </c>
      <c r="K242" s="83">
        <v>7</v>
      </c>
      <c r="L242" s="84">
        <v>73800</v>
      </c>
      <c r="M242" s="85" t="s">
        <v>832</v>
      </c>
    </row>
    <row r="243" spans="1:13" x14ac:dyDescent="0.25">
      <c r="A243" s="106" t="s">
        <v>1180</v>
      </c>
      <c r="B243" s="87">
        <v>2008856</v>
      </c>
      <c r="C243" s="87">
        <v>83639</v>
      </c>
      <c r="D243" s="87" t="s">
        <v>1181</v>
      </c>
      <c r="E243" s="87">
        <v>36</v>
      </c>
      <c r="F243" s="87" t="s">
        <v>49</v>
      </c>
      <c r="G243" s="87" t="s">
        <v>15</v>
      </c>
      <c r="H243" s="86" t="s">
        <v>1182</v>
      </c>
      <c r="I243" s="86" t="s">
        <v>855</v>
      </c>
      <c r="J243" s="87" t="s">
        <v>855</v>
      </c>
      <c r="K243" s="95" t="s">
        <v>1183</v>
      </c>
      <c r="L243" s="96">
        <v>7000</v>
      </c>
      <c r="M243" s="91" t="s">
        <v>832</v>
      </c>
    </row>
    <row r="244" spans="1:13" ht="21" x14ac:dyDescent="0.25">
      <c r="A244" s="107" t="s">
        <v>881</v>
      </c>
      <c r="B244" s="93">
        <v>2011454</v>
      </c>
      <c r="C244" s="82">
        <v>13452</v>
      </c>
      <c r="D244" s="93" t="s">
        <v>882</v>
      </c>
      <c r="E244" s="93">
        <v>66</v>
      </c>
      <c r="F244" s="93" t="s">
        <v>14</v>
      </c>
      <c r="G244" s="93" t="s">
        <v>15</v>
      </c>
      <c r="H244" s="93" t="s">
        <v>883</v>
      </c>
      <c r="I244" s="93" t="s">
        <v>835</v>
      </c>
      <c r="J244" s="93" t="s">
        <v>880</v>
      </c>
      <c r="K244" s="98">
        <v>2</v>
      </c>
      <c r="L244" s="94">
        <v>167703</v>
      </c>
      <c r="M244" s="85" t="s">
        <v>832</v>
      </c>
    </row>
    <row r="245" spans="1:13" x14ac:dyDescent="0.25">
      <c r="A245" s="108" t="s">
        <v>881</v>
      </c>
      <c r="B245" s="87">
        <v>2016003</v>
      </c>
      <c r="C245" s="87">
        <v>10935</v>
      </c>
      <c r="D245" s="87" t="s">
        <v>1456</v>
      </c>
      <c r="E245" s="87">
        <v>67</v>
      </c>
      <c r="F245" s="87" t="s">
        <v>1457</v>
      </c>
      <c r="G245" s="87" t="s">
        <v>22</v>
      </c>
      <c r="H245" s="87" t="s">
        <v>1458</v>
      </c>
      <c r="I245" s="87" t="s">
        <v>1236</v>
      </c>
      <c r="J245" s="87" t="s">
        <v>1249</v>
      </c>
      <c r="K245" s="95">
        <v>4</v>
      </c>
      <c r="L245" s="96">
        <v>229029</v>
      </c>
      <c r="M245" s="91" t="s">
        <v>832</v>
      </c>
    </row>
    <row r="246" spans="1:13" ht="21" x14ac:dyDescent="0.25">
      <c r="A246" s="103" t="s">
        <v>1459</v>
      </c>
      <c r="B246" s="82">
        <v>2019633</v>
      </c>
      <c r="C246" s="82">
        <v>42684</v>
      </c>
      <c r="D246" s="82" t="s">
        <v>1460</v>
      </c>
      <c r="E246" s="82">
        <v>63</v>
      </c>
      <c r="F246" s="82" t="s">
        <v>49</v>
      </c>
      <c r="G246" s="82" t="s">
        <v>22</v>
      </c>
      <c r="H246" s="92" t="s">
        <v>791</v>
      </c>
      <c r="I246" s="92" t="s">
        <v>1461</v>
      </c>
      <c r="J246" s="92" t="s">
        <v>1241</v>
      </c>
      <c r="K246" s="83" t="s">
        <v>788</v>
      </c>
      <c r="L246" s="84">
        <v>60000</v>
      </c>
      <c r="M246" s="85" t="s">
        <v>832</v>
      </c>
    </row>
    <row r="247" spans="1:13" x14ac:dyDescent="0.25">
      <c r="A247" s="106" t="s">
        <v>687</v>
      </c>
      <c r="B247" s="87">
        <v>2001402</v>
      </c>
      <c r="C247" s="87">
        <v>37163</v>
      </c>
      <c r="D247" s="87" t="s">
        <v>688</v>
      </c>
      <c r="E247" s="87">
        <v>63</v>
      </c>
      <c r="F247" s="87" t="s">
        <v>60</v>
      </c>
      <c r="G247" s="87" t="s">
        <v>22</v>
      </c>
      <c r="H247" s="86" t="s">
        <v>633</v>
      </c>
      <c r="I247" s="86" t="s">
        <v>846</v>
      </c>
      <c r="J247" s="87" t="s">
        <v>846</v>
      </c>
      <c r="K247" s="95" t="s">
        <v>623</v>
      </c>
      <c r="L247" s="96">
        <v>13000</v>
      </c>
      <c r="M247" s="91" t="s">
        <v>832</v>
      </c>
    </row>
    <row r="248" spans="1:13" ht="21" x14ac:dyDescent="0.25">
      <c r="A248" s="107" t="s">
        <v>687</v>
      </c>
      <c r="B248" s="82">
        <v>2001404</v>
      </c>
      <c r="C248" s="82">
        <v>37163</v>
      </c>
      <c r="D248" s="82" t="s">
        <v>1161</v>
      </c>
      <c r="E248" s="82">
        <v>63</v>
      </c>
      <c r="F248" s="82" t="s">
        <v>60</v>
      </c>
      <c r="G248" s="82" t="s">
        <v>22</v>
      </c>
      <c r="H248" s="82" t="s">
        <v>633</v>
      </c>
      <c r="I248" s="92" t="s">
        <v>1162</v>
      </c>
      <c r="J248" s="92" t="s">
        <v>859</v>
      </c>
      <c r="K248" s="83" t="s">
        <v>623</v>
      </c>
      <c r="L248" s="84">
        <v>13000</v>
      </c>
      <c r="M248" s="85" t="s">
        <v>832</v>
      </c>
    </row>
    <row r="249" spans="1:13" x14ac:dyDescent="0.25">
      <c r="A249" s="108" t="s">
        <v>687</v>
      </c>
      <c r="B249" s="87">
        <v>2001404</v>
      </c>
      <c r="C249" s="87">
        <v>37163</v>
      </c>
      <c r="D249" s="87" t="s">
        <v>688</v>
      </c>
      <c r="E249" s="87">
        <v>63</v>
      </c>
      <c r="F249" s="87" t="s">
        <v>1462</v>
      </c>
      <c r="G249" s="87" t="s">
        <v>22</v>
      </c>
      <c r="H249" s="87" t="s">
        <v>1463</v>
      </c>
      <c r="I249" s="87" t="s">
        <v>1464</v>
      </c>
      <c r="J249" s="87" t="s">
        <v>1288</v>
      </c>
      <c r="K249" s="95">
        <v>4</v>
      </c>
      <c r="L249" s="96">
        <v>184739</v>
      </c>
      <c r="M249" s="91" t="s">
        <v>832</v>
      </c>
    </row>
    <row r="250" spans="1:13" ht="21" x14ac:dyDescent="0.25">
      <c r="A250" s="107" t="s">
        <v>544</v>
      </c>
      <c r="B250" s="93">
        <v>2507370</v>
      </c>
      <c r="C250" s="82">
        <v>62636</v>
      </c>
      <c r="D250" s="93" t="s">
        <v>910</v>
      </c>
      <c r="E250" s="93">
        <v>50</v>
      </c>
      <c r="F250" s="93" t="s">
        <v>911</v>
      </c>
      <c r="G250" s="93" t="s">
        <v>15</v>
      </c>
      <c r="H250" s="93" t="s">
        <v>912</v>
      </c>
      <c r="I250" s="93" t="s">
        <v>835</v>
      </c>
      <c r="J250" s="93" t="s">
        <v>880</v>
      </c>
      <c r="K250" s="98">
        <v>2</v>
      </c>
      <c r="L250" s="94">
        <v>121248</v>
      </c>
      <c r="M250" s="85" t="s">
        <v>832</v>
      </c>
    </row>
    <row r="251" spans="1:13" ht="21" x14ac:dyDescent="0.25">
      <c r="A251" s="106" t="s">
        <v>544</v>
      </c>
      <c r="B251" s="87">
        <v>2009676</v>
      </c>
      <c r="C251" s="87">
        <v>101152</v>
      </c>
      <c r="D251" s="87" t="s">
        <v>1071</v>
      </c>
      <c r="E251" s="87">
        <v>68</v>
      </c>
      <c r="F251" s="87" t="s">
        <v>49</v>
      </c>
      <c r="G251" s="87" t="s">
        <v>15</v>
      </c>
      <c r="H251" s="86" t="s">
        <v>1133</v>
      </c>
      <c r="I251" s="86" t="s">
        <v>846</v>
      </c>
      <c r="J251" s="87" t="s">
        <v>846</v>
      </c>
      <c r="K251" s="95" t="s">
        <v>556</v>
      </c>
      <c r="L251" s="96">
        <v>142320</v>
      </c>
      <c r="M251" s="91" t="s">
        <v>832</v>
      </c>
    </row>
    <row r="252" spans="1:13" x14ac:dyDescent="0.25">
      <c r="A252" s="107" t="s">
        <v>544</v>
      </c>
      <c r="B252" s="82">
        <v>2012620</v>
      </c>
      <c r="C252" s="82">
        <v>102835</v>
      </c>
      <c r="D252" s="82" t="s">
        <v>686</v>
      </c>
      <c r="E252" s="82">
        <v>64</v>
      </c>
      <c r="F252" s="82" t="s">
        <v>49</v>
      </c>
      <c r="G252" s="82" t="s">
        <v>15</v>
      </c>
      <c r="H252" s="92" t="s">
        <v>633</v>
      </c>
      <c r="I252" s="92" t="s">
        <v>846</v>
      </c>
      <c r="J252" s="82" t="s">
        <v>846</v>
      </c>
      <c r="K252" s="83" t="s">
        <v>623</v>
      </c>
      <c r="L252" s="84">
        <v>9500</v>
      </c>
      <c r="M252" s="85" t="s">
        <v>832</v>
      </c>
    </row>
    <row r="253" spans="1:13" x14ac:dyDescent="0.25">
      <c r="A253" s="106" t="s">
        <v>544</v>
      </c>
      <c r="B253" s="87">
        <v>2012620</v>
      </c>
      <c r="C253" s="87">
        <v>102835</v>
      </c>
      <c r="D253" s="87" t="s">
        <v>685</v>
      </c>
      <c r="E253" s="87">
        <v>64</v>
      </c>
      <c r="F253" s="87" t="s">
        <v>49</v>
      </c>
      <c r="G253" s="87" t="s">
        <v>15</v>
      </c>
      <c r="H253" s="86" t="s">
        <v>633</v>
      </c>
      <c r="I253" s="86" t="s">
        <v>855</v>
      </c>
      <c r="J253" s="87" t="s">
        <v>855</v>
      </c>
      <c r="K253" s="95" t="s">
        <v>623</v>
      </c>
      <c r="L253" s="96">
        <v>9500</v>
      </c>
      <c r="M253" s="91" t="s">
        <v>832</v>
      </c>
    </row>
    <row r="254" spans="1:13" x14ac:dyDescent="0.25">
      <c r="A254" s="107" t="s">
        <v>544</v>
      </c>
      <c r="B254" s="82" t="s">
        <v>1179</v>
      </c>
      <c r="C254" s="82"/>
      <c r="D254" s="82" t="s">
        <v>685</v>
      </c>
      <c r="E254" s="82">
        <v>64</v>
      </c>
      <c r="F254" s="82" t="s">
        <v>49</v>
      </c>
      <c r="G254" s="82" t="s">
        <v>15</v>
      </c>
      <c r="H254" s="82" t="s">
        <v>514</v>
      </c>
      <c r="I254" s="92" t="s">
        <v>860</v>
      </c>
      <c r="J254" s="92" t="s">
        <v>860</v>
      </c>
      <c r="K254" s="83" t="s">
        <v>623</v>
      </c>
      <c r="L254" s="84">
        <v>9500</v>
      </c>
      <c r="M254" s="85" t="s">
        <v>832</v>
      </c>
    </row>
    <row r="255" spans="1:13" x14ac:dyDescent="0.25">
      <c r="A255" s="106" t="s">
        <v>544</v>
      </c>
      <c r="B255" s="87">
        <v>2023609</v>
      </c>
      <c r="C255" s="87">
        <v>21313</v>
      </c>
      <c r="D255" s="87" t="s">
        <v>1156</v>
      </c>
      <c r="E255" s="87">
        <v>49</v>
      </c>
      <c r="F255" s="87" t="s">
        <v>49</v>
      </c>
      <c r="G255" s="87" t="s">
        <v>15</v>
      </c>
      <c r="H255" s="87" t="s">
        <v>1157</v>
      </c>
      <c r="I255" s="86" t="s">
        <v>919</v>
      </c>
      <c r="J255" s="86" t="s">
        <v>919</v>
      </c>
      <c r="K255" s="95" t="s">
        <v>556</v>
      </c>
      <c r="L255" s="96">
        <v>150000</v>
      </c>
      <c r="M255" s="91" t="s">
        <v>832</v>
      </c>
    </row>
    <row r="256" spans="1:13" x14ac:dyDescent="0.25">
      <c r="A256" s="107" t="s">
        <v>544</v>
      </c>
      <c r="B256" s="93">
        <v>2012620</v>
      </c>
      <c r="C256" s="82">
        <v>102835</v>
      </c>
      <c r="D256" s="93" t="s">
        <v>686</v>
      </c>
      <c r="E256" s="93">
        <v>64</v>
      </c>
      <c r="F256" s="93" t="s">
        <v>49</v>
      </c>
      <c r="G256" s="93" t="s">
        <v>15</v>
      </c>
      <c r="H256" s="93" t="s">
        <v>633</v>
      </c>
      <c r="I256" s="93" t="s">
        <v>1260</v>
      </c>
      <c r="J256" s="93" t="s">
        <v>1260</v>
      </c>
      <c r="K256" s="83" t="s">
        <v>623</v>
      </c>
      <c r="L256" s="94">
        <v>9500</v>
      </c>
      <c r="M256" s="85" t="s">
        <v>832</v>
      </c>
    </row>
    <row r="257" spans="1:13" ht="21" x14ac:dyDescent="0.25">
      <c r="A257" s="106" t="s">
        <v>544</v>
      </c>
      <c r="B257" s="87">
        <v>2009023</v>
      </c>
      <c r="C257" s="87">
        <v>18240</v>
      </c>
      <c r="D257" s="87" t="s">
        <v>1191</v>
      </c>
      <c r="E257" s="87">
        <v>42</v>
      </c>
      <c r="F257" s="87" t="s">
        <v>14</v>
      </c>
      <c r="G257" s="87" t="s">
        <v>15</v>
      </c>
      <c r="H257" s="86" t="s">
        <v>1465</v>
      </c>
      <c r="I257" s="86" t="s">
        <v>1238</v>
      </c>
      <c r="J257" s="86" t="s">
        <v>1241</v>
      </c>
      <c r="K257" s="95">
        <v>1</v>
      </c>
      <c r="L257" s="96">
        <v>311709.8</v>
      </c>
      <c r="M257" s="91" t="s">
        <v>832</v>
      </c>
    </row>
    <row r="258" spans="1:13" ht="21" x14ac:dyDescent="0.25">
      <c r="A258" s="107" t="s">
        <v>544</v>
      </c>
      <c r="B258" s="82">
        <v>2001766</v>
      </c>
      <c r="C258" s="82">
        <v>100193</v>
      </c>
      <c r="D258" s="82" t="s">
        <v>1466</v>
      </c>
      <c r="E258" s="82">
        <v>70</v>
      </c>
      <c r="F258" s="82" t="s">
        <v>1467</v>
      </c>
      <c r="G258" s="82" t="s">
        <v>22</v>
      </c>
      <c r="H258" s="92" t="s">
        <v>1468</v>
      </c>
      <c r="I258" s="92" t="s">
        <v>1260</v>
      </c>
      <c r="J258" s="92" t="s">
        <v>1241</v>
      </c>
      <c r="K258" s="83">
        <v>2</v>
      </c>
      <c r="L258" s="84">
        <v>241900</v>
      </c>
      <c r="M258" s="85" t="s">
        <v>832</v>
      </c>
    </row>
    <row r="259" spans="1:13" x14ac:dyDescent="0.25">
      <c r="A259" s="106" t="s">
        <v>544</v>
      </c>
      <c r="B259" s="87">
        <v>2012620</v>
      </c>
      <c r="C259" s="87">
        <v>102835</v>
      </c>
      <c r="D259" s="87" t="s">
        <v>683</v>
      </c>
      <c r="E259" s="87">
        <v>64</v>
      </c>
      <c r="F259" s="87" t="s">
        <v>49</v>
      </c>
      <c r="G259" s="87" t="s">
        <v>15</v>
      </c>
      <c r="H259" s="87" t="s">
        <v>699</v>
      </c>
      <c r="I259" s="87" t="s">
        <v>1288</v>
      </c>
      <c r="J259" s="87" t="s">
        <v>1288</v>
      </c>
      <c r="K259" s="95" t="s">
        <v>623</v>
      </c>
      <c r="L259" s="96">
        <v>22544</v>
      </c>
      <c r="M259" s="91" t="s">
        <v>832</v>
      </c>
    </row>
    <row r="260" spans="1:13" x14ac:dyDescent="0.25">
      <c r="A260" s="107" t="s">
        <v>544</v>
      </c>
      <c r="B260" s="93">
        <v>2012620</v>
      </c>
      <c r="C260" s="82">
        <v>102835</v>
      </c>
      <c r="D260" s="93" t="s">
        <v>1469</v>
      </c>
      <c r="E260" s="93">
        <v>68</v>
      </c>
      <c r="F260" s="93" t="s">
        <v>49</v>
      </c>
      <c r="G260" s="93" t="s">
        <v>15</v>
      </c>
      <c r="H260" s="93" t="s">
        <v>622</v>
      </c>
      <c r="I260" s="93" t="s">
        <v>1232</v>
      </c>
      <c r="J260" s="93" t="s">
        <v>1232</v>
      </c>
      <c r="K260" s="83" t="s">
        <v>623</v>
      </c>
      <c r="L260" s="94">
        <v>9500</v>
      </c>
      <c r="M260" s="85" t="s">
        <v>832</v>
      </c>
    </row>
    <row r="261" spans="1:13" x14ac:dyDescent="0.25">
      <c r="A261" s="106" t="s">
        <v>544</v>
      </c>
      <c r="B261" s="88">
        <v>2012620</v>
      </c>
      <c r="C261" s="87">
        <v>102835</v>
      </c>
      <c r="D261" s="88" t="s">
        <v>686</v>
      </c>
      <c r="E261" s="88">
        <v>64</v>
      </c>
      <c r="F261" s="88" t="s">
        <v>49</v>
      </c>
      <c r="G261" s="88" t="s">
        <v>15</v>
      </c>
      <c r="H261" s="88" t="s">
        <v>514</v>
      </c>
      <c r="I261" s="88" t="s">
        <v>1254</v>
      </c>
      <c r="J261" s="88" t="s">
        <v>1254</v>
      </c>
      <c r="K261" s="95" t="s">
        <v>623</v>
      </c>
      <c r="L261" s="90">
        <v>9500</v>
      </c>
      <c r="M261" s="91" t="s">
        <v>832</v>
      </c>
    </row>
    <row r="262" spans="1:13" x14ac:dyDescent="0.25">
      <c r="A262" s="107" t="s">
        <v>373</v>
      </c>
      <c r="B262" s="93">
        <v>2020043</v>
      </c>
      <c r="C262" s="82">
        <v>18791</v>
      </c>
      <c r="D262" s="93" t="s">
        <v>1198</v>
      </c>
      <c r="E262" s="93">
        <v>67</v>
      </c>
      <c r="F262" s="93" t="s">
        <v>49</v>
      </c>
      <c r="G262" s="93" t="s">
        <v>15</v>
      </c>
      <c r="H262" s="93" t="s">
        <v>1199</v>
      </c>
      <c r="I262" s="93" t="s">
        <v>835</v>
      </c>
      <c r="J262" s="93" t="s">
        <v>835</v>
      </c>
      <c r="K262" s="83" t="s">
        <v>714</v>
      </c>
      <c r="L262" s="94">
        <v>27800</v>
      </c>
      <c r="M262" s="85" t="s">
        <v>832</v>
      </c>
    </row>
    <row r="263" spans="1:13" x14ac:dyDescent="0.25">
      <c r="A263" s="106" t="s">
        <v>373</v>
      </c>
      <c r="B263" s="87">
        <v>2001653</v>
      </c>
      <c r="C263" s="87">
        <v>14695</v>
      </c>
      <c r="D263" s="87" t="s">
        <v>1184</v>
      </c>
      <c r="E263" s="87">
        <v>74</v>
      </c>
      <c r="F263" s="87" t="s">
        <v>60</v>
      </c>
      <c r="G263" s="87" t="s">
        <v>22</v>
      </c>
      <c r="H263" s="86" t="s">
        <v>445</v>
      </c>
      <c r="I263" s="86" t="s">
        <v>834</v>
      </c>
      <c r="J263" s="87" t="s">
        <v>834</v>
      </c>
      <c r="K263" s="95" t="s">
        <v>714</v>
      </c>
      <c r="L263" s="96">
        <v>114997.64</v>
      </c>
      <c r="M263" s="91" t="s">
        <v>832</v>
      </c>
    </row>
    <row r="264" spans="1:13" ht="21" x14ac:dyDescent="0.25">
      <c r="A264" s="107" t="s">
        <v>373</v>
      </c>
      <c r="B264" s="93">
        <v>2020043</v>
      </c>
      <c r="C264" s="82">
        <v>18791</v>
      </c>
      <c r="D264" s="93" t="s">
        <v>1200</v>
      </c>
      <c r="E264" s="93">
        <v>67</v>
      </c>
      <c r="F264" s="93" t="s">
        <v>49</v>
      </c>
      <c r="G264" s="93" t="s">
        <v>15</v>
      </c>
      <c r="H264" s="93" t="s">
        <v>1199</v>
      </c>
      <c r="I264" s="93" t="s">
        <v>1201</v>
      </c>
      <c r="J264" s="93" t="s">
        <v>843</v>
      </c>
      <c r="K264" s="83" t="s">
        <v>714</v>
      </c>
      <c r="L264" s="94">
        <v>70000</v>
      </c>
      <c r="M264" s="85" t="s">
        <v>832</v>
      </c>
    </row>
    <row r="265" spans="1:13" x14ac:dyDescent="0.25">
      <c r="A265" s="106" t="s">
        <v>373</v>
      </c>
      <c r="B265" s="87">
        <v>2012118</v>
      </c>
      <c r="C265" s="87">
        <v>18259</v>
      </c>
      <c r="D265" s="87" t="s">
        <v>619</v>
      </c>
      <c r="E265" s="87">
        <v>63</v>
      </c>
      <c r="F265" s="87" t="s">
        <v>14</v>
      </c>
      <c r="G265" s="87" t="s">
        <v>22</v>
      </c>
      <c r="H265" s="86" t="s">
        <v>1193</v>
      </c>
      <c r="I265" s="86" t="s">
        <v>831</v>
      </c>
      <c r="J265" s="87" t="s">
        <v>831</v>
      </c>
      <c r="K265" s="95" t="s">
        <v>714</v>
      </c>
      <c r="L265" s="96">
        <v>12000</v>
      </c>
      <c r="M265" s="91" t="s">
        <v>832</v>
      </c>
    </row>
    <row r="266" spans="1:13" x14ac:dyDescent="0.25">
      <c r="A266" s="107" t="s">
        <v>373</v>
      </c>
      <c r="B266" s="82">
        <v>2015319</v>
      </c>
      <c r="C266" s="82">
        <v>18635</v>
      </c>
      <c r="D266" s="82" t="s">
        <v>962</v>
      </c>
      <c r="E266" s="82">
        <v>63</v>
      </c>
      <c r="F266" s="82" t="s">
        <v>126</v>
      </c>
      <c r="G266" s="82" t="s">
        <v>22</v>
      </c>
      <c r="H266" s="92" t="s">
        <v>963</v>
      </c>
      <c r="I266" s="92" t="s">
        <v>843</v>
      </c>
      <c r="J266" s="82" t="s">
        <v>896</v>
      </c>
      <c r="K266" s="83">
        <v>3</v>
      </c>
      <c r="L266" s="84">
        <v>353603</v>
      </c>
      <c r="M266" s="85" t="s">
        <v>832</v>
      </c>
    </row>
    <row r="267" spans="1:13" x14ac:dyDescent="0.25">
      <c r="A267" s="106" t="s">
        <v>373</v>
      </c>
      <c r="B267" s="87">
        <v>2019637</v>
      </c>
      <c r="C267" s="87">
        <v>10170</v>
      </c>
      <c r="D267" s="87" t="s">
        <v>774</v>
      </c>
      <c r="E267" s="87">
        <v>64</v>
      </c>
      <c r="F267" s="87" t="s">
        <v>60</v>
      </c>
      <c r="G267" s="87" t="s">
        <v>22</v>
      </c>
      <c r="H267" s="86" t="s">
        <v>737</v>
      </c>
      <c r="I267" s="86" t="s">
        <v>851</v>
      </c>
      <c r="J267" s="87" t="s">
        <v>851</v>
      </c>
      <c r="K267" s="95" t="s">
        <v>714</v>
      </c>
      <c r="L267" s="96">
        <v>6900</v>
      </c>
      <c r="M267" s="91" t="s">
        <v>832</v>
      </c>
    </row>
    <row r="268" spans="1:13" ht="21" x14ac:dyDescent="0.25">
      <c r="A268" s="107" t="s">
        <v>373</v>
      </c>
      <c r="B268" s="82">
        <v>2001578</v>
      </c>
      <c r="C268" s="82">
        <v>18380</v>
      </c>
      <c r="D268" s="82" t="s">
        <v>1163</v>
      </c>
      <c r="E268" s="82">
        <v>62</v>
      </c>
      <c r="F268" s="82" t="s">
        <v>60</v>
      </c>
      <c r="G268" s="82" t="s">
        <v>22</v>
      </c>
      <c r="H268" s="92" t="s">
        <v>1164</v>
      </c>
      <c r="I268" s="92" t="s">
        <v>1165</v>
      </c>
      <c r="J268" s="82" t="s">
        <v>855</v>
      </c>
      <c r="K268" s="83" t="s">
        <v>623</v>
      </c>
      <c r="L268" s="84">
        <v>80736</v>
      </c>
      <c r="M268" s="85" t="s">
        <v>832</v>
      </c>
    </row>
    <row r="269" spans="1:13" ht="31.5" x14ac:dyDescent="0.25">
      <c r="A269" s="106" t="s">
        <v>373</v>
      </c>
      <c r="B269" s="88">
        <v>2013777</v>
      </c>
      <c r="C269" s="87">
        <v>78863</v>
      </c>
      <c r="D269" s="88" t="s">
        <v>1114</v>
      </c>
      <c r="E269" s="86">
        <v>43</v>
      </c>
      <c r="F269" s="86" t="s">
        <v>1115</v>
      </c>
      <c r="G269" s="86" t="s">
        <v>22</v>
      </c>
      <c r="H269" s="86" t="s">
        <v>1116</v>
      </c>
      <c r="I269" s="86" t="s">
        <v>42</v>
      </c>
      <c r="J269" s="86" t="s">
        <v>36</v>
      </c>
      <c r="K269" s="99">
        <v>29</v>
      </c>
      <c r="L269" s="97">
        <v>1999999</v>
      </c>
      <c r="M269" s="91" t="s">
        <v>832</v>
      </c>
    </row>
    <row r="270" spans="1:13" ht="21" x14ac:dyDescent="0.25">
      <c r="A270" s="107" t="s">
        <v>373</v>
      </c>
      <c r="B270" s="92">
        <v>2019948</v>
      </c>
      <c r="C270" s="82">
        <v>17370</v>
      </c>
      <c r="D270" s="92" t="s">
        <v>1063</v>
      </c>
      <c r="E270" s="92">
        <v>77</v>
      </c>
      <c r="F270" s="92" t="s">
        <v>1064</v>
      </c>
      <c r="G270" s="92" t="s">
        <v>15</v>
      </c>
      <c r="H270" s="92" t="s">
        <v>1065</v>
      </c>
      <c r="I270" s="92" t="s">
        <v>831</v>
      </c>
      <c r="J270" s="92" t="s">
        <v>909</v>
      </c>
      <c r="K270" s="100">
        <v>6</v>
      </c>
      <c r="L270" s="101">
        <v>352839</v>
      </c>
      <c r="M270" s="85" t="s">
        <v>832</v>
      </c>
    </row>
    <row r="271" spans="1:13" x14ac:dyDescent="0.25">
      <c r="A271" s="106" t="s">
        <v>373</v>
      </c>
      <c r="B271" s="87">
        <v>2020358</v>
      </c>
      <c r="C271" s="87">
        <v>56122</v>
      </c>
      <c r="D271" s="87" t="s">
        <v>1149</v>
      </c>
      <c r="E271" s="87">
        <v>60</v>
      </c>
      <c r="F271" s="87" t="s">
        <v>49</v>
      </c>
      <c r="G271" s="87" t="s">
        <v>706</v>
      </c>
      <c r="H271" s="87" t="s">
        <v>1150</v>
      </c>
      <c r="I271" s="86" t="s">
        <v>859</v>
      </c>
      <c r="J271" s="86" t="s">
        <v>859</v>
      </c>
      <c r="K271" s="95" t="s">
        <v>556</v>
      </c>
      <c r="L271" s="96">
        <v>144965</v>
      </c>
      <c r="M271" s="91" t="s">
        <v>832</v>
      </c>
    </row>
    <row r="272" spans="1:13" ht="21" x14ac:dyDescent="0.25">
      <c r="A272" s="107" t="s">
        <v>373</v>
      </c>
      <c r="B272" s="82">
        <v>2020043</v>
      </c>
      <c r="C272" s="82">
        <v>18791</v>
      </c>
      <c r="D272" s="82" t="s">
        <v>1202</v>
      </c>
      <c r="E272" s="82">
        <v>67</v>
      </c>
      <c r="F272" s="82" t="s">
        <v>49</v>
      </c>
      <c r="G272" s="82" t="s">
        <v>706</v>
      </c>
      <c r="H272" s="82" t="s">
        <v>1203</v>
      </c>
      <c r="I272" s="92" t="s">
        <v>1204</v>
      </c>
      <c r="J272" s="92" t="s">
        <v>859</v>
      </c>
      <c r="K272" s="83" t="s">
        <v>714</v>
      </c>
      <c r="L272" s="84">
        <v>100000</v>
      </c>
      <c r="M272" s="85" t="s">
        <v>832</v>
      </c>
    </row>
    <row r="273" spans="1:13" ht="21" x14ac:dyDescent="0.25">
      <c r="A273" s="106" t="s">
        <v>373</v>
      </c>
      <c r="B273" s="87">
        <v>2001379</v>
      </c>
      <c r="C273" s="87">
        <v>5803</v>
      </c>
      <c r="D273" s="87" t="s">
        <v>611</v>
      </c>
      <c r="E273" s="87">
        <v>73</v>
      </c>
      <c r="F273" s="87" t="s">
        <v>60</v>
      </c>
      <c r="G273" s="87" t="s">
        <v>22</v>
      </c>
      <c r="H273" s="87" t="s">
        <v>866</v>
      </c>
      <c r="I273" s="86" t="s">
        <v>867</v>
      </c>
      <c r="J273" s="86" t="s">
        <v>860</v>
      </c>
      <c r="K273" s="95">
        <v>2</v>
      </c>
      <c r="L273" s="96">
        <v>421392</v>
      </c>
      <c r="M273" s="91" t="s">
        <v>832</v>
      </c>
    </row>
    <row r="274" spans="1:13" x14ac:dyDescent="0.25">
      <c r="A274" s="105" t="s">
        <v>373</v>
      </c>
      <c r="B274" s="82">
        <v>2000181</v>
      </c>
      <c r="C274" s="82">
        <v>18032</v>
      </c>
      <c r="D274" s="82" t="s">
        <v>769</v>
      </c>
      <c r="E274" s="82">
        <v>69</v>
      </c>
      <c r="F274" s="82" t="s">
        <v>60</v>
      </c>
      <c r="G274" s="82" t="s">
        <v>22</v>
      </c>
      <c r="H274" s="82" t="s">
        <v>445</v>
      </c>
      <c r="I274" s="82" t="s">
        <v>1470</v>
      </c>
      <c r="J274" s="82" t="s">
        <v>1236</v>
      </c>
      <c r="K274" s="83" t="s">
        <v>714</v>
      </c>
      <c r="L274" s="84">
        <v>68133</v>
      </c>
      <c r="M274" s="85" t="s">
        <v>832</v>
      </c>
    </row>
    <row r="275" spans="1:13" ht="31.5" x14ac:dyDescent="0.25">
      <c r="A275" s="104" t="s">
        <v>373</v>
      </c>
      <c r="B275" s="86">
        <v>2012194</v>
      </c>
      <c r="C275" s="87">
        <v>12346</v>
      </c>
      <c r="D275" s="86" t="s">
        <v>1471</v>
      </c>
      <c r="E275" s="86">
        <v>51</v>
      </c>
      <c r="F275" s="86" t="s">
        <v>14</v>
      </c>
      <c r="G275" s="86" t="s">
        <v>15</v>
      </c>
      <c r="H275" s="86" t="s">
        <v>1472</v>
      </c>
      <c r="I275" s="86" t="s">
        <v>851</v>
      </c>
      <c r="J275" s="86" t="s">
        <v>1260</v>
      </c>
      <c r="K275" s="99">
        <v>7</v>
      </c>
      <c r="L275" s="97">
        <v>1158144</v>
      </c>
      <c r="M275" s="91" t="s">
        <v>832</v>
      </c>
    </row>
    <row r="276" spans="1:13" x14ac:dyDescent="0.25">
      <c r="A276" s="105" t="s">
        <v>373</v>
      </c>
      <c r="B276" s="82">
        <v>2010324</v>
      </c>
      <c r="C276" s="82">
        <v>8409</v>
      </c>
      <c r="D276" s="82" t="s">
        <v>1473</v>
      </c>
      <c r="E276" s="82">
        <v>63</v>
      </c>
      <c r="F276" s="82" t="s">
        <v>1474</v>
      </c>
      <c r="G276" s="82" t="s">
        <v>15</v>
      </c>
      <c r="H276" s="82" t="s">
        <v>1475</v>
      </c>
      <c r="I276" s="82" t="s">
        <v>1241</v>
      </c>
      <c r="J276" s="82" t="s">
        <v>1288</v>
      </c>
      <c r="K276" s="83">
        <v>2</v>
      </c>
      <c r="L276" s="84">
        <v>117892</v>
      </c>
      <c r="M276" s="85" t="s">
        <v>832</v>
      </c>
    </row>
    <row r="277" spans="1:13" x14ac:dyDescent="0.25">
      <c r="A277" s="104" t="s">
        <v>373</v>
      </c>
      <c r="B277" s="87">
        <v>2019637</v>
      </c>
      <c r="C277" s="87">
        <v>10170</v>
      </c>
      <c r="D277" s="87" t="s">
        <v>1476</v>
      </c>
      <c r="E277" s="87">
        <v>64</v>
      </c>
      <c r="F277" s="87" t="s">
        <v>22</v>
      </c>
      <c r="G277" s="87" t="s">
        <v>22</v>
      </c>
      <c r="H277" s="87" t="s">
        <v>445</v>
      </c>
      <c r="I277" s="87" t="s">
        <v>1477</v>
      </c>
      <c r="J277" s="87" t="s">
        <v>1225</v>
      </c>
      <c r="K277" s="95" t="s">
        <v>714</v>
      </c>
      <c r="L277" s="96">
        <v>46200</v>
      </c>
      <c r="M277" s="91" t="s">
        <v>832</v>
      </c>
    </row>
    <row r="278" spans="1:13" x14ac:dyDescent="0.25">
      <c r="A278" s="105" t="s">
        <v>373</v>
      </c>
      <c r="B278" s="82">
        <v>2012118</v>
      </c>
      <c r="C278" s="82">
        <v>18259</v>
      </c>
      <c r="D278" s="82" t="s">
        <v>619</v>
      </c>
      <c r="E278" s="82">
        <v>69</v>
      </c>
      <c r="F278" s="82" t="s">
        <v>49</v>
      </c>
      <c r="G278" s="82" t="s">
        <v>15</v>
      </c>
      <c r="H278" s="82" t="s">
        <v>1478</v>
      </c>
      <c r="I278" s="82" t="s">
        <v>1479</v>
      </c>
      <c r="J278" s="82" t="s">
        <v>1225</v>
      </c>
      <c r="K278" s="83" t="s">
        <v>714</v>
      </c>
      <c r="L278" s="84">
        <v>122</v>
      </c>
      <c r="M278" s="85" t="s">
        <v>832</v>
      </c>
    </row>
    <row r="279" spans="1:13" x14ac:dyDescent="0.25">
      <c r="A279" s="104" t="s">
        <v>373</v>
      </c>
      <c r="B279" s="88">
        <v>2012118</v>
      </c>
      <c r="C279" s="87">
        <v>18259</v>
      </c>
      <c r="D279" s="88" t="s">
        <v>619</v>
      </c>
      <c r="E279" s="88">
        <v>63</v>
      </c>
      <c r="F279" s="88" t="s">
        <v>49</v>
      </c>
      <c r="G279" s="88" t="s">
        <v>15</v>
      </c>
      <c r="H279" s="88" t="s">
        <v>1480</v>
      </c>
      <c r="I279" s="88" t="s">
        <v>1264</v>
      </c>
      <c r="J279" s="88" t="s">
        <v>1264</v>
      </c>
      <c r="K279" s="95" t="s">
        <v>714</v>
      </c>
      <c r="L279" s="90">
        <v>51566</v>
      </c>
      <c r="M279" s="91" t="s">
        <v>832</v>
      </c>
    </row>
    <row r="280" spans="1:13" ht="31.5" x14ac:dyDescent="0.25">
      <c r="A280" s="105" t="s">
        <v>373</v>
      </c>
      <c r="B280" s="93">
        <v>2020043</v>
      </c>
      <c r="C280" s="82">
        <v>18791</v>
      </c>
      <c r="D280" s="93" t="s">
        <v>1200</v>
      </c>
      <c r="E280" s="93">
        <v>66</v>
      </c>
      <c r="F280" s="93" t="s">
        <v>49</v>
      </c>
      <c r="G280" s="93" t="s">
        <v>15</v>
      </c>
      <c r="H280" s="93" t="s">
        <v>1203</v>
      </c>
      <c r="I280" s="93" t="s">
        <v>1481</v>
      </c>
      <c r="J280" s="93" t="s">
        <v>1264</v>
      </c>
      <c r="K280" s="83" t="s">
        <v>714</v>
      </c>
      <c r="L280" s="94">
        <v>50000</v>
      </c>
      <c r="M280" s="85" t="s">
        <v>832</v>
      </c>
    </row>
    <row r="281" spans="1:13" ht="31.5" x14ac:dyDescent="0.25">
      <c r="A281" s="104" t="s">
        <v>1482</v>
      </c>
      <c r="B281" s="86">
        <v>2003008</v>
      </c>
      <c r="C281" s="87">
        <v>53413</v>
      </c>
      <c r="D281" s="86" t="s">
        <v>1483</v>
      </c>
      <c r="E281" s="86">
        <v>64</v>
      </c>
      <c r="F281" s="86" t="s">
        <v>60</v>
      </c>
      <c r="G281" s="86" t="s">
        <v>22</v>
      </c>
      <c r="H281" s="86" t="s">
        <v>1484</v>
      </c>
      <c r="I281" s="86" t="s">
        <v>1260</v>
      </c>
      <c r="J281" s="88" t="s">
        <v>1260</v>
      </c>
      <c r="K281" s="89" t="s">
        <v>556</v>
      </c>
      <c r="L281" s="97">
        <v>43474</v>
      </c>
      <c r="M281" s="91" t="s">
        <v>832</v>
      </c>
    </row>
    <row r="282" spans="1:13" x14ac:dyDescent="0.25">
      <c r="A282" s="105" t="s">
        <v>1482</v>
      </c>
      <c r="B282" s="92">
        <v>2507394</v>
      </c>
      <c r="C282" s="82">
        <v>60168</v>
      </c>
      <c r="D282" s="92" t="s">
        <v>1485</v>
      </c>
      <c r="E282" s="92">
        <v>60</v>
      </c>
      <c r="F282" s="92" t="s">
        <v>60</v>
      </c>
      <c r="G282" s="92" t="s">
        <v>22</v>
      </c>
      <c r="H282" s="92" t="s">
        <v>1297</v>
      </c>
      <c r="I282" s="92" t="s">
        <v>1260</v>
      </c>
      <c r="J282" s="93" t="s">
        <v>1260</v>
      </c>
      <c r="K282" s="98" t="s">
        <v>556</v>
      </c>
      <c r="L282" s="101">
        <v>34317</v>
      </c>
      <c r="M282" s="85" t="s">
        <v>832</v>
      </c>
    </row>
    <row r="283" spans="1:13" ht="21" x14ac:dyDescent="0.25">
      <c r="A283" s="104" t="s">
        <v>1482</v>
      </c>
      <c r="B283" s="87">
        <v>2511271</v>
      </c>
      <c r="C283" s="87">
        <v>62552</v>
      </c>
      <c r="D283" s="87" t="s">
        <v>1486</v>
      </c>
      <c r="E283" s="87">
        <v>14</v>
      </c>
      <c r="F283" s="87" t="s">
        <v>60</v>
      </c>
      <c r="G283" s="87" t="s">
        <v>132</v>
      </c>
      <c r="H283" s="86" t="s">
        <v>633</v>
      </c>
      <c r="I283" s="86" t="s">
        <v>1487</v>
      </c>
      <c r="J283" s="86" t="s">
        <v>1238</v>
      </c>
      <c r="K283" s="95" t="s">
        <v>623</v>
      </c>
      <c r="L283" s="96">
        <v>9025</v>
      </c>
      <c r="M283" s="91" t="s">
        <v>832</v>
      </c>
    </row>
    <row r="284" spans="1:13" ht="21" x14ac:dyDescent="0.25">
      <c r="A284" s="105" t="s">
        <v>1482</v>
      </c>
      <c r="B284" s="82">
        <v>2602064</v>
      </c>
      <c r="C284" s="82">
        <v>77476</v>
      </c>
      <c r="D284" s="82" t="s">
        <v>1488</v>
      </c>
      <c r="E284" s="82">
        <v>34</v>
      </c>
      <c r="F284" s="82" t="s">
        <v>1489</v>
      </c>
      <c r="G284" s="82" t="s">
        <v>15</v>
      </c>
      <c r="H284" s="92" t="s">
        <v>1490</v>
      </c>
      <c r="I284" s="92" t="s">
        <v>860</v>
      </c>
      <c r="J284" s="92" t="s">
        <v>1241</v>
      </c>
      <c r="K284" s="83">
        <v>5</v>
      </c>
      <c r="L284" s="84">
        <v>91953</v>
      </c>
      <c r="M284" s="85" t="s">
        <v>832</v>
      </c>
    </row>
    <row r="285" spans="1:13" x14ac:dyDescent="0.25">
      <c r="A285" s="104" t="s">
        <v>1482</v>
      </c>
      <c r="B285" s="87">
        <v>2023134</v>
      </c>
      <c r="C285" s="87">
        <v>18670</v>
      </c>
      <c r="D285" s="87" t="s">
        <v>1491</v>
      </c>
      <c r="E285" s="87">
        <v>49</v>
      </c>
      <c r="F285" s="87" t="s">
        <v>49</v>
      </c>
      <c r="G285" s="87" t="s">
        <v>15</v>
      </c>
      <c r="H285" s="86" t="s">
        <v>1492</v>
      </c>
      <c r="I285" s="86" t="s">
        <v>1241</v>
      </c>
      <c r="J285" s="86" t="s">
        <v>1241</v>
      </c>
      <c r="K285" s="89" t="s">
        <v>556</v>
      </c>
      <c r="L285" s="96">
        <v>21098</v>
      </c>
      <c r="M285" s="91" t="s">
        <v>832</v>
      </c>
    </row>
    <row r="286" spans="1:13" x14ac:dyDescent="0.25">
      <c r="A286" s="105" t="s">
        <v>1482</v>
      </c>
      <c r="B286" s="82">
        <v>2002546</v>
      </c>
      <c r="C286" s="82">
        <v>107206</v>
      </c>
      <c r="D286" s="82" t="s">
        <v>1493</v>
      </c>
      <c r="E286" s="82">
        <v>63</v>
      </c>
      <c r="F286" s="82" t="s">
        <v>1494</v>
      </c>
      <c r="G286" s="82" t="s">
        <v>15</v>
      </c>
      <c r="H286" s="82" t="s">
        <v>1495</v>
      </c>
      <c r="I286" s="82" t="s">
        <v>901</v>
      </c>
      <c r="J286" s="82" t="s">
        <v>1288</v>
      </c>
      <c r="K286" s="83">
        <v>11</v>
      </c>
      <c r="L286" s="84">
        <v>174027.96</v>
      </c>
      <c r="M286" s="85" t="s">
        <v>832</v>
      </c>
    </row>
    <row r="287" spans="1:13" x14ac:dyDescent="0.25">
      <c r="A287" s="104" t="s">
        <v>1482</v>
      </c>
      <c r="B287" s="87">
        <v>2504059</v>
      </c>
      <c r="C287" s="87">
        <v>43518</v>
      </c>
      <c r="D287" s="87" t="s">
        <v>1411</v>
      </c>
      <c r="E287" s="87">
        <v>53</v>
      </c>
      <c r="F287" s="87" t="s">
        <v>1412</v>
      </c>
      <c r="G287" s="87" t="s">
        <v>15</v>
      </c>
      <c r="H287" s="87" t="s">
        <v>1413</v>
      </c>
      <c r="I287" s="87" t="s">
        <v>1288</v>
      </c>
      <c r="J287" s="87" t="s">
        <v>1288</v>
      </c>
      <c r="K287" s="89" t="s">
        <v>556</v>
      </c>
      <c r="L287" s="96">
        <v>10676.49</v>
      </c>
      <c r="M287" s="91" t="s">
        <v>832</v>
      </c>
    </row>
    <row r="288" spans="1:13" x14ac:dyDescent="0.25">
      <c r="A288" s="105" t="s">
        <v>1482</v>
      </c>
      <c r="B288" s="82">
        <v>2022483</v>
      </c>
      <c r="C288" s="82">
        <v>80695</v>
      </c>
      <c r="D288" s="82" t="s">
        <v>1496</v>
      </c>
      <c r="E288" s="82">
        <v>3</v>
      </c>
      <c r="F288" s="82" t="s">
        <v>1497</v>
      </c>
      <c r="G288" s="82" t="s">
        <v>132</v>
      </c>
      <c r="H288" s="82" t="s">
        <v>1498</v>
      </c>
      <c r="I288" s="82" t="s">
        <v>1236</v>
      </c>
      <c r="J288" s="82" t="s">
        <v>1231</v>
      </c>
      <c r="K288" s="83">
        <v>7</v>
      </c>
      <c r="L288" s="84">
        <v>94977.41</v>
      </c>
      <c r="M288" s="85" t="s">
        <v>832</v>
      </c>
    </row>
    <row r="289" spans="1:13" x14ac:dyDescent="0.25">
      <c r="A289" s="104" t="s">
        <v>1482</v>
      </c>
      <c r="B289" s="87">
        <v>2007595</v>
      </c>
      <c r="C289" s="87">
        <v>17708</v>
      </c>
      <c r="D289" s="87" t="s">
        <v>852</v>
      </c>
      <c r="E289" s="87">
        <v>65</v>
      </c>
      <c r="F289" s="87" t="s">
        <v>1499</v>
      </c>
      <c r="G289" s="87" t="s">
        <v>15</v>
      </c>
      <c r="H289" s="87" t="s">
        <v>1500</v>
      </c>
      <c r="I289" s="87" t="s">
        <v>1249</v>
      </c>
      <c r="J289" s="87" t="s">
        <v>1231</v>
      </c>
      <c r="K289" s="95">
        <v>3</v>
      </c>
      <c r="L289" s="96">
        <v>68426</v>
      </c>
      <c r="M289" s="91" t="s">
        <v>832</v>
      </c>
    </row>
    <row r="290" spans="1:13" ht="21" x14ac:dyDescent="0.25">
      <c r="A290" s="105" t="s">
        <v>1482</v>
      </c>
      <c r="B290" s="93">
        <v>2017742</v>
      </c>
      <c r="C290" s="82">
        <v>37239</v>
      </c>
      <c r="D290" s="93" t="s">
        <v>1501</v>
      </c>
      <c r="E290" s="93">
        <v>58</v>
      </c>
      <c r="F290" s="93" t="s">
        <v>60</v>
      </c>
      <c r="G290" s="93" t="s">
        <v>22</v>
      </c>
      <c r="H290" s="93" t="s">
        <v>514</v>
      </c>
      <c r="I290" s="93" t="s">
        <v>1426</v>
      </c>
      <c r="J290" s="93" t="s">
        <v>1264</v>
      </c>
      <c r="K290" s="83" t="s">
        <v>623</v>
      </c>
      <c r="L290" s="94">
        <v>9025</v>
      </c>
      <c r="M290" s="85" t="s">
        <v>832</v>
      </c>
    </row>
    <row r="291" spans="1:13" ht="31.5" x14ac:dyDescent="0.25">
      <c r="A291" s="104" t="s">
        <v>1482</v>
      </c>
      <c r="B291" s="88">
        <v>2502014</v>
      </c>
      <c r="C291" s="87">
        <v>54467</v>
      </c>
      <c r="D291" s="88" t="s">
        <v>1081</v>
      </c>
      <c r="E291" s="88">
        <v>63</v>
      </c>
      <c r="F291" s="88" t="s">
        <v>60</v>
      </c>
      <c r="G291" s="88" t="s">
        <v>22</v>
      </c>
      <c r="H291" s="88" t="s">
        <v>1082</v>
      </c>
      <c r="I291" s="88" t="s">
        <v>1083</v>
      </c>
      <c r="J291" s="88" t="s">
        <v>835</v>
      </c>
      <c r="K291" s="89">
        <v>7</v>
      </c>
      <c r="L291" s="90">
        <v>367854.81</v>
      </c>
      <c r="M291" s="91" t="s">
        <v>832</v>
      </c>
    </row>
    <row r="292" spans="1:13" x14ac:dyDescent="0.25">
      <c r="A292" s="105" t="s">
        <v>1482</v>
      </c>
      <c r="B292" s="93">
        <v>2011004</v>
      </c>
      <c r="C292" s="82">
        <v>101184</v>
      </c>
      <c r="D292" s="93" t="s">
        <v>261</v>
      </c>
      <c r="E292" s="93">
        <v>64</v>
      </c>
      <c r="F292" s="93" t="s">
        <v>999</v>
      </c>
      <c r="G292" s="93" t="s">
        <v>15</v>
      </c>
      <c r="H292" s="93" t="s">
        <v>712</v>
      </c>
      <c r="I292" s="93" t="s">
        <v>193</v>
      </c>
      <c r="J292" s="93" t="s">
        <v>835</v>
      </c>
      <c r="K292" s="98">
        <v>4</v>
      </c>
      <c r="L292" s="94">
        <v>137879</v>
      </c>
      <c r="M292" s="85" t="s">
        <v>832</v>
      </c>
    </row>
    <row r="293" spans="1:13" ht="21" x14ac:dyDescent="0.25">
      <c r="A293" s="104" t="s">
        <v>1482</v>
      </c>
      <c r="B293" s="87">
        <v>2003191</v>
      </c>
      <c r="C293" s="87">
        <v>54549</v>
      </c>
      <c r="D293" s="87" t="s">
        <v>994</v>
      </c>
      <c r="E293" s="87">
        <v>65</v>
      </c>
      <c r="F293" s="87" t="s">
        <v>60</v>
      </c>
      <c r="G293" s="87" t="s">
        <v>22</v>
      </c>
      <c r="H293" s="86" t="s">
        <v>1187</v>
      </c>
      <c r="I293" s="86" t="s">
        <v>1188</v>
      </c>
      <c r="J293" s="87" t="s">
        <v>834</v>
      </c>
      <c r="K293" s="95" t="s">
        <v>714</v>
      </c>
      <c r="L293" s="96">
        <v>139182.6</v>
      </c>
      <c r="M293" s="91" t="s">
        <v>832</v>
      </c>
    </row>
    <row r="294" spans="1:13" ht="21" x14ac:dyDescent="0.25">
      <c r="A294" s="105" t="s">
        <v>1482</v>
      </c>
      <c r="B294" s="82">
        <v>2407253</v>
      </c>
      <c r="C294" s="82">
        <v>18992</v>
      </c>
      <c r="D294" s="82" t="s">
        <v>1177</v>
      </c>
      <c r="E294" s="82">
        <v>57</v>
      </c>
      <c r="F294" s="82" t="s">
        <v>60</v>
      </c>
      <c r="G294" s="82" t="s">
        <v>22</v>
      </c>
      <c r="H294" s="92" t="s">
        <v>514</v>
      </c>
      <c r="I294" s="92" t="s">
        <v>1178</v>
      </c>
      <c r="J294" s="82" t="s">
        <v>834</v>
      </c>
      <c r="K294" s="83" t="s">
        <v>623</v>
      </c>
      <c r="L294" s="84">
        <v>9025</v>
      </c>
      <c r="M294" s="85" t="s">
        <v>832</v>
      </c>
    </row>
    <row r="295" spans="1:13" x14ac:dyDescent="0.25">
      <c r="A295" s="104" t="s">
        <v>1482</v>
      </c>
      <c r="B295" s="88">
        <v>2022978</v>
      </c>
      <c r="C295" s="87">
        <v>61074</v>
      </c>
      <c r="D295" s="86" t="s">
        <v>861</v>
      </c>
      <c r="E295" s="86">
        <v>62</v>
      </c>
      <c r="F295" s="86" t="s">
        <v>862</v>
      </c>
      <c r="G295" s="88" t="s">
        <v>22</v>
      </c>
      <c r="H295" s="88" t="s">
        <v>863</v>
      </c>
      <c r="I295" s="88" t="s">
        <v>834</v>
      </c>
      <c r="J295" s="88" t="s">
        <v>843</v>
      </c>
      <c r="K295" s="89">
        <v>2</v>
      </c>
      <c r="L295" s="90">
        <v>88917.6</v>
      </c>
      <c r="M295" s="91" t="s">
        <v>832</v>
      </c>
    </row>
    <row r="296" spans="1:13" ht="31.5" x14ac:dyDescent="0.25">
      <c r="A296" s="105" t="s">
        <v>1482</v>
      </c>
      <c r="B296" s="82">
        <v>2009676</v>
      </c>
      <c r="C296" s="82">
        <v>101152</v>
      </c>
      <c r="D296" s="82" t="s">
        <v>1071</v>
      </c>
      <c r="E296" s="82">
        <v>68</v>
      </c>
      <c r="F296" s="82" t="s">
        <v>49</v>
      </c>
      <c r="G296" s="82" t="s">
        <v>15</v>
      </c>
      <c r="H296" s="92" t="s">
        <v>1072</v>
      </c>
      <c r="I296" s="92" t="s">
        <v>1073</v>
      </c>
      <c r="J296" s="82" t="s">
        <v>831</v>
      </c>
      <c r="K296" s="83">
        <v>7</v>
      </c>
      <c r="L296" s="84">
        <v>76880</v>
      </c>
      <c r="M296" s="85" t="s">
        <v>832</v>
      </c>
    </row>
    <row r="297" spans="1:13" x14ac:dyDescent="0.25">
      <c r="A297" s="104" t="s">
        <v>1482</v>
      </c>
      <c r="B297" s="87">
        <v>2017426</v>
      </c>
      <c r="C297" s="87">
        <v>103194</v>
      </c>
      <c r="D297" s="87" t="s">
        <v>1003</v>
      </c>
      <c r="E297" s="87">
        <v>57</v>
      </c>
      <c r="F297" s="87" t="s">
        <v>1004</v>
      </c>
      <c r="G297" s="87" t="s">
        <v>15</v>
      </c>
      <c r="H297" s="86" t="s">
        <v>1005</v>
      </c>
      <c r="I297" s="86" t="s">
        <v>834</v>
      </c>
      <c r="J297" s="87" t="s">
        <v>846</v>
      </c>
      <c r="K297" s="95">
        <v>4</v>
      </c>
      <c r="L297" s="96">
        <v>154345.79</v>
      </c>
      <c r="M297" s="91" t="s">
        <v>832</v>
      </c>
    </row>
    <row r="298" spans="1:13" x14ac:dyDescent="0.25">
      <c r="A298" s="105" t="s">
        <v>1482</v>
      </c>
      <c r="B298" s="82">
        <v>2003191</v>
      </c>
      <c r="C298" s="82">
        <v>54549</v>
      </c>
      <c r="D298" s="82" t="s">
        <v>994</v>
      </c>
      <c r="E298" s="82">
        <v>66</v>
      </c>
      <c r="F298" s="82" t="s">
        <v>60</v>
      </c>
      <c r="G298" s="82" t="s">
        <v>22</v>
      </c>
      <c r="H298" s="92"/>
      <c r="I298" s="92" t="s">
        <v>880</v>
      </c>
      <c r="J298" s="82" t="s">
        <v>896</v>
      </c>
      <c r="K298" s="83">
        <v>4</v>
      </c>
      <c r="L298" s="84">
        <v>114180</v>
      </c>
      <c r="M298" s="85" t="s">
        <v>832</v>
      </c>
    </row>
    <row r="299" spans="1:13" ht="21" x14ac:dyDescent="0.25">
      <c r="A299" s="104" t="s">
        <v>1482</v>
      </c>
      <c r="B299" s="87">
        <v>2021085</v>
      </c>
      <c r="C299" s="87">
        <v>18867</v>
      </c>
      <c r="D299" s="87" t="s">
        <v>1151</v>
      </c>
      <c r="E299" s="87">
        <v>64</v>
      </c>
      <c r="F299" s="87" t="s">
        <v>60</v>
      </c>
      <c r="G299" s="87" t="s">
        <v>22</v>
      </c>
      <c r="H299" s="86" t="s">
        <v>1152</v>
      </c>
      <c r="I299" s="86" t="s">
        <v>1153</v>
      </c>
      <c r="J299" s="87" t="s">
        <v>851</v>
      </c>
      <c r="K299" s="95" t="s">
        <v>556</v>
      </c>
      <c r="L299" s="96">
        <v>31458.02</v>
      </c>
      <c r="M299" s="91" t="s">
        <v>832</v>
      </c>
    </row>
    <row r="300" spans="1:13" ht="21" x14ac:dyDescent="0.25">
      <c r="A300" s="105" t="s">
        <v>1482</v>
      </c>
      <c r="B300" s="82">
        <v>2013525</v>
      </c>
      <c r="C300" s="82">
        <v>10031</v>
      </c>
      <c r="D300" s="82" t="s">
        <v>959</v>
      </c>
      <c r="E300" s="82">
        <v>66</v>
      </c>
      <c r="F300" s="82" t="s">
        <v>960</v>
      </c>
      <c r="G300" s="82" t="s">
        <v>15</v>
      </c>
      <c r="H300" s="92" t="s">
        <v>961</v>
      </c>
      <c r="I300" s="92" t="s">
        <v>896</v>
      </c>
      <c r="J300" s="82" t="s">
        <v>855</v>
      </c>
      <c r="K300" s="83">
        <v>3</v>
      </c>
      <c r="L300" s="84">
        <v>58202</v>
      </c>
      <c r="M300" s="85" t="s">
        <v>832</v>
      </c>
    </row>
    <row r="301" spans="1:13" ht="21" x14ac:dyDescent="0.25">
      <c r="A301" s="104" t="s">
        <v>1482</v>
      </c>
      <c r="B301" s="87">
        <v>2002477</v>
      </c>
      <c r="C301" s="87">
        <v>18273</v>
      </c>
      <c r="D301" s="87" t="s">
        <v>1129</v>
      </c>
      <c r="E301" s="87">
        <v>68</v>
      </c>
      <c r="F301" s="87" t="s">
        <v>60</v>
      </c>
      <c r="G301" s="87" t="s">
        <v>22</v>
      </c>
      <c r="H301" s="86" t="s">
        <v>1130</v>
      </c>
      <c r="I301" s="86" t="s">
        <v>855</v>
      </c>
      <c r="J301" s="87" t="s">
        <v>855</v>
      </c>
      <c r="K301" s="95" t="s">
        <v>556</v>
      </c>
      <c r="L301" s="96">
        <v>37779.4</v>
      </c>
      <c r="M301" s="91" t="s">
        <v>832</v>
      </c>
    </row>
    <row r="302" spans="1:13" x14ac:dyDescent="0.25">
      <c r="A302" s="105" t="s">
        <v>1482</v>
      </c>
      <c r="B302" s="82">
        <v>2022978</v>
      </c>
      <c r="C302" s="82">
        <v>61074</v>
      </c>
      <c r="D302" s="82" t="s">
        <v>861</v>
      </c>
      <c r="E302" s="82">
        <v>62</v>
      </c>
      <c r="F302" s="82" t="s">
        <v>862</v>
      </c>
      <c r="G302" s="82" t="s">
        <v>22</v>
      </c>
      <c r="H302" s="92" t="s">
        <v>863</v>
      </c>
      <c r="I302" s="92" t="s">
        <v>851</v>
      </c>
      <c r="J302" s="82" t="s">
        <v>855</v>
      </c>
      <c r="K302" s="83">
        <v>1</v>
      </c>
      <c r="L302" s="84">
        <v>30621.32</v>
      </c>
      <c r="M302" s="85" t="s">
        <v>832</v>
      </c>
    </row>
    <row r="303" spans="1:13" ht="21" x14ac:dyDescent="0.25">
      <c r="A303" s="104" t="s">
        <v>1482</v>
      </c>
      <c r="B303" s="87">
        <v>2017742</v>
      </c>
      <c r="C303" s="87">
        <v>37239</v>
      </c>
      <c r="D303" s="87" t="s">
        <v>1171</v>
      </c>
      <c r="E303" s="87">
        <v>58</v>
      </c>
      <c r="F303" s="87" t="s">
        <v>60</v>
      </c>
      <c r="G303" s="87" t="s">
        <v>22</v>
      </c>
      <c r="H303" s="86" t="s">
        <v>514</v>
      </c>
      <c r="I303" s="86" t="s">
        <v>1172</v>
      </c>
      <c r="J303" s="87" t="s">
        <v>855</v>
      </c>
      <c r="K303" s="95" t="s">
        <v>623</v>
      </c>
      <c r="L303" s="96">
        <v>9726</v>
      </c>
      <c r="M303" s="91" t="s">
        <v>832</v>
      </c>
    </row>
    <row r="304" spans="1:13" ht="21" x14ac:dyDescent="0.25">
      <c r="A304" s="105" t="s">
        <v>1482</v>
      </c>
      <c r="B304" s="92">
        <v>2407217</v>
      </c>
      <c r="C304" s="82">
        <v>62010</v>
      </c>
      <c r="D304" s="92" t="s">
        <v>1079</v>
      </c>
      <c r="E304" s="92">
        <v>59</v>
      </c>
      <c r="F304" s="92" t="s">
        <v>126</v>
      </c>
      <c r="G304" s="92" t="s">
        <v>22</v>
      </c>
      <c r="H304" s="92" t="s">
        <v>1080</v>
      </c>
      <c r="I304" s="92" t="s">
        <v>843</v>
      </c>
      <c r="J304" s="93" t="s">
        <v>909</v>
      </c>
      <c r="K304" s="100">
        <v>7</v>
      </c>
      <c r="L304" s="101">
        <v>246586</v>
      </c>
      <c r="M304" s="85" t="s">
        <v>832</v>
      </c>
    </row>
    <row r="305" spans="1:13" ht="31.5" x14ac:dyDescent="0.25">
      <c r="A305" s="104" t="s">
        <v>1482</v>
      </c>
      <c r="B305" s="88">
        <v>2001808</v>
      </c>
      <c r="C305" s="87">
        <v>19290</v>
      </c>
      <c r="D305" s="88" t="s">
        <v>1096</v>
      </c>
      <c r="E305" s="88">
        <v>69</v>
      </c>
      <c r="F305" s="88" t="s">
        <v>1097</v>
      </c>
      <c r="G305" s="88" t="s">
        <v>22</v>
      </c>
      <c r="H305" s="88" t="s">
        <v>1098</v>
      </c>
      <c r="I305" s="88" t="s">
        <v>873</v>
      </c>
      <c r="J305" s="88" t="s">
        <v>909</v>
      </c>
      <c r="K305" s="89">
        <v>11</v>
      </c>
      <c r="L305" s="90">
        <v>136236</v>
      </c>
      <c r="M305" s="91" t="s">
        <v>832</v>
      </c>
    </row>
    <row r="306" spans="1:13" x14ac:dyDescent="0.25">
      <c r="A306" s="105" t="s">
        <v>1482</v>
      </c>
      <c r="B306" s="82">
        <v>2018317</v>
      </c>
      <c r="C306" s="82">
        <v>75670</v>
      </c>
      <c r="D306" s="82" t="s">
        <v>1052</v>
      </c>
      <c r="E306" s="82">
        <v>16</v>
      </c>
      <c r="F306" s="82" t="s">
        <v>1053</v>
      </c>
      <c r="G306" s="82" t="s">
        <v>132</v>
      </c>
      <c r="H306" s="82" t="s">
        <v>89</v>
      </c>
      <c r="I306" s="92" t="s">
        <v>896</v>
      </c>
      <c r="J306" s="92" t="s">
        <v>860</v>
      </c>
      <c r="K306" s="83">
        <v>5</v>
      </c>
      <c r="L306" s="84">
        <v>69935</v>
      </c>
      <c r="M306" s="85" t="s">
        <v>832</v>
      </c>
    </row>
    <row r="307" spans="1:13" ht="31.5" x14ac:dyDescent="0.25">
      <c r="A307" s="104" t="s">
        <v>1482</v>
      </c>
      <c r="B307" s="87">
        <v>2001273</v>
      </c>
      <c r="C307" s="87">
        <v>20535</v>
      </c>
      <c r="D307" s="87" t="s">
        <v>1027</v>
      </c>
      <c r="E307" s="87">
        <v>50</v>
      </c>
      <c r="F307" s="87" t="s">
        <v>60</v>
      </c>
      <c r="G307" s="87" t="s">
        <v>22</v>
      </c>
      <c r="H307" s="86" t="s">
        <v>1028</v>
      </c>
      <c r="I307" s="86" t="s">
        <v>1029</v>
      </c>
      <c r="J307" s="87" t="s">
        <v>190</v>
      </c>
      <c r="K307" s="95">
        <v>5</v>
      </c>
      <c r="L307" s="96">
        <v>72187</v>
      </c>
      <c r="M307" s="91" t="s">
        <v>832</v>
      </c>
    </row>
    <row r="308" spans="1:13" ht="21" x14ac:dyDescent="0.25">
      <c r="A308" s="107" t="s">
        <v>1502</v>
      </c>
      <c r="B308" s="93">
        <v>2003444</v>
      </c>
      <c r="C308" s="82">
        <v>18642</v>
      </c>
      <c r="D308" s="93" t="s">
        <v>680</v>
      </c>
      <c r="E308" s="93">
        <v>64</v>
      </c>
      <c r="F308" s="93" t="s">
        <v>60</v>
      </c>
      <c r="G308" s="93" t="s">
        <v>22</v>
      </c>
      <c r="H308" s="93" t="s">
        <v>833</v>
      </c>
      <c r="I308" s="93" t="s">
        <v>834</v>
      </c>
      <c r="J308" s="93" t="s">
        <v>835</v>
      </c>
      <c r="K308" s="98">
        <v>1</v>
      </c>
      <c r="L308" s="94">
        <v>82225</v>
      </c>
      <c r="M308" s="85" t="s">
        <v>832</v>
      </c>
    </row>
    <row r="309" spans="1:13" ht="21" x14ac:dyDescent="0.25">
      <c r="A309" s="106" t="s">
        <v>1502</v>
      </c>
      <c r="B309" s="88">
        <v>200456</v>
      </c>
      <c r="C309" s="87">
        <v>54164</v>
      </c>
      <c r="D309" s="88" t="s">
        <v>1126</v>
      </c>
      <c r="E309" s="88">
        <v>64</v>
      </c>
      <c r="F309" s="88" t="s">
        <v>14</v>
      </c>
      <c r="G309" s="88" t="s">
        <v>15</v>
      </c>
      <c r="H309" s="88" t="s">
        <v>842</v>
      </c>
      <c r="I309" s="88" t="s">
        <v>880</v>
      </c>
      <c r="J309" s="88" t="s">
        <v>880</v>
      </c>
      <c r="K309" s="95" t="s">
        <v>556</v>
      </c>
      <c r="L309" s="90">
        <v>62277</v>
      </c>
      <c r="M309" s="91" t="s">
        <v>832</v>
      </c>
    </row>
    <row r="310" spans="1:13" ht="31.5" x14ac:dyDescent="0.25">
      <c r="A310" s="107" t="s">
        <v>1502</v>
      </c>
      <c r="B310" s="82">
        <v>2011456</v>
      </c>
      <c r="C310" s="82">
        <v>54164</v>
      </c>
      <c r="D310" s="82" t="s">
        <v>1126</v>
      </c>
      <c r="E310" s="82">
        <v>63</v>
      </c>
      <c r="F310" s="82" t="s">
        <v>49</v>
      </c>
      <c r="G310" s="82" t="s">
        <v>15</v>
      </c>
      <c r="H310" s="92" t="s">
        <v>1134</v>
      </c>
      <c r="I310" s="92" t="s">
        <v>1135</v>
      </c>
      <c r="J310" s="82" t="s">
        <v>880</v>
      </c>
      <c r="K310" s="83" t="s">
        <v>556</v>
      </c>
      <c r="L310" s="84">
        <v>62277</v>
      </c>
      <c r="M310" s="85" t="s">
        <v>832</v>
      </c>
    </row>
    <row r="311" spans="1:13" x14ac:dyDescent="0.25">
      <c r="A311" s="106" t="s">
        <v>1502</v>
      </c>
      <c r="B311" s="88">
        <v>2009519</v>
      </c>
      <c r="C311" s="87">
        <v>14587</v>
      </c>
      <c r="D311" s="88" t="s">
        <v>1041</v>
      </c>
      <c r="E311" s="88">
        <v>60</v>
      </c>
      <c r="F311" s="88" t="s">
        <v>14</v>
      </c>
      <c r="G311" s="88" t="s">
        <v>15</v>
      </c>
      <c r="H311" s="88" t="s">
        <v>1042</v>
      </c>
      <c r="I311" s="88" t="s">
        <v>1043</v>
      </c>
      <c r="J311" s="88" t="s">
        <v>846</v>
      </c>
      <c r="K311" s="89">
        <v>5</v>
      </c>
      <c r="L311" s="90">
        <v>41803</v>
      </c>
      <c r="M311" s="91" t="s">
        <v>832</v>
      </c>
    </row>
    <row r="312" spans="1:13" ht="31.5" x14ac:dyDescent="0.25">
      <c r="A312" s="107" t="s">
        <v>1502</v>
      </c>
      <c r="B312" s="82">
        <v>2020636</v>
      </c>
      <c r="C312" s="82">
        <v>18572</v>
      </c>
      <c r="D312" s="82" t="s">
        <v>968</v>
      </c>
      <c r="E312" s="82">
        <v>63</v>
      </c>
      <c r="F312" s="82" t="s">
        <v>969</v>
      </c>
      <c r="G312" s="82" t="s">
        <v>22</v>
      </c>
      <c r="H312" s="92" t="s">
        <v>970</v>
      </c>
      <c r="I312" s="92" t="s">
        <v>831</v>
      </c>
      <c r="J312" s="82" t="s">
        <v>901</v>
      </c>
      <c r="K312" s="83">
        <v>3</v>
      </c>
      <c r="L312" s="84">
        <v>127240</v>
      </c>
      <c r="M312" s="85" t="s">
        <v>832</v>
      </c>
    </row>
    <row r="313" spans="1:13" x14ac:dyDescent="0.25">
      <c r="A313" s="106" t="s">
        <v>1502</v>
      </c>
      <c r="B313" s="87">
        <v>2002754</v>
      </c>
      <c r="C313" s="87">
        <v>11467</v>
      </c>
      <c r="D313" s="87" t="s">
        <v>671</v>
      </c>
      <c r="E313" s="87">
        <v>74</v>
      </c>
      <c r="F313" s="87" t="s">
        <v>60</v>
      </c>
      <c r="G313" s="87" t="s">
        <v>22</v>
      </c>
      <c r="H313" s="86" t="s">
        <v>655</v>
      </c>
      <c r="I313" s="86" t="s">
        <v>901</v>
      </c>
      <c r="J313" s="87" t="s">
        <v>901</v>
      </c>
      <c r="K313" s="95" t="s">
        <v>623</v>
      </c>
      <c r="L313" s="96">
        <v>9025</v>
      </c>
      <c r="M313" s="91" t="s">
        <v>832</v>
      </c>
    </row>
    <row r="314" spans="1:13" ht="21" x14ac:dyDescent="0.25">
      <c r="A314" s="107" t="s">
        <v>1502</v>
      </c>
      <c r="B314" s="82">
        <v>2003444</v>
      </c>
      <c r="C314" s="82">
        <v>18642</v>
      </c>
      <c r="D314" s="82" t="s">
        <v>680</v>
      </c>
      <c r="E314" s="82">
        <v>63</v>
      </c>
      <c r="F314" s="82" t="s">
        <v>60</v>
      </c>
      <c r="G314" s="82" t="s">
        <v>22</v>
      </c>
      <c r="H314" s="92" t="s">
        <v>833</v>
      </c>
      <c r="I314" s="92" t="s">
        <v>855</v>
      </c>
      <c r="J314" s="82" t="s">
        <v>855</v>
      </c>
      <c r="K314" s="83" t="s">
        <v>623</v>
      </c>
      <c r="L314" s="84">
        <v>9025</v>
      </c>
      <c r="M314" s="85" t="s">
        <v>832</v>
      </c>
    </row>
    <row r="315" spans="1:13" ht="42" x14ac:dyDescent="0.25">
      <c r="A315" s="106" t="s">
        <v>1503</v>
      </c>
      <c r="B315" s="88">
        <v>2505061</v>
      </c>
      <c r="C315" s="88">
        <v>59211</v>
      </c>
      <c r="D315" s="88" t="s">
        <v>584</v>
      </c>
      <c r="E315" s="88">
        <v>59</v>
      </c>
      <c r="F315" s="88" t="s">
        <v>585</v>
      </c>
      <c r="G315" s="86" t="s">
        <v>22</v>
      </c>
      <c r="H315" s="86" t="s">
        <v>586</v>
      </c>
      <c r="I315" s="88" t="s">
        <v>1117</v>
      </c>
      <c r="J315" s="88" t="s">
        <v>873</v>
      </c>
      <c r="K315" s="89">
        <v>30</v>
      </c>
      <c r="L315" s="97">
        <v>535449.43999999994</v>
      </c>
      <c r="M315" s="91" t="s">
        <v>832</v>
      </c>
    </row>
    <row r="316" spans="1:13" ht="21" x14ac:dyDescent="0.25">
      <c r="A316" s="107" t="s">
        <v>1503</v>
      </c>
      <c r="B316" s="93">
        <v>2021624</v>
      </c>
      <c r="C316" s="82">
        <v>55434</v>
      </c>
      <c r="D316" s="93" t="s">
        <v>976</v>
      </c>
      <c r="E316" s="93">
        <v>55</v>
      </c>
      <c r="F316" s="93" t="s">
        <v>977</v>
      </c>
      <c r="G316" s="93" t="s">
        <v>15</v>
      </c>
      <c r="H316" s="93" t="s">
        <v>978</v>
      </c>
      <c r="I316" s="93" t="s">
        <v>873</v>
      </c>
      <c r="J316" s="93" t="s">
        <v>880</v>
      </c>
      <c r="K316" s="98">
        <v>3</v>
      </c>
      <c r="L316" s="94">
        <v>85084</v>
      </c>
      <c r="M316" s="85" t="s">
        <v>832</v>
      </c>
    </row>
    <row r="317" spans="1:13" ht="31.5" x14ac:dyDescent="0.25">
      <c r="A317" s="106" t="s">
        <v>1503</v>
      </c>
      <c r="B317" s="87">
        <v>2022358</v>
      </c>
      <c r="C317" s="87">
        <v>18774</v>
      </c>
      <c r="D317" s="87" t="s">
        <v>1054</v>
      </c>
      <c r="E317" s="87">
        <v>60</v>
      </c>
      <c r="F317" s="87" t="s">
        <v>60</v>
      </c>
      <c r="G317" s="87" t="s">
        <v>22</v>
      </c>
      <c r="H317" s="86" t="s">
        <v>1055</v>
      </c>
      <c r="I317" s="86" t="s">
        <v>880</v>
      </c>
      <c r="J317" s="87" t="s">
        <v>831</v>
      </c>
      <c r="K317" s="95">
        <v>5</v>
      </c>
      <c r="L317" s="96">
        <v>155922.47</v>
      </c>
      <c r="M317" s="91" t="s">
        <v>832</v>
      </c>
    </row>
    <row r="318" spans="1:13" ht="21" x14ac:dyDescent="0.25">
      <c r="A318" s="107" t="s">
        <v>1503</v>
      </c>
      <c r="B318" s="82">
        <v>2010955</v>
      </c>
      <c r="C318" s="82">
        <v>9590</v>
      </c>
      <c r="D318" s="82" t="s">
        <v>841</v>
      </c>
      <c r="E318" s="82">
        <v>70</v>
      </c>
      <c r="F318" s="82" t="s">
        <v>14</v>
      </c>
      <c r="G318" s="82" t="s">
        <v>15</v>
      </c>
      <c r="H318" s="92" t="s">
        <v>842</v>
      </c>
      <c r="I318" s="92" t="s">
        <v>843</v>
      </c>
      <c r="J318" s="82" t="s">
        <v>831</v>
      </c>
      <c r="K318" s="83">
        <v>1</v>
      </c>
      <c r="L318" s="84">
        <v>72104</v>
      </c>
      <c r="M318" s="85" t="s">
        <v>832</v>
      </c>
    </row>
    <row r="319" spans="1:13" ht="52.5" x14ac:dyDescent="0.25">
      <c r="A319" s="106" t="s">
        <v>1503</v>
      </c>
      <c r="B319" s="87">
        <v>2020509</v>
      </c>
      <c r="C319" s="87">
        <v>104396</v>
      </c>
      <c r="D319" s="87" t="s">
        <v>852</v>
      </c>
      <c r="E319" s="87">
        <v>57</v>
      </c>
      <c r="F319" s="87" t="s">
        <v>853</v>
      </c>
      <c r="G319" s="87" t="s">
        <v>15</v>
      </c>
      <c r="H319" s="86" t="s">
        <v>1090</v>
      </c>
      <c r="I319" s="86" t="s">
        <v>289</v>
      </c>
      <c r="J319" s="87" t="s">
        <v>846</v>
      </c>
      <c r="K319" s="95">
        <v>8</v>
      </c>
      <c r="L319" s="96">
        <v>117459.09</v>
      </c>
      <c r="M319" s="91" t="s">
        <v>832</v>
      </c>
    </row>
    <row r="320" spans="1:13" ht="21" x14ac:dyDescent="0.25">
      <c r="A320" s="107" t="s">
        <v>1503</v>
      </c>
      <c r="B320" s="82">
        <v>2602001</v>
      </c>
      <c r="C320" s="82">
        <v>79151</v>
      </c>
      <c r="D320" s="82" t="s">
        <v>979</v>
      </c>
      <c r="E320" s="82">
        <v>40</v>
      </c>
      <c r="F320" s="82" t="s">
        <v>980</v>
      </c>
      <c r="G320" s="82" t="s">
        <v>22</v>
      </c>
      <c r="H320" s="92" t="s">
        <v>981</v>
      </c>
      <c r="I320" s="92" t="s">
        <v>982</v>
      </c>
      <c r="J320" s="82" t="s">
        <v>855</v>
      </c>
      <c r="K320" s="83">
        <v>3</v>
      </c>
      <c r="L320" s="84">
        <v>204032.02</v>
      </c>
      <c r="M320" s="85" t="s">
        <v>832</v>
      </c>
    </row>
    <row r="321" spans="1:13" x14ac:dyDescent="0.25">
      <c r="A321" s="106" t="s">
        <v>1503</v>
      </c>
      <c r="B321" s="87">
        <v>2407209</v>
      </c>
      <c r="C321" s="87">
        <v>58921</v>
      </c>
      <c r="D321" s="87" t="s">
        <v>864</v>
      </c>
      <c r="E321" s="87">
        <v>44</v>
      </c>
      <c r="F321" s="87" t="s">
        <v>49</v>
      </c>
      <c r="G321" s="87" t="s">
        <v>15</v>
      </c>
      <c r="H321" s="87" t="s">
        <v>865</v>
      </c>
      <c r="I321" s="86" t="s">
        <v>860</v>
      </c>
      <c r="J321" s="86" t="s">
        <v>860</v>
      </c>
      <c r="K321" s="95">
        <v>1</v>
      </c>
      <c r="L321" s="96">
        <v>108021</v>
      </c>
      <c r="M321" s="91" t="s">
        <v>832</v>
      </c>
    </row>
    <row r="322" spans="1:13" ht="31.5" x14ac:dyDescent="0.25">
      <c r="A322" s="107" t="s">
        <v>1504</v>
      </c>
      <c r="B322" s="82">
        <v>2407217</v>
      </c>
      <c r="C322" s="82">
        <v>62010</v>
      </c>
      <c r="D322" s="82" t="s">
        <v>1118</v>
      </c>
      <c r="E322" s="82">
        <v>59</v>
      </c>
      <c r="F322" s="82" t="s">
        <v>1119</v>
      </c>
      <c r="G322" s="82" t="s">
        <v>22</v>
      </c>
      <c r="H322" s="92" t="s">
        <v>1120</v>
      </c>
      <c r="I322" s="92" t="s">
        <v>1121</v>
      </c>
      <c r="J322" s="82" t="s">
        <v>831</v>
      </c>
      <c r="K322" s="83">
        <v>32</v>
      </c>
      <c r="L322" s="84">
        <v>288663.15000000002</v>
      </c>
      <c r="M322" s="85" t="s">
        <v>832</v>
      </c>
    </row>
    <row r="323" spans="1:13" ht="31.5" x14ac:dyDescent="0.25">
      <c r="A323" s="106" t="s">
        <v>1504</v>
      </c>
      <c r="B323" s="88">
        <v>2011353</v>
      </c>
      <c r="C323" s="87">
        <v>14193</v>
      </c>
      <c r="D323" s="88" t="s">
        <v>1505</v>
      </c>
      <c r="E323" s="88">
        <v>66</v>
      </c>
      <c r="F323" s="88" t="s">
        <v>1506</v>
      </c>
      <c r="G323" s="88" t="s">
        <v>22</v>
      </c>
      <c r="H323" s="86" t="s">
        <v>1507</v>
      </c>
      <c r="I323" s="88" t="s">
        <v>1508</v>
      </c>
      <c r="J323" s="88" t="s">
        <v>1264</v>
      </c>
      <c r="K323" s="89">
        <v>47</v>
      </c>
      <c r="L323" s="90">
        <v>372651</v>
      </c>
      <c r="M323" s="91" t="s">
        <v>832</v>
      </c>
    </row>
    <row r="324" spans="1:13" ht="21" x14ac:dyDescent="0.25">
      <c r="A324" s="107" t="s">
        <v>1509</v>
      </c>
      <c r="B324" s="92">
        <v>2017014</v>
      </c>
      <c r="C324" s="82">
        <v>59161</v>
      </c>
      <c r="D324" s="92" t="s">
        <v>1510</v>
      </c>
      <c r="E324" s="92">
        <v>64</v>
      </c>
      <c r="F324" s="92" t="s">
        <v>60</v>
      </c>
      <c r="G324" s="92" t="s">
        <v>22</v>
      </c>
      <c r="H324" s="92" t="s">
        <v>1511</v>
      </c>
      <c r="I324" s="92" t="s">
        <v>1512</v>
      </c>
      <c r="J324" s="93" t="s">
        <v>1254</v>
      </c>
      <c r="K324" s="98">
        <v>2</v>
      </c>
      <c r="L324" s="94">
        <v>27175.1</v>
      </c>
      <c r="M324" s="85" t="s">
        <v>832</v>
      </c>
    </row>
    <row r="325" spans="1:13" ht="21" x14ac:dyDescent="0.25">
      <c r="A325" s="106" t="s">
        <v>1509</v>
      </c>
      <c r="B325" s="88">
        <v>2408158</v>
      </c>
      <c r="C325" s="87">
        <v>67453</v>
      </c>
      <c r="D325" s="88" t="s">
        <v>1513</v>
      </c>
      <c r="E325" s="88">
        <v>63</v>
      </c>
      <c r="F325" s="88" t="s">
        <v>49</v>
      </c>
      <c r="G325" s="88" t="s">
        <v>15</v>
      </c>
      <c r="H325" s="88" t="s">
        <v>1514</v>
      </c>
      <c r="I325" s="88" t="s">
        <v>1515</v>
      </c>
      <c r="J325" s="88" t="s">
        <v>1254</v>
      </c>
      <c r="K325" s="89">
        <v>1</v>
      </c>
      <c r="L325" s="97">
        <v>10546.8</v>
      </c>
      <c r="M325" s="91" t="s">
        <v>832</v>
      </c>
    </row>
    <row r="326" spans="1:13" x14ac:dyDescent="0.25">
      <c r="A326" s="103" t="s">
        <v>456</v>
      </c>
      <c r="B326" s="82">
        <v>2010871</v>
      </c>
      <c r="C326" s="82">
        <v>56685</v>
      </c>
      <c r="D326" s="82" t="s">
        <v>678</v>
      </c>
      <c r="E326" s="82">
        <v>63</v>
      </c>
      <c r="F326" s="82" t="s">
        <v>60</v>
      </c>
      <c r="G326" s="82" t="s">
        <v>22</v>
      </c>
      <c r="H326" s="82" t="s">
        <v>633</v>
      </c>
      <c r="I326" s="92" t="s">
        <v>859</v>
      </c>
      <c r="J326" s="92" t="s">
        <v>859</v>
      </c>
      <c r="K326" s="83" t="s">
        <v>623</v>
      </c>
      <c r="L326" s="84">
        <v>9025</v>
      </c>
      <c r="M326" s="85" t="s">
        <v>832</v>
      </c>
    </row>
    <row r="327" spans="1:13" x14ac:dyDescent="0.25">
      <c r="A327" s="108" t="s">
        <v>456</v>
      </c>
      <c r="B327" s="87">
        <v>2010871</v>
      </c>
      <c r="C327" s="87">
        <v>56685</v>
      </c>
      <c r="D327" s="87" t="s">
        <v>1516</v>
      </c>
      <c r="E327" s="87">
        <v>64</v>
      </c>
      <c r="F327" s="87" t="s">
        <v>60</v>
      </c>
      <c r="G327" s="87" t="s">
        <v>22</v>
      </c>
      <c r="H327" s="87" t="s">
        <v>514</v>
      </c>
      <c r="I327" s="87" t="s">
        <v>1249</v>
      </c>
      <c r="J327" s="87" t="s">
        <v>1249</v>
      </c>
      <c r="K327" s="95" t="s">
        <v>623</v>
      </c>
      <c r="L327" s="96">
        <v>9025</v>
      </c>
      <c r="M327" s="91" t="s">
        <v>832</v>
      </c>
    </row>
    <row r="328" spans="1:13" x14ac:dyDescent="0.25">
      <c r="A328" s="103" t="s">
        <v>456</v>
      </c>
      <c r="B328" s="93">
        <v>2010871</v>
      </c>
      <c r="C328" s="82">
        <v>56685</v>
      </c>
      <c r="D328" s="93" t="s">
        <v>1516</v>
      </c>
      <c r="E328" s="93">
        <v>64</v>
      </c>
      <c r="F328" s="93" t="s">
        <v>60</v>
      </c>
      <c r="G328" s="93" t="s">
        <v>22</v>
      </c>
      <c r="H328" s="93" t="s">
        <v>633</v>
      </c>
      <c r="I328" s="93" t="s">
        <v>1264</v>
      </c>
      <c r="J328" s="93" t="s">
        <v>1264</v>
      </c>
      <c r="K328" s="83" t="s">
        <v>623</v>
      </c>
      <c r="L328" s="94">
        <v>9025</v>
      </c>
      <c r="M328" s="85" t="s">
        <v>832</v>
      </c>
    </row>
    <row r="329" spans="1:13" x14ac:dyDescent="0.25">
      <c r="A329" s="108" t="s">
        <v>1503</v>
      </c>
      <c r="B329" s="87">
        <v>2002754</v>
      </c>
      <c r="C329" s="87">
        <v>11467</v>
      </c>
      <c r="D329" s="87" t="s">
        <v>636</v>
      </c>
      <c r="E329" s="87">
        <v>73</v>
      </c>
      <c r="F329" s="87" t="s">
        <v>60</v>
      </c>
      <c r="G329" s="87" t="s">
        <v>22</v>
      </c>
      <c r="H329" s="87" t="s">
        <v>633</v>
      </c>
      <c r="I329" s="87" t="s">
        <v>1225</v>
      </c>
      <c r="J329" s="87" t="s">
        <v>1225</v>
      </c>
      <c r="K329" s="95" t="s">
        <v>623</v>
      </c>
      <c r="L329" s="96">
        <v>9025</v>
      </c>
      <c r="M329" s="91" t="s">
        <v>832</v>
      </c>
    </row>
    <row r="330" spans="1:13" ht="52.5" x14ac:dyDescent="0.25">
      <c r="A330" s="103" t="s">
        <v>1503</v>
      </c>
      <c r="B330" s="82">
        <v>2020636</v>
      </c>
      <c r="C330" s="82">
        <v>18572</v>
      </c>
      <c r="D330" s="82" t="s">
        <v>968</v>
      </c>
      <c r="E330" s="82">
        <v>63</v>
      </c>
      <c r="F330" s="82" t="s">
        <v>969</v>
      </c>
      <c r="G330" s="82" t="s">
        <v>22</v>
      </c>
      <c r="H330" s="92" t="s">
        <v>1517</v>
      </c>
      <c r="I330" s="92" t="s">
        <v>1518</v>
      </c>
      <c r="J330" s="92" t="s">
        <v>851</v>
      </c>
      <c r="K330" s="83">
        <v>4</v>
      </c>
      <c r="L330" s="84">
        <v>127240</v>
      </c>
      <c r="M330" s="85" t="s">
        <v>832</v>
      </c>
    </row>
    <row r="331" spans="1:13" x14ac:dyDescent="0.25">
      <c r="A331" s="108" t="s">
        <v>1503</v>
      </c>
      <c r="B331" s="87">
        <v>2008867</v>
      </c>
      <c r="C331" s="87">
        <v>101493</v>
      </c>
      <c r="D331" s="87" t="s">
        <v>1519</v>
      </c>
      <c r="E331" s="87">
        <v>62</v>
      </c>
      <c r="F331" s="87" t="s">
        <v>1520</v>
      </c>
      <c r="G331" s="87" t="s">
        <v>15</v>
      </c>
      <c r="H331" s="87" t="s">
        <v>1521</v>
      </c>
      <c r="I331" s="87" t="s">
        <v>880</v>
      </c>
      <c r="J331" s="87" t="s">
        <v>1236</v>
      </c>
      <c r="K331" s="95">
        <v>12</v>
      </c>
      <c r="L331" s="96">
        <v>357723</v>
      </c>
      <c r="M331" s="91" t="s">
        <v>832</v>
      </c>
    </row>
    <row r="332" spans="1:13" x14ac:dyDescent="0.25">
      <c r="A332" s="103" t="s">
        <v>1503</v>
      </c>
      <c r="B332" s="82">
        <v>2021923</v>
      </c>
      <c r="C332" s="82">
        <v>56634</v>
      </c>
      <c r="D332" s="82" t="s">
        <v>1522</v>
      </c>
      <c r="E332" s="82">
        <v>62</v>
      </c>
      <c r="F332" s="82" t="s">
        <v>60</v>
      </c>
      <c r="G332" s="82" t="s">
        <v>22</v>
      </c>
      <c r="H332" s="82" t="s">
        <v>1523</v>
      </c>
      <c r="I332" s="82" t="s">
        <v>1236</v>
      </c>
      <c r="J332" s="82" t="s">
        <v>1236</v>
      </c>
      <c r="K332" s="98" t="s">
        <v>556</v>
      </c>
      <c r="L332" s="84">
        <v>62121.5</v>
      </c>
      <c r="M332" s="85" t="s">
        <v>832</v>
      </c>
    </row>
    <row r="333" spans="1:13" x14ac:dyDescent="0.25">
      <c r="A333" s="108" t="s">
        <v>1503</v>
      </c>
      <c r="B333" s="87">
        <v>2023609</v>
      </c>
      <c r="C333" s="87">
        <v>21313</v>
      </c>
      <c r="D333" s="87" t="s">
        <v>1524</v>
      </c>
      <c r="E333" s="87">
        <v>49</v>
      </c>
      <c r="F333" s="87" t="s">
        <v>1525</v>
      </c>
      <c r="G333" s="87" t="s">
        <v>15</v>
      </c>
      <c r="H333" s="87" t="s">
        <v>1157</v>
      </c>
      <c r="I333" s="87" t="s">
        <v>860</v>
      </c>
      <c r="J333" s="87" t="s">
        <v>1236</v>
      </c>
      <c r="K333" s="95">
        <v>2</v>
      </c>
      <c r="L333" s="96">
        <v>52463.34</v>
      </c>
      <c r="M333" s="91" t="s">
        <v>832</v>
      </c>
    </row>
    <row r="334" spans="1:13" x14ac:dyDescent="0.25">
      <c r="A334" s="103" t="s">
        <v>1503</v>
      </c>
      <c r="B334" s="82">
        <v>2022483</v>
      </c>
      <c r="C334" s="82">
        <v>80695</v>
      </c>
      <c r="D334" s="82" t="s">
        <v>1496</v>
      </c>
      <c r="E334" s="82">
        <v>3</v>
      </c>
      <c r="F334" s="82" t="s">
        <v>1497</v>
      </c>
      <c r="G334" s="82" t="s">
        <v>132</v>
      </c>
      <c r="H334" s="82" t="s">
        <v>1526</v>
      </c>
      <c r="I334" s="82" t="s">
        <v>860</v>
      </c>
      <c r="J334" s="82" t="s">
        <v>1236</v>
      </c>
      <c r="K334" s="83">
        <v>2</v>
      </c>
      <c r="L334" s="84">
        <v>34629</v>
      </c>
      <c r="M334" s="85" t="s">
        <v>832</v>
      </c>
    </row>
    <row r="335" spans="1:13" x14ac:dyDescent="0.25">
      <c r="A335" s="108" t="s">
        <v>1503</v>
      </c>
      <c r="B335" s="87">
        <v>20160001</v>
      </c>
      <c r="C335" s="87">
        <v>14119</v>
      </c>
      <c r="D335" s="87" t="s">
        <v>1527</v>
      </c>
      <c r="E335" s="87">
        <v>64</v>
      </c>
      <c r="F335" s="87" t="s">
        <v>60</v>
      </c>
      <c r="G335" s="87" t="s">
        <v>22</v>
      </c>
      <c r="H335" s="86" t="s">
        <v>445</v>
      </c>
      <c r="I335" s="86" t="s">
        <v>1238</v>
      </c>
      <c r="J335" s="86" t="s">
        <v>1238</v>
      </c>
      <c r="K335" s="95" t="s">
        <v>714</v>
      </c>
      <c r="L335" s="96">
        <v>130692</v>
      </c>
      <c r="M335" s="91" t="s">
        <v>832</v>
      </c>
    </row>
    <row r="336" spans="1:13" ht="21" x14ac:dyDescent="0.25">
      <c r="A336" s="103" t="s">
        <v>1503</v>
      </c>
      <c r="B336" s="82">
        <v>2000086</v>
      </c>
      <c r="C336" s="82">
        <v>17770</v>
      </c>
      <c r="D336" s="82" t="s">
        <v>551</v>
      </c>
      <c r="E336" s="82">
        <v>72</v>
      </c>
      <c r="F336" s="82" t="s">
        <v>60</v>
      </c>
      <c r="G336" s="82" t="s">
        <v>22</v>
      </c>
      <c r="H336" s="92" t="s">
        <v>1528</v>
      </c>
      <c r="I336" s="92" t="s">
        <v>1238</v>
      </c>
      <c r="J336" s="92" t="s">
        <v>1238</v>
      </c>
      <c r="K336" s="83" t="s">
        <v>714</v>
      </c>
      <c r="L336" s="84">
        <v>120268</v>
      </c>
      <c r="M336" s="85" t="s">
        <v>832</v>
      </c>
    </row>
    <row r="337" spans="1:13" x14ac:dyDescent="0.25">
      <c r="A337" s="108" t="s">
        <v>1503</v>
      </c>
      <c r="B337" s="87">
        <v>2015968</v>
      </c>
      <c r="C337" s="87">
        <v>32115</v>
      </c>
      <c r="D337" s="87" t="s">
        <v>1529</v>
      </c>
      <c r="E337" s="87">
        <v>67</v>
      </c>
      <c r="F337" s="87" t="s">
        <v>1530</v>
      </c>
      <c r="G337" s="87" t="s">
        <v>22</v>
      </c>
      <c r="H337" s="87" t="s">
        <v>1531</v>
      </c>
      <c r="I337" s="87" t="s">
        <v>1241</v>
      </c>
      <c r="J337" s="87" t="s">
        <v>1288</v>
      </c>
      <c r="K337" s="95">
        <v>2</v>
      </c>
      <c r="L337" s="96">
        <v>46091</v>
      </c>
      <c r="M337" s="91" t="s">
        <v>832</v>
      </c>
    </row>
    <row r="338" spans="1:13" x14ac:dyDescent="0.25">
      <c r="A338" s="103" t="s">
        <v>1503</v>
      </c>
      <c r="B338" s="82">
        <v>2405040</v>
      </c>
      <c r="C338" s="82">
        <v>31911</v>
      </c>
      <c r="D338" s="82" t="s">
        <v>681</v>
      </c>
      <c r="E338" s="82">
        <v>63</v>
      </c>
      <c r="F338" s="82" t="s">
        <v>60</v>
      </c>
      <c r="G338" s="82" t="s">
        <v>22</v>
      </c>
      <c r="H338" s="82" t="s">
        <v>514</v>
      </c>
      <c r="I338" s="82" t="s">
        <v>1288</v>
      </c>
      <c r="J338" s="82" t="s">
        <v>1288</v>
      </c>
      <c r="K338" s="83" t="s">
        <v>623</v>
      </c>
      <c r="L338" s="84">
        <v>12321</v>
      </c>
      <c r="M338" s="85" t="s">
        <v>832</v>
      </c>
    </row>
    <row r="339" spans="1:13" ht="31.5" x14ac:dyDescent="0.25">
      <c r="A339" s="108" t="s">
        <v>1503</v>
      </c>
      <c r="B339" s="87">
        <v>2005177</v>
      </c>
      <c r="C339" s="87">
        <v>11971</v>
      </c>
      <c r="D339" s="87" t="s">
        <v>1532</v>
      </c>
      <c r="E339" s="87">
        <v>69</v>
      </c>
      <c r="F339" s="87" t="s">
        <v>1533</v>
      </c>
      <c r="G339" s="87" t="s">
        <v>15</v>
      </c>
      <c r="H339" s="86" t="s">
        <v>1446</v>
      </c>
      <c r="I339" s="86" t="s">
        <v>1534</v>
      </c>
      <c r="J339" s="86" t="s">
        <v>1242</v>
      </c>
      <c r="K339" s="95">
        <v>8</v>
      </c>
      <c r="L339" s="96">
        <v>392008.13</v>
      </c>
      <c r="M339" s="91" t="s">
        <v>832</v>
      </c>
    </row>
    <row r="340" spans="1:13" x14ac:dyDescent="0.25">
      <c r="A340" s="103" t="s">
        <v>1535</v>
      </c>
      <c r="B340" s="82">
        <v>2014910</v>
      </c>
      <c r="C340" s="82">
        <v>31110</v>
      </c>
      <c r="D340" s="82" t="s">
        <v>1536</v>
      </c>
      <c r="E340" s="82">
        <v>59</v>
      </c>
      <c r="F340" s="82" t="s">
        <v>1537</v>
      </c>
      <c r="G340" s="82" t="s">
        <v>15</v>
      </c>
      <c r="H340" s="82" t="s">
        <v>1538</v>
      </c>
      <c r="I340" s="82" t="s">
        <v>1539</v>
      </c>
      <c r="J340" s="82" t="s">
        <v>1249</v>
      </c>
      <c r="K340" s="83">
        <v>7</v>
      </c>
      <c r="L340" s="84">
        <v>100319.06</v>
      </c>
      <c r="M340" s="85" t="s">
        <v>832</v>
      </c>
    </row>
    <row r="341" spans="1:13" x14ac:dyDescent="0.25">
      <c r="A341" s="106" t="s">
        <v>1020</v>
      </c>
      <c r="B341" s="87">
        <v>2602004</v>
      </c>
      <c r="C341" s="87">
        <v>62092</v>
      </c>
      <c r="D341" s="87" t="s">
        <v>1021</v>
      </c>
      <c r="E341" s="87">
        <v>59</v>
      </c>
      <c r="F341" s="87" t="s">
        <v>1022</v>
      </c>
      <c r="G341" s="87" t="s">
        <v>22</v>
      </c>
      <c r="H341" s="86" t="s">
        <v>1023</v>
      </c>
      <c r="I341" s="86" t="s">
        <v>834</v>
      </c>
      <c r="J341" s="87" t="s">
        <v>846</v>
      </c>
      <c r="K341" s="95">
        <v>4</v>
      </c>
      <c r="L341" s="96">
        <v>114734</v>
      </c>
      <c r="M341" s="91" t="s">
        <v>832</v>
      </c>
    </row>
  </sheetData>
  <conditionalFormatting sqref="B1">
    <cfRule type="duplicateValues" dxfId="14" priority="1"/>
    <cfRule type="duplicateValues" dxfId="13" priority="2"/>
  </conditionalFormatting>
  <conditionalFormatting sqref="B342:B1048576 B2:B183">
    <cfRule type="duplicateValues" dxfId="12" priority="4"/>
  </conditionalFormatting>
  <conditionalFormatting sqref="C184:C341">
    <cfRule type="duplicateValues" dxfId="11" priority="3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7B721-B937-4D09-B053-94E2A7C8C974}">
  <dimension ref="A1:N328"/>
  <sheetViews>
    <sheetView workbookViewId="0">
      <selection activeCell="R14" sqref="R14"/>
    </sheetView>
  </sheetViews>
  <sheetFormatPr defaultRowHeight="15" x14ac:dyDescent="0.25"/>
  <cols>
    <col min="1" max="1" width="15.5703125" customWidth="1"/>
    <col min="3" max="3" width="10.140625" customWidth="1"/>
    <col min="4" max="4" width="18" customWidth="1"/>
    <col min="5" max="5" width="6.85546875" customWidth="1"/>
    <col min="6" max="6" width="20.7109375" customWidth="1"/>
    <col min="7" max="7" width="14.85546875" customWidth="1"/>
    <col min="8" max="8" width="11.5703125" customWidth="1"/>
    <col min="9" max="9" width="22.42578125" customWidth="1"/>
    <col min="10" max="10" width="13.28515625" customWidth="1"/>
    <col min="11" max="11" width="16.140625" customWidth="1"/>
    <col min="12" max="12" width="32.140625" style="131" customWidth="1"/>
    <col min="13" max="13" width="14.28515625" customWidth="1"/>
    <col min="14" max="14" width="13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2255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31" t="s">
        <v>10</v>
      </c>
      <c r="M1" t="s">
        <v>11</v>
      </c>
      <c r="N1" t="s">
        <v>1540</v>
      </c>
    </row>
    <row r="2" spans="1:14" x14ac:dyDescent="0.25">
      <c r="A2" s="58" t="s">
        <v>142</v>
      </c>
      <c r="B2" s="59">
        <v>20175091</v>
      </c>
      <c r="C2" s="60">
        <v>19309</v>
      </c>
      <c r="D2" s="58" t="s">
        <v>1541</v>
      </c>
      <c r="E2" s="58">
        <v>63</v>
      </c>
      <c r="F2" s="58" t="s">
        <v>60</v>
      </c>
      <c r="G2" s="58" t="s">
        <v>22</v>
      </c>
      <c r="H2" s="58" t="s">
        <v>514</v>
      </c>
      <c r="I2" s="61" t="s">
        <v>1542</v>
      </c>
      <c r="J2" s="61" t="s">
        <v>1542</v>
      </c>
      <c r="K2" s="62" t="s">
        <v>623</v>
      </c>
      <c r="L2" s="132">
        <v>8500</v>
      </c>
      <c r="M2" s="63" t="s">
        <v>2254</v>
      </c>
      <c r="N2" s="64">
        <v>254726788384</v>
      </c>
    </row>
    <row r="3" spans="1:14" x14ac:dyDescent="0.25">
      <c r="A3" s="65" t="s">
        <v>142</v>
      </c>
      <c r="B3" s="66">
        <v>20175091</v>
      </c>
      <c r="C3" s="66">
        <v>19309</v>
      </c>
      <c r="D3" s="67" t="s">
        <v>1541</v>
      </c>
      <c r="E3" s="67">
        <v>63</v>
      </c>
      <c r="F3" s="67" t="s">
        <v>60</v>
      </c>
      <c r="G3" s="67" t="s">
        <v>22</v>
      </c>
      <c r="H3" s="68" t="s">
        <v>514</v>
      </c>
      <c r="I3" s="67" t="s">
        <v>1543</v>
      </c>
      <c r="J3" s="67" t="s">
        <v>1543</v>
      </c>
      <c r="K3" s="67" t="s">
        <v>623</v>
      </c>
      <c r="L3" s="133">
        <v>8500</v>
      </c>
      <c r="M3" s="69" t="s">
        <v>2254</v>
      </c>
      <c r="N3" s="70">
        <v>254726788384</v>
      </c>
    </row>
    <row r="4" spans="1:14" x14ac:dyDescent="0.25">
      <c r="A4" s="61" t="s">
        <v>354</v>
      </c>
      <c r="B4" s="59">
        <v>2017742</v>
      </c>
      <c r="C4" s="60">
        <v>37239</v>
      </c>
      <c r="D4" s="58" t="s">
        <v>1501</v>
      </c>
      <c r="E4" s="58">
        <v>58</v>
      </c>
      <c r="F4" s="58" t="s">
        <v>126</v>
      </c>
      <c r="G4" s="58" t="s">
        <v>664</v>
      </c>
      <c r="H4" s="58" t="s">
        <v>514</v>
      </c>
      <c r="I4" s="61" t="s">
        <v>1542</v>
      </c>
      <c r="J4" s="61" t="s">
        <v>1542</v>
      </c>
      <c r="K4" s="62" t="s">
        <v>623</v>
      </c>
      <c r="L4" s="132">
        <v>9025</v>
      </c>
      <c r="M4" s="63" t="s">
        <v>2254</v>
      </c>
      <c r="N4" s="64">
        <v>254720659401</v>
      </c>
    </row>
    <row r="5" spans="1:14" x14ac:dyDescent="0.25">
      <c r="A5" s="68" t="s">
        <v>1502</v>
      </c>
      <c r="B5" s="66">
        <v>2002754</v>
      </c>
      <c r="C5" s="66">
        <v>11467</v>
      </c>
      <c r="D5" s="67" t="s">
        <v>636</v>
      </c>
      <c r="E5" s="67">
        <v>73</v>
      </c>
      <c r="F5" s="67" t="s">
        <v>126</v>
      </c>
      <c r="G5" s="67" t="s">
        <v>664</v>
      </c>
      <c r="H5" s="68" t="s">
        <v>1544</v>
      </c>
      <c r="I5" s="67" t="s">
        <v>1545</v>
      </c>
      <c r="J5" s="67" t="s">
        <v>1546</v>
      </c>
      <c r="K5" s="67" t="s">
        <v>623</v>
      </c>
      <c r="L5" s="133">
        <v>9025</v>
      </c>
      <c r="M5" s="69" t="s">
        <v>2254</v>
      </c>
      <c r="N5" s="70">
        <v>254720659401</v>
      </c>
    </row>
    <row r="6" spans="1:14" x14ac:dyDescent="0.25">
      <c r="A6" s="61" t="s">
        <v>354</v>
      </c>
      <c r="B6" s="60">
        <v>2511271</v>
      </c>
      <c r="C6" s="60">
        <v>62552</v>
      </c>
      <c r="D6" s="62" t="s">
        <v>1547</v>
      </c>
      <c r="E6" s="62">
        <v>14</v>
      </c>
      <c r="F6" s="62" t="s">
        <v>60</v>
      </c>
      <c r="G6" s="62" t="s">
        <v>132</v>
      </c>
      <c r="H6" s="61" t="s">
        <v>514</v>
      </c>
      <c r="I6" s="62" t="s">
        <v>1548</v>
      </c>
      <c r="J6" s="62" t="s">
        <v>1546</v>
      </c>
      <c r="K6" s="62" t="s">
        <v>623</v>
      </c>
      <c r="L6" s="134">
        <v>9025</v>
      </c>
      <c r="M6" s="71" t="s">
        <v>2254</v>
      </c>
      <c r="N6" s="64">
        <v>254713738247</v>
      </c>
    </row>
    <row r="7" spans="1:14" x14ac:dyDescent="0.25">
      <c r="A7" s="68" t="s">
        <v>1502</v>
      </c>
      <c r="B7" s="66">
        <v>2003444</v>
      </c>
      <c r="C7" s="66">
        <v>18642</v>
      </c>
      <c r="D7" s="67" t="s">
        <v>680</v>
      </c>
      <c r="E7" s="67">
        <v>63</v>
      </c>
      <c r="F7" s="67" t="s">
        <v>60</v>
      </c>
      <c r="G7" s="67" t="s">
        <v>22</v>
      </c>
      <c r="H7" s="68" t="s">
        <v>633</v>
      </c>
      <c r="I7" s="67" t="s">
        <v>1549</v>
      </c>
      <c r="J7" s="67" t="s">
        <v>1549</v>
      </c>
      <c r="K7" s="67" t="s">
        <v>623</v>
      </c>
      <c r="L7" s="133">
        <v>9025</v>
      </c>
      <c r="M7" s="69" t="s">
        <v>2254</v>
      </c>
      <c r="N7" s="70">
        <v>254710209301</v>
      </c>
    </row>
    <row r="8" spans="1:14" x14ac:dyDescent="0.25">
      <c r="A8" s="61" t="s">
        <v>274</v>
      </c>
      <c r="B8" s="60">
        <v>2010871</v>
      </c>
      <c r="C8" s="60">
        <v>56685</v>
      </c>
      <c r="D8" s="62" t="s">
        <v>679</v>
      </c>
      <c r="E8" s="62">
        <v>63</v>
      </c>
      <c r="F8" s="62" t="s">
        <v>60</v>
      </c>
      <c r="G8" s="62" t="s">
        <v>22</v>
      </c>
      <c r="H8" s="61" t="s">
        <v>514</v>
      </c>
      <c r="I8" s="62" t="s">
        <v>1549</v>
      </c>
      <c r="J8" s="62" t="s">
        <v>1549</v>
      </c>
      <c r="K8" s="62" t="s">
        <v>623</v>
      </c>
      <c r="L8" s="134">
        <v>9025</v>
      </c>
      <c r="M8" s="71" t="s">
        <v>2254</v>
      </c>
      <c r="N8" s="64">
        <v>254704150060</v>
      </c>
    </row>
    <row r="9" spans="1:14" x14ac:dyDescent="0.25">
      <c r="A9" s="68" t="s">
        <v>1502</v>
      </c>
      <c r="B9" s="66">
        <v>2003444</v>
      </c>
      <c r="C9" s="66">
        <v>18642</v>
      </c>
      <c r="D9" s="67" t="s">
        <v>680</v>
      </c>
      <c r="E9" s="67">
        <v>63</v>
      </c>
      <c r="F9" s="67" t="s">
        <v>60</v>
      </c>
      <c r="G9" s="67" t="s">
        <v>22</v>
      </c>
      <c r="H9" s="68" t="s">
        <v>633</v>
      </c>
      <c r="I9" s="67" t="s">
        <v>1550</v>
      </c>
      <c r="J9" s="67" t="s">
        <v>1551</v>
      </c>
      <c r="K9" s="67" t="s">
        <v>623</v>
      </c>
      <c r="L9" s="133">
        <v>9025</v>
      </c>
      <c r="M9" s="69" t="s">
        <v>2254</v>
      </c>
      <c r="N9" s="70">
        <v>254722505895</v>
      </c>
    </row>
    <row r="10" spans="1:14" x14ac:dyDescent="0.25">
      <c r="A10" s="61" t="s">
        <v>354</v>
      </c>
      <c r="B10" s="60">
        <v>2017742</v>
      </c>
      <c r="C10" s="60">
        <v>37239</v>
      </c>
      <c r="D10" s="62" t="s">
        <v>675</v>
      </c>
      <c r="E10" s="62">
        <v>57</v>
      </c>
      <c r="F10" s="62" t="s">
        <v>60</v>
      </c>
      <c r="G10" s="62" t="s">
        <v>22</v>
      </c>
      <c r="H10" s="61" t="s">
        <v>514</v>
      </c>
      <c r="I10" s="62" t="s">
        <v>1552</v>
      </c>
      <c r="J10" s="62" t="s">
        <v>1551</v>
      </c>
      <c r="K10" s="62" t="s">
        <v>623</v>
      </c>
      <c r="L10" s="134">
        <v>9025</v>
      </c>
      <c r="M10" s="71" t="s">
        <v>2254</v>
      </c>
      <c r="N10" s="64">
        <v>254715565766</v>
      </c>
    </row>
    <row r="11" spans="1:14" x14ac:dyDescent="0.25">
      <c r="A11" s="65" t="s">
        <v>340</v>
      </c>
      <c r="B11" s="72">
        <v>2014318</v>
      </c>
      <c r="C11" s="66">
        <v>61208</v>
      </c>
      <c r="D11" s="65" t="s">
        <v>651</v>
      </c>
      <c r="E11" s="65">
        <v>63</v>
      </c>
      <c r="F11" s="65" t="s">
        <v>60</v>
      </c>
      <c r="G11" s="65" t="s">
        <v>22</v>
      </c>
      <c r="H11" s="65" t="s">
        <v>514</v>
      </c>
      <c r="I11" s="65" t="s">
        <v>1553</v>
      </c>
      <c r="J11" s="65" t="s">
        <v>1553</v>
      </c>
      <c r="K11" s="67" t="s">
        <v>623</v>
      </c>
      <c r="L11" s="135">
        <v>9500</v>
      </c>
      <c r="M11" s="73" t="s">
        <v>2254</v>
      </c>
      <c r="N11" s="70">
        <v>254722679315</v>
      </c>
    </row>
    <row r="12" spans="1:14" ht="22.5" x14ac:dyDescent="0.25">
      <c r="A12" s="61" t="s">
        <v>1166</v>
      </c>
      <c r="B12" s="59">
        <v>201893</v>
      </c>
      <c r="C12" s="60">
        <v>9046</v>
      </c>
      <c r="D12" s="58" t="s">
        <v>625</v>
      </c>
      <c r="E12" s="58">
        <v>69</v>
      </c>
      <c r="F12" s="58" t="s">
        <v>126</v>
      </c>
      <c r="G12" s="58" t="s">
        <v>664</v>
      </c>
      <c r="H12" s="58" t="s">
        <v>514</v>
      </c>
      <c r="I12" s="61" t="s">
        <v>1542</v>
      </c>
      <c r="J12" s="61" t="s">
        <v>1542</v>
      </c>
      <c r="K12" s="62" t="s">
        <v>623</v>
      </c>
      <c r="L12" s="132">
        <v>9500</v>
      </c>
      <c r="M12" s="63" t="s">
        <v>2254</v>
      </c>
      <c r="N12" s="64">
        <v>254720766049</v>
      </c>
    </row>
    <row r="13" spans="1:14" x14ac:dyDescent="0.25">
      <c r="A13" s="68" t="s">
        <v>544</v>
      </c>
      <c r="B13" s="72">
        <v>212620</v>
      </c>
      <c r="C13" s="66" t="s">
        <v>1554</v>
      </c>
      <c r="D13" s="65" t="s">
        <v>1555</v>
      </c>
      <c r="E13" s="65">
        <v>63</v>
      </c>
      <c r="F13" s="65" t="s">
        <v>14</v>
      </c>
      <c r="G13" s="65" t="s">
        <v>706</v>
      </c>
      <c r="H13" s="65" t="s">
        <v>514</v>
      </c>
      <c r="I13" s="68" t="s">
        <v>1542</v>
      </c>
      <c r="J13" s="68" t="s">
        <v>1542</v>
      </c>
      <c r="K13" s="67" t="s">
        <v>623</v>
      </c>
      <c r="L13" s="135">
        <v>9500</v>
      </c>
      <c r="M13" s="73" t="s">
        <v>2254</v>
      </c>
      <c r="N13" s="70">
        <v>254710918163</v>
      </c>
    </row>
    <row r="14" spans="1:14" ht="22.5" x14ac:dyDescent="0.25">
      <c r="A14" s="61" t="s">
        <v>1166</v>
      </c>
      <c r="B14" s="60">
        <v>2001893</v>
      </c>
      <c r="C14" s="60">
        <v>9046</v>
      </c>
      <c r="D14" s="62" t="s">
        <v>625</v>
      </c>
      <c r="E14" s="62">
        <v>69</v>
      </c>
      <c r="F14" s="62" t="s">
        <v>126</v>
      </c>
      <c r="G14" s="62" t="s">
        <v>664</v>
      </c>
      <c r="H14" s="61" t="s">
        <v>514</v>
      </c>
      <c r="I14" s="62" t="s">
        <v>1556</v>
      </c>
      <c r="J14" s="62" t="s">
        <v>1556</v>
      </c>
      <c r="K14" s="62" t="s">
        <v>623</v>
      </c>
      <c r="L14" s="134">
        <v>9500</v>
      </c>
      <c r="M14" s="71" t="s">
        <v>2254</v>
      </c>
      <c r="N14" s="64">
        <v>254721369143</v>
      </c>
    </row>
    <row r="15" spans="1:14" x14ac:dyDescent="0.25">
      <c r="A15" s="68" t="s">
        <v>544</v>
      </c>
      <c r="B15" s="66">
        <v>2012620</v>
      </c>
      <c r="C15" s="66">
        <v>102835</v>
      </c>
      <c r="D15" s="67" t="s">
        <v>686</v>
      </c>
      <c r="E15" s="67">
        <v>64</v>
      </c>
      <c r="F15" s="67" t="s">
        <v>14</v>
      </c>
      <c r="G15" s="67" t="s">
        <v>706</v>
      </c>
      <c r="H15" s="68" t="s">
        <v>633</v>
      </c>
      <c r="I15" s="67" t="s">
        <v>1557</v>
      </c>
      <c r="J15" s="67" t="s">
        <v>1556</v>
      </c>
      <c r="K15" s="67" t="s">
        <v>623</v>
      </c>
      <c r="L15" s="133">
        <v>9500</v>
      </c>
      <c r="M15" s="69" t="s">
        <v>2254</v>
      </c>
      <c r="N15" s="70">
        <v>254759231438</v>
      </c>
    </row>
    <row r="16" spans="1:14" ht="22.5" x14ac:dyDescent="0.25">
      <c r="A16" s="61" t="s">
        <v>1166</v>
      </c>
      <c r="B16" s="60">
        <v>2001893</v>
      </c>
      <c r="C16" s="60">
        <v>9046</v>
      </c>
      <c r="D16" s="62" t="s">
        <v>625</v>
      </c>
      <c r="E16" s="62">
        <v>69</v>
      </c>
      <c r="F16" s="62" t="s">
        <v>60</v>
      </c>
      <c r="G16" s="62" t="s">
        <v>22</v>
      </c>
      <c r="H16" s="61" t="s">
        <v>514</v>
      </c>
      <c r="I16" s="62" t="s">
        <v>1543</v>
      </c>
      <c r="J16" s="62" t="s">
        <v>1543</v>
      </c>
      <c r="K16" s="62" t="s">
        <v>623</v>
      </c>
      <c r="L16" s="134">
        <v>9500</v>
      </c>
      <c r="M16" s="71" t="s">
        <v>2254</v>
      </c>
      <c r="N16" s="64">
        <v>254759231438</v>
      </c>
    </row>
    <row r="17" spans="1:14" x14ac:dyDescent="0.25">
      <c r="A17" s="68" t="s">
        <v>544</v>
      </c>
      <c r="B17" s="66">
        <v>2012620</v>
      </c>
      <c r="C17" s="66">
        <v>102835</v>
      </c>
      <c r="D17" s="67" t="s">
        <v>686</v>
      </c>
      <c r="E17" s="67">
        <v>63</v>
      </c>
      <c r="F17" s="67" t="s">
        <v>49</v>
      </c>
      <c r="G17" s="67" t="s">
        <v>15</v>
      </c>
      <c r="H17" s="68" t="s">
        <v>633</v>
      </c>
      <c r="I17" s="67" t="s">
        <v>1543</v>
      </c>
      <c r="J17" s="67" t="s">
        <v>1543</v>
      </c>
      <c r="K17" s="67" t="s">
        <v>623</v>
      </c>
      <c r="L17" s="133">
        <v>9500</v>
      </c>
      <c r="M17" s="69" t="s">
        <v>2254</v>
      </c>
      <c r="N17" s="70">
        <v>254759231438</v>
      </c>
    </row>
    <row r="18" spans="1:14" x14ac:dyDescent="0.25">
      <c r="A18" s="58" t="s">
        <v>340</v>
      </c>
      <c r="B18" s="60">
        <v>2014318</v>
      </c>
      <c r="C18" s="60">
        <v>61208</v>
      </c>
      <c r="D18" s="62" t="s">
        <v>651</v>
      </c>
      <c r="E18" s="62">
        <v>64</v>
      </c>
      <c r="F18" s="62" t="s">
        <v>60</v>
      </c>
      <c r="G18" s="62" t="s">
        <v>22</v>
      </c>
      <c r="H18" s="61" t="s">
        <v>514</v>
      </c>
      <c r="I18" s="62" t="s">
        <v>1558</v>
      </c>
      <c r="J18" s="62" t="s">
        <v>1559</v>
      </c>
      <c r="K18" s="62" t="s">
        <v>623</v>
      </c>
      <c r="L18" s="134">
        <v>9500</v>
      </c>
      <c r="M18" s="71" t="s">
        <v>2254</v>
      </c>
      <c r="N18" s="64">
        <v>254759231438</v>
      </c>
    </row>
    <row r="19" spans="1:14" x14ac:dyDescent="0.25">
      <c r="A19" s="68" t="s">
        <v>544</v>
      </c>
      <c r="B19" s="66">
        <v>2012620</v>
      </c>
      <c r="C19" s="66">
        <v>102835</v>
      </c>
      <c r="D19" s="67" t="s">
        <v>685</v>
      </c>
      <c r="E19" s="67">
        <v>64</v>
      </c>
      <c r="F19" s="67" t="s">
        <v>49</v>
      </c>
      <c r="G19" s="67" t="s">
        <v>15</v>
      </c>
      <c r="H19" s="68" t="s">
        <v>514</v>
      </c>
      <c r="I19" s="67" t="s">
        <v>1559</v>
      </c>
      <c r="J19" s="67" t="s">
        <v>1559</v>
      </c>
      <c r="K19" s="67" t="s">
        <v>623</v>
      </c>
      <c r="L19" s="133">
        <v>9500</v>
      </c>
      <c r="M19" s="69" t="s">
        <v>2254</v>
      </c>
      <c r="N19" s="70">
        <v>254759231438</v>
      </c>
    </row>
    <row r="20" spans="1:14" ht="22.5" x14ac:dyDescent="0.25">
      <c r="A20" s="61" t="s">
        <v>1560</v>
      </c>
      <c r="B20" s="74">
        <v>2001823</v>
      </c>
      <c r="C20" s="60">
        <v>10576</v>
      </c>
      <c r="D20" s="61" t="s">
        <v>1561</v>
      </c>
      <c r="E20" s="61">
        <v>72</v>
      </c>
      <c r="F20" s="61" t="s">
        <v>126</v>
      </c>
      <c r="G20" s="61" t="s">
        <v>22</v>
      </c>
      <c r="H20" s="61" t="s">
        <v>633</v>
      </c>
      <c r="I20" s="61" t="s">
        <v>1562</v>
      </c>
      <c r="J20" s="61" t="s">
        <v>1562</v>
      </c>
      <c r="K20" s="62" t="s">
        <v>623</v>
      </c>
      <c r="L20" s="132">
        <v>10500</v>
      </c>
      <c r="M20" s="63" t="s">
        <v>2254</v>
      </c>
      <c r="N20" s="64">
        <v>254722348407</v>
      </c>
    </row>
    <row r="21" spans="1:14" ht="22.5" x14ac:dyDescent="0.25">
      <c r="A21" s="68" t="s">
        <v>1560</v>
      </c>
      <c r="B21" s="75">
        <v>2019634</v>
      </c>
      <c r="C21" s="66">
        <v>42684</v>
      </c>
      <c r="D21" s="68" t="s">
        <v>1563</v>
      </c>
      <c r="E21" s="68">
        <v>69</v>
      </c>
      <c r="F21" s="68" t="s">
        <v>126</v>
      </c>
      <c r="G21" s="68" t="s">
        <v>22</v>
      </c>
      <c r="H21" s="68" t="s">
        <v>699</v>
      </c>
      <c r="I21" s="68" t="s">
        <v>1562</v>
      </c>
      <c r="J21" s="68" t="s">
        <v>1562</v>
      </c>
      <c r="K21" s="67" t="s">
        <v>623</v>
      </c>
      <c r="L21" s="136">
        <v>10650</v>
      </c>
      <c r="M21" s="76" t="s">
        <v>2254</v>
      </c>
      <c r="N21" s="70">
        <v>254703352923</v>
      </c>
    </row>
    <row r="22" spans="1:14" ht="22.5" x14ac:dyDescent="0.25">
      <c r="A22" s="61" t="s">
        <v>1560</v>
      </c>
      <c r="B22" s="60">
        <v>2001823</v>
      </c>
      <c r="C22" s="60">
        <v>10576</v>
      </c>
      <c r="D22" s="62" t="s">
        <v>630</v>
      </c>
      <c r="E22" s="62">
        <v>72</v>
      </c>
      <c r="F22" s="62" t="s">
        <v>60</v>
      </c>
      <c r="G22" s="62" t="s">
        <v>22</v>
      </c>
      <c r="H22" s="61" t="s">
        <v>514</v>
      </c>
      <c r="I22" s="62" t="s">
        <v>1549</v>
      </c>
      <c r="J22" s="62" t="s">
        <v>1549</v>
      </c>
      <c r="K22" s="62" t="s">
        <v>623</v>
      </c>
      <c r="L22" s="134">
        <v>10650</v>
      </c>
      <c r="M22" s="71" t="s">
        <v>2254</v>
      </c>
      <c r="N22" s="64">
        <v>254722828789</v>
      </c>
    </row>
    <row r="23" spans="1:14" ht="22.5" x14ac:dyDescent="0.25">
      <c r="A23" s="68" t="s">
        <v>1560</v>
      </c>
      <c r="B23" s="66">
        <v>2019634</v>
      </c>
      <c r="C23" s="66">
        <v>42684</v>
      </c>
      <c r="D23" s="67" t="s">
        <v>628</v>
      </c>
      <c r="E23" s="67">
        <v>69</v>
      </c>
      <c r="F23" s="67" t="s">
        <v>126</v>
      </c>
      <c r="G23" s="67" t="s">
        <v>706</v>
      </c>
      <c r="H23" s="68" t="s">
        <v>514</v>
      </c>
      <c r="I23" s="67" t="s">
        <v>1549</v>
      </c>
      <c r="J23" s="67" t="s">
        <v>1549</v>
      </c>
      <c r="K23" s="67" t="s">
        <v>623</v>
      </c>
      <c r="L23" s="133">
        <v>10650</v>
      </c>
      <c r="M23" s="69" t="s">
        <v>2254</v>
      </c>
      <c r="N23" s="70">
        <v>254722828789</v>
      </c>
    </row>
    <row r="24" spans="1:14" ht="22.5" x14ac:dyDescent="0.25">
      <c r="A24" s="61" t="s">
        <v>1560</v>
      </c>
      <c r="B24" s="60">
        <v>2001823</v>
      </c>
      <c r="C24" s="60">
        <v>10576</v>
      </c>
      <c r="D24" s="62" t="s">
        <v>630</v>
      </c>
      <c r="E24" s="62">
        <v>72</v>
      </c>
      <c r="F24" s="62" t="s">
        <v>60</v>
      </c>
      <c r="G24" s="62" t="s">
        <v>22</v>
      </c>
      <c r="H24" s="61" t="s">
        <v>514</v>
      </c>
      <c r="I24" s="62" t="s">
        <v>1564</v>
      </c>
      <c r="J24" s="62" t="s">
        <v>1543</v>
      </c>
      <c r="K24" s="62" t="s">
        <v>623</v>
      </c>
      <c r="L24" s="134">
        <v>10650</v>
      </c>
      <c r="M24" s="71" t="s">
        <v>2254</v>
      </c>
      <c r="N24" s="64">
        <v>254722828789</v>
      </c>
    </row>
    <row r="25" spans="1:14" ht="22.5" x14ac:dyDescent="0.25">
      <c r="A25" s="68" t="s">
        <v>1565</v>
      </c>
      <c r="B25" s="66">
        <v>2002228</v>
      </c>
      <c r="C25" s="66">
        <v>31315</v>
      </c>
      <c r="D25" s="67" t="s">
        <v>1285</v>
      </c>
      <c r="E25" s="67">
        <v>72</v>
      </c>
      <c r="F25" s="67" t="s">
        <v>60</v>
      </c>
      <c r="G25" s="67" t="s">
        <v>22</v>
      </c>
      <c r="H25" s="68" t="s">
        <v>514</v>
      </c>
      <c r="I25" s="67" t="s">
        <v>1543</v>
      </c>
      <c r="J25" s="67" t="s">
        <v>1543</v>
      </c>
      <c r="K25" s="67" t="s">
        <v>623</v>
      </c>
      <c r="L25" s="133">
        <v>10650</v>
      </c>
      <c r="M25" s="69" t="s">
        <v>2254</v>
      </c>
      <c r="N25" s="70">
        <v>254720133344</v>
      </c>
    </row>
    <row r="26" spans="1:14" ht="22.5" x14ac:dyDescent="0.25">
      <c r="A26" s="61" t="s">
        <v>1560</v>
      </c>
      <c r="B26" s="60">
        <v>2019634</v>
      </c>
      <c r="C26" s="60">
        <v>42684</v>
      </c>
      <c r="D26" s="62" t="s">
        <v>628</v>
      </c>
      <c r="E26" s="62">
        <v>69</v>
      </c>
      <c r="F26" s="62" t="s">
        <v>60</v>
      </c>
      <c r="G26" s="62" t="s">
        <v>15</v>
      </c>
      <c r="H26" s="61" t="s">
        <v>514</v>
      </c>
      <c r="I26" s="62" t="s">
        <v>1566</v>
      </c>
      <c r="J26" s="62" t="s">
        <v>1567</v>
      </c>
      <c r="K26" s="62" t="s">
        <v>623</v>
      </c>
      <c r="L26" s="134">
        <v>10650</v>
      </c>
      <c r="M26" s="71" t="s">
        <v>2254</v>
      </c>
      <c r="N26" s="64">
        <v>254720133344</v>
      </c>
    </row>
    <row r="27" spans="1:14" ht="22.5" x14ac:dyDescent="0.25">
      <c r="A27" s="68" t="s">
        <v>1560</v>
      </c>
      <c r="B27" s="66">
        <v>2001823</v>
      </c>
      <c r="C27" s="66">
        <v>10576</v>
      </c>
      <c r="D27" s="67" t="s">
        <v>1568</v>
      </c>
      <c r="E27" s="67">
        <v>72</v>
      </c>
      <c r="F27" s="67" t="s">
        <v>60</v>
      </c>
      <c r="G27" s="67" t="s">
        <v>22</v>
      </c>
      <c r="H27" s="68" t="s">
        <v>514</v>
      </c>
      <c r="I27" s="67" t="s">
        <v>1551</v>
      </c>
      <c r="J27" s="67" t="s">
        <v>1551</v>
      </c>
      <c r="K27" s="67" t="s">
        <v>623</v>
      </c>
      <c r="L27" s="133">
        <v>10650</v>
      </c>
      <c r="M27" s="69" t="s">
        <v>2254</v>
      </c>
      <c r="N27" s="70">
        <v>254721872105</v>
      </c>
    </row>
    <row r="28" spans="1:14" ht="22.5" x14ac:dyDescent="0.25">
      <c r="A28" s="61" t="s">
        <v>1560</v>
      </c>
      <c r="B28" s="60">
        <v>2019634</v>
      </c>
      <c r="C28" s="60">
        <v>42684</v>
      </c>
      <c r="D28" s="62" t="s">
        <v>1569</v>
      </c>
      <c r="E28" s="62">
        <v>69</v>
      </c>
      <c r="F28" s="62" t="s">
        <v>60</v>
      </c>
      <c r="G28" s="62" t="s">
        <v>15</v>
      </c>
      <c r="H28" s="61" t="s">
        <v>514</v>
      </c>
      <c r="I28" s="62" t="s">
        <v>1551</v>
      </c>
      <c r="J28" s="62" t="s">
        <v>1551</v>
      </c>
      <c r="K28" s="62" t="s">
        <v>623</v>
      </c>
      <c r="L28" s="134">
        <v>10650</v>
      </c>
      <c r="M28" s="71" t="s">
        <v>2254</v>
      </c>
      <c r="N28" s="64">
        <v>254729562568</v>
      </c>
    </row>
    <row r="29" spans="1:14" ht="22.5" x14ac:dyDescent="0.25">
      <c r="A29" s="68" t="s">
        <v>150</v>
      </c>
      <c r="B29" s="66">
        <v>2407285</v>
      </c>
      <c r="C29" s="66">
        <v>66109</v>
      </c>
      <c r="D29" s="67" t="s">
        <v>1570</v>
      </c>
      <c r="E29" s="67">
        <v>49</v>
      </c>
      <c r="F29" s="67" t="s">
        <v>1571</v>
      </c>
      <c r="G29" s="67" t="s">
        <v>15</v>
      </c>
      <c r="H29" s="68" t="s">
        <v>260</v>
      </c>
      <c r="I29" s="67" t="s">
        <v>1572</v>
      </c>
      <c r="J29" s="67" t="s">
        <v>1551</v>
      </c>
      <c r="K29" s="67">
        <v>4</v>
      </c>
      <c r="L29" s="133">
        <v>11095</v>
      </c>
      <c r="M29" s="69" t="s">
        <v>2254</v>
      </c>
      <c r="N29" s="70">
        <v>254794266660</v>
      </c>
    </row>
    <row r="30" spans="1:14" x14ac:dyDescent="0.25">
      <c r="A30" s="61" t="s">
        <v>68</v>
      </c>
      <c r="B30" s="74">
        <v>2002953</v>
      </c>
      <c r="C30" s="60">
        <v>18654</v>
      </c>
      <c r="D30" s="61" t="s">
        <v>1573</v>
      </c>
      <c r="E30" s="61">
        <v>63</v>
      </c>
      <c r="F30" s="61" t="s">
        <v>126</v>
      </c>
      <c r="G30" s="61" t="s">
        <v>22</v>
      </c>
      <c r="H30" s="61" t="s">
        <v>1544</v>
      </c>
      <c r="I30" s="61" t="s">
        <v>1562</v>
      </c>
      <c r="J30" s="61" t="s">
        <v>1562</v>
      </c>
      <c r="K30" s="62" t="s">
        <v>623</v>
      </c>
      <c r="L30" s="137">
        <v>11484</v>
      </c>
      <c r="M30" s="77" t="s">
        <v>2254</v>
      </c>
      <c r="N30" s="64">
        <v>254715509227</v>
      </c>
    </row>
    <row r="31" spans="1:14" x14ac:dyDescent="0.25">
      <c r="A31" s="68" t="s">
        <v>72</v>
      </c>
      <c r="B31" s="75">
        <v>2502095</v>
      </c>
      <c r="C31" s="66">
        <v>21102</v>
      </c>
      <c r="D31" s="68" t="s">
        <v>1574</v>
      </c>
      <c r="E31" s="65">
        <v>63</v>
      </c>
      <c r="F31" s="65" t="s">
        <v>60</v>
      </c>
      <c r="G31" s="65" t="s">
        <v>22</v>
      </c>
      <c r="H31" s="65" t="s">
        <v>514</v>
      </c>
      <c r="I31" s="68" t="s">
        <v>1232</v>
      </c>
      <c r="J31" s="65" t="s">
        <v>1553</v>
      </c>
      <c r="K31" s="67" t="s">
        <v>623</v>
      </c>
      <c r="L31" s="135">
        <v>11500</v>
      </c>
      <c r="M31" s="73" t="s">
        <v>2254</v>
      </c>
      <c r="N31" s="70">
        <v>254715509227</v>
      </c>
    </row>
    <row r="32" spans="1:14" x14ac:dyDescent="0.25">
      <c r="A32" s="61" t="s">
        <v>72</v>
      </c>
      <c r="B32" s="60">
        <v>2502095</v>
      </c>
      <c r="C32" s="60">
        <v>21102</v>
      </c>
      <c r="D32" s="62" t="s">
        <v>663</v>
      </c>
      <c r="E32" s="62"/>
      <c r="F32" s="62" t="s">
        <v>60</v>
      </c>
      <c r="G32" s="62" t="s">
        <v>22</v>
      </c>
      <c r="H32" s="61" t="s">
        <v>514</v>
      </c>
      <c r="I32" s="62" t="s">
        <v>1572</v>
      </c>
      <c r="J32" s="62" t="s">
        <v>1572</v>
      </c>
      <c r="K32" s="62" t="s">
        <v>623</v>
      </c>
      <c r="L32" s="134">
        <v>11500</v>
      </c>
      <c r="M32" s="71" t="s">
        <v>2254</v>
      </c>
      <c r="N32" s="64">
        <v>254715509227</v>
      </c>
    </row>
    <row r="33" spans="1:14" ht="33.75" x14ac:dyDescent="0.25">
      <c r="A33" s="68" t="s">
        <v>1575</v>
      </c>
      <c r="B33" s="66">
        <v>2001198</v>
      </c>
      <c r="C33" s="66">
        <v>18587</v>
      </c>
      <c r="D33" s="67" t="s">
        <v>1425</v>
      </c>
      <c r="E33" s="67">
        <v>75</v>
      </c>
      <c r="F33" s="67" t="s">
        <v>60</v>
      </c>
      <c r="G33" s="67" t="s">
        <v>22</v>
      </c>
      <c r="H33" s="68" t="s">
        <v>514</v>
      </c>
      <c r="I33" s="67" t="s">
        <v>1576</v>
      </c>
      <c r="J33" s="67" t="s">
        <v>1543</v>
      </c>
      <c r="K33" s="67" t="s">
        <v>623</v>
      </c>
      <c r="L33" s="133">
        <v>11500</v>
      </c>
      <c r="M33" s="69" t="s">
        <v>2254</v>
      </c>
      <c r="N33" s="70">
        <v>254715509227</v>
      </c>
    </row>
    <row r="34" spans="1:14" ht="33.75" x14ac:dyDescent="0.25">
      <c r="A34" s="61" t="s">
        <v>72</v>
      </c>
      <c r="B34" s="60">
        <v>2005658</v>
      </c>
      <c r="C34" s="60">
        <v>54643</v>
      </c>
      <c r="D34" s="62" t="s">
        <v>1577</v>
      </c>
      <c r="E34" s="62">
        <v>60</v>
      </c>
      <c r="F34" s="62" t="s">
        <v>49</v>
      </c>
      <c r="G34" s="62" t="s">
        <v>15</v>
      </c>
      <c r="H34" s="61" t="s">
        <v>1578</v>
      </c>
      <c r="I34" s="62" t="s">
        <v>1567</v>
      </c>
      <c r="J34" s="62" t="s">
        <v>1567</v>
      </c>
      <c r="K34" s="62" t="s">
        <v>556</v>
      </c>
      <c r="L34" s="134">
        <v>12000</v>
      </c>
      <c r="M34" s="71" t="s">
        <v>2254</v>
      </c>
      <c r="N34" s="64">
        <v>254715509227</v>
      </c>
    </row>
    <row r="35" spans="1:14" x14ac:dyDescent="0.25">
      <c r="A35" s="68" t="s">
        <v>687</v>
      </c>
      <c r="B35" s="66">
        <v>2001404</v>
      </c>
      <c r="C35" s="66">
        <v>37163</v>
      </c>
      <c r="D35" s="67" t="s">
        <v>688</v>
      </c>
      <c r="E35" s="67">
        <v>63</v>
      </c>
      <c r="F35" s="67" t="s">
        <v>126</v>
      </c>
      <c r="G35" s="67" t="s">
        <v>22</v>
      </c>
      <c r="H35" s="68" t="s">
        <v>633</v>
      </c>
      <c r="I35" s="67" t="s">
        <v>1556</v>
      </c>
      <c r="J35" s="67" t="s">
        <v>1556</v>
      </c>
      <c r="K35" s="67" t="s">
        <v>623</v>
      </c>
      <c r="L35" s="133">
        <v>13000</v>
      </c>
      <c r="M35" s="69" t="s">
        <v>2254</v>
      </c>
      <c r="N35" s="70">
        <v>254715509227</v>
      </c>
    </row>
    <row r="36" spans="1:14" x14ac:dyDescent="0.25">
      <c r="A36" s="61" t="s">
        <v>687</v>
      </c>
      <c r="B36" s="60">
        <v>2001404</v>
      </c>
      <c r="C36" s="60">
        <v>37163</v>
      </c>
      <c r="D36" s="62" t="s">
        <v>688</v>
      </c>
      <c r="E36" s="62">
        <v>63</v>
      </c>
      <c r="F36" s="62" t="s">
        <v>60</v>
      </c>
      <c r="G36" s="62" t="s">
        <v>22</v>
      </c>
      <c r="H36" s="61" t="s">
        <v>633</v>
      </c>
      <c r="I36" s="62" t="s">
        <v>1559</v>
      </c>
      <c r="J36" s="62" t="s">
        <v>1559</v>
      </c>
      <c r="K36" s="62" t="s">
        <v>623</v>
      </c>
      <c r="L36" s="134">
        <v>13000</v>
      </c>
      <c r="M36" s="71" t="s">
        <v>2254</v>
      </c>
      <c r="N36" s="64">
        <v>254715509227</v>
      </c>
    </row>
    <row r="37" spans="1:14" ht="22.5" x14ac:dyDescent="0.25">
      <c r="A37" s="68" t="s">
        <v>1452</v>
      </c>
      <c r="B37" s="66">
        <v>2503198</v>
      </c>
      <c r="C37" s="66">
        <v>75071</v>
      </c>
      <c r="D37" s="67" t="s">
        <v>1579</v>
      </c>
      <c r="E37" s="78">
        <v>1.25</v>
      </c>
      <c r="F37" s="67" t="s">
        <v>1580</v>
      </c>
      <c r="G37" s="67" t="s">
        <v>88</v>
      </c>
      <c r="H37" s="68" t="s">
        <v>1581</v>
      </c>
      <c r="I37" s="67" t="s">
        <v>1542</v>
      </c>
      <c r="J37" s="67" t="s">
        <v>1556</v>
      </c>
      <c r="K37" s="67">
        <v>3</v>
      </c>
      <c r="L37" s="133">
        <v>15000</v>
      </c>
      <c r="M37" s="69" t="s">
        <v>2254</v>
      </c>
      <c r="N37" s="70">
        <v>254715509227</v>
      </c>
    </row>
    <row r="38" spans="1:14" x14ac:dyDescent="0.25">
      <c r="A38" s="61" t="s">
        <v>354</v>
      </c>
      <c r="B38" s="60">
        <v>2013525</v>
      </c>
      <c r="C38" s="60">
        <v>10031</v>
      </c>
      <c r="D38" s="62" t="s">
        <v>1582</v>
      </c>
      <c r="E38" s="62">
        <v>66</v>
      </c>
      <c r="F38" s="62" t="s">
        <v>49</v>
      </c>
      <c r="G38" s="62" t="s">
        <v>15</v>
      </c>
      <c r="H38" s="61" t="s">
        <v>1270</v>
      </c>
      <c r="I38" s="62" t="s">
        <v>1567</v>
      </c>
      <c r="J38" s="62" t="s">
        <v>1567</v>
      </c>
      <c r="K38" s="62" t="s">
        <v>714</v>
      </c>
      <c r="L38" s="134">
        <v>15125.29</v>
      </c>
      <c r="M38" s="71" t="s">
        <v>2254</v>
      </c>
      <c r="N38" s="64">
        <v>254720552242</v>
      </c>
    </row>
    <row r="39" spans="1:14" ht="22.5" x14ac:dyDescent="0.25">
      <c r="A39" s="68" t="s">
        <v>808</v>
      </c>
      <c r="B39" s="66">
        <v>2004348</v>
      </c>
      <c r="C39" s="66">
        <v>60369</v>
      </c>
      <c r="D39" s="67" t="s">
        <v>1583</v>
      </c>
      <c r="E39" s="67">
        <v>62</v>
      </c>
      <c r="F39" s="67" t="s">
        <v>60</v>
      </c>
      <c r="G39" s="67" t="s">
        <v>22</v>
      </c>
      <c r="H39" s="68" t="s">
        <v>1584</v>
      </c>
      <c r="I39" s="67" t="s">
        <v>1559</v>
      </c>
      <c r="J39" s="67" t="s">
        <v>1559</v>
      </c>
      <c r="K39" s="67" t="s">
        <v>788</v>
      </c>
      <c r="L39" s="133">
        <v>15200</v>
      </c>
      <c r="M39" s="69" t="s">
        <v>2254</v>
      </c>
      <c r="N39" s="70">
        <v>254723650682</v>
      </c>
    </row>
    <row r="40" spans="1:14" ht="33.75" x14ac:dyDescent="0.25">
      <c r="A40" s="61" t="s">
        <v>1585</v>
      </c>
      <c r="B40" s="60">
        <v>2023417</v>
      </c>
      <c r="C40" s="60">
        <v>52671</v>
      </c>
      <c r="D40" s="62" t="s">
        <v>1586</v>
      </c>
      <c r="E40" s="62">
        <v>65</v>
      </c>
      <c r="F40" s="62" t="s">
        <v>60</v>
      </c>
      <c r="G40" s="62" t="s">
        <v>22</v>
      </c>
      <c r="H40" s="61" t="s">
        <v>1587</v>
      </c>
      <c r="I40" s="62" t="s">
        <v>1572</v>
      </c>
      <c r="J40" s="62" t="s">
        <v>1572</v>
      </c>
      <c r="K40" s="62" t="s">
        <v>788</v>
      </c>
      <c r="L40" s="134">
        <v>20000</v>
      </c>
      <c r="M40" s="71" t="s">
        <v>2254</v>
      </c>
      <c r="N40" s="64">
        <v>254721223144</v>
      </c>
    </row>
    <row r="41" spans="1:14" ht="33.75" x14ac:dyDescent="0.25">
      <c r="A41" s="68" t="s">
        <v>856</v>
      </c>
      <c r="B41" s="66">
        <v>2004095</v>
      </c>
      <c r="C41" s="66">
        <v>102642</v>
      </c>
      <c r="D41" s="67" t="s">
        <v>740</v>
      </c>
      <c r="E41" s="67">
        <v>65</v>
      </c>
      <c r="F41" s="67" t="s">
        <v>49</v>
      </c>
      <c r="G41" s="67" t="s">
        <v>15</v>
      </c>
      <c r="H41" s="68" t="s">
        <v>1588</v>
      </c>
      <c r="I41" s="67" t="s">
        <v>1589</v>
      </c>
      <c r="J41" s="67" t="s">
        <v>1589</v>
      </c>
      <c r="K41" s="67" t="s">
        <v>714</v>
      </c>
      <c r="L41" s="133">
        <v>23685</v>
      </c>
      <c r="M41" s="69" t="s">
        <v>2254</v>
      </c>
      <c r="N41" s="70">
        <v>254728066319</v>
      </c>
    </row>
    <row r="42" spans="1:14" ht="33.75" x14ac:dyDescent="0.25">
      <c r="A42" s="61" t="s">
        <v>856</v>
      </c>
      <c r="B42" s="60">
        <v>2004095</v>
      </c>
      <c r="C42" s="60">
        <v>102642</v>
      </c>
      <c r="D42" s="62" t="s">
        <v>740</v>
      </c>
      <c r="E42" s="62">
        <v>65</v>
      </c>
      <c r="F42" s="62" t="s">
        <v>49</v>
      </c>
      <c r="G42" s="62" t="s">
        <v>15</v>
      </c>
      <c r="H42" s="61" t="s">
        <v>1588</v>
      </c>
      <c r="I42" s="62" t="s">
        <v>1543</v>
      </c>
      <c r="J42" s="62" t="s">
        <v>1543</v>
      </c>
      <c r="K42" s="62" t="s">
        <v>714</v>
      </c>
      <c r="L42" s="134">
        <v>24062.44</v>
      </c>
      <c r="M42" s="71" t="s">
        <v>2254</v>
      </c>
      <c r="N42" s="64">
        <v>254707224884</v>
      </c>
    </row>
    <row r="43" spans="1:14" ht="45" x14ac:dyDescent="0.25">
      <c r="A43" s="68" t="s">
        <v>1590</v>
      </c>
      <c r="B43" s="72">
        <v>2407241</v>
      </c>
      <c r="C43" s="66">
        <v>63110</v>
      </c>
      <c r="D43" s="65" t="s">
        <v>1591</v>
      </c>
      <c r="E43" s="65">
        <v>50</v>
      </c>
      <c r="F43" s="65" t="s">
        <v>1592</v>
      </c>
      <c r="G43" s="65" t="s">
        <v>15</v>
      </c>
      <c r="H43" s="65" t="s">
        <v>1593</v>
      </c>
      <c r="I43" s="65" t="s">
        <v>1594</v>
      </c>
      <c r="J43" s="68" t="s">
        <v>1562</v>
      </c>
      <c r="K43" s="65">
        <v>2</v>
      </c>
      <c r="L43" s="135">
        <v>24133.75</v>
      </c>
      <c r="M43" s="73" t="s">
        <v>2254</v>
      </c>
      <c r="N43" s="70">
        <v>254728490591</v>
      </c>
    </row>
    <row r="44" spans="1:14" ht="22.5" x14ac:dyDescent="0.25">
      <c r="A44" s="61" t="s">
        <v>53</v>
      </c>
      <c r="B44" s="74">
        <v>2018734</v>
      </c>
      <c r="C44" s="60">
        <v>64401</v>
      </c>
      <c r="D44" s="61" t="s">
        <v>1595</v>
      </c>
      <c r="E44" s="61">
        <v>61</v>
      </c>
      <c r="F44" s="61" t="s">
        <v>126</v>
      </c>
      <c r="G44" s="61" t="s">
        <v>22</v>
      </c>
      <c r="H44" s="61" t="s">
        <v>1596</v>
      </c>
      <c r="I44" s="61" t="s">
        <v>1562</v>
      </c>
      <c r="J44" s="61" t="s">
        <v>1562</v>
      </c>
      <c r="K44" s="62" t="s">
        <v>714</v>
      </c>
      <c r="L44" s="132">
        <v>27000</v>
      </c>
      <c r="M44" s="63" t="s">
        <v>2254</v>
      </c>
      <c r="N44" s="64">
        <v>254718134262</v>
      </c>
    </row>
    <row r="45" spans="1:14" ht="22.5" x14ac:dyDescent="0.25">
      <c r="A45" s="68" t="s">
        <v>856</v>
      </c>
      <c r="B45" s="66">
        <v>2004095</v>
      </c>
      <c r="C45" s="66">
        <v>102642</v>
      </c>
      <c r="D45" s="67" t="s">
        <v>740</v>
      </c>
      <c r="E45" s="67">
        <v>65</v>
      </c>
      <c r="F45" s="67" t="s">
        <v>60</v>
      </c>
      <c r="G45" s="67" t="s">
        <v>22</v>
      </c>
      <c r="H45" s="68" t="s">
        <v>728</v>
      </c>
      <c r="I45" s="67" t="s">
        <v>1551</v>
      </c>
      <c r="J45" s="67" t="s">
        <v>1551</v>
      </c>
      <c r="K45" s="67" t="s">
        <v>714</v>
      </c>
      <c r="L45" s="133">
        <v>27143.05</v>
      </c>
      <c r="M45" s="69" t="s">
        <v>2254</v>
      </c>
      <c r="N45" s="70">
        <v>254721446037</v>
      </c>
    </row>
    <row r="46" spans="1:14" ht="22.5" x14ac:dyDescent="0.25">
      <c r="A46" s="61" t="s">
        <v>117</v>
      </c>
      <c r="B46" s="60">
        <v>2021273</v>
      </c>
      <c r="C46" s="60">
        <v>56896</v>
      </c>
      <c r="D46" s="62" t="s">
        <v>1597</v>
      </c>
      <c r="E46" s="62">
        <v>59</v>
      </c>
      <c r="F46" s="62" t="s">
        <v>14</v>
      </c>
      <c r="G46" s="62" t="s">
        <v>706</v>
      </c>
      <c r="H46" s="61" t="s">
        <v>1598</v>
      </c>
      <c r="I46" s="62" t="s">
        <v>1549</v>
      </c>
      <c r="J46" s="62" t="s">
        <v>1556</v>
      </c>
      <c r="K46" s="62">
        <v>1</v>
      </c>
      <c r="L46" s="134">
        <v>28505</v>
      </c>
      <c r="M46" s="71" t="s">
        <v>2254</v>
      </c>
      <c r="N46" s="64">
        <v>254721334599</v>
      </c>
    </row>
    <row r="47" spans="1:14" ht="33.75" x14ac:dyDescent="0.25">
      <c r="A47" s="68" t="s">
        <v>785</v>
      </c>
      <c r="B47" s="72">
        <v>2001802</v>
      </c>
      <c r="C47" s="66">
        <v>11761</v>
      </c>
      <c r="D47" s="65" t="s">
        <v>1599</v>
      </c>
      <c r="E47" s="65">
        <v>71</v>
      </c>
      <c r="F47" s="65" t="s">
        <v>60</v>
      </c>
      <c r="G47" s="65" t="s">
        <v>22</v>
      </c>
      <c r="H47" s="65" t="s">
        <v>1600</v>
      </c>
      <c r="I47" s="65" t="s">
        <v>1553</v>
      </c>
      <c r="J47" s="65" t="s">
        <v>1553</v>
      </c>
      <c r="K47" s="67" t="s">
        <v>788</v>
      </c>
      <c r="L47" s="135">
        <v>30000</v>
      </c>
      <c r="M47" s="73" t="s">
        <v>2254</v>
      </c>
      <c r="N47" s="70">
        <v>254720920599</v>
      </c>
    </row>
    <row r="48" spans="1:14" ht="22.5" x14ac:dyDescent="0.25">
      <c r="A48" s="61" t="s">
        <v>808</v>
      </c>
      <c r="B48" s="60">
        <v>2503097</v>
      </c>
      <c r="C48" s="60">
        <v>85610</v>
      </c>
      <c r="D48" s="62" t="s">
        <v>1601</v>
      </c>
      <c r="E48" s="62">
        <v>70</v>
      </c>
      <c r="F48" s="62" t="s">
        <v>60</v>
      </c>
      <c r="G48" s="62" t="s">
        <v>15</v>
      </c>
      <c r="H48" s="61" t="s">
        <v>1602</v>
      </c>
      <c r="I48" s="62" t="s">
        <v>1603</v>
      </c>
      <c r="J48" s="62" t="s">
        <v>1549</v>
      </c>
      <c r="K48" s="62" t="s">
        <v>788</v>
      </c>
      <c r="L48" s="134">
        <v>30000</v>
      </c>
      <c r="M48" s="71" t="s">
        <v>2254</v>
      </c>
      <c r="N48" s="64">
        <v>254722252523</v>
      </c>
    </row>
    <row r="49" spans="1:14" ht="22.5" x14ac:dyDescent="0.25">
      <c r="A49" s="68" t="s">
        <v>53</v>
      </c>
      <c r="B49" s="66">
        <v>2006375</v>
      </c>
      <c r="C49" s="66">
        <v>68552</v>
      </c>
      <c r="D49" s="67" t="s">
        <v>1604</v>
      </c>
      <c r="E49" s="67"/>
      <c r="F49" s="67" t="s">
        <v>14</v>
      </c>
      <c r="G49" s="67" t="s">
        <v>88</v>
      </c>
      <c r="H49" s="68" t="s">
        <v>1605</v>
      </c>
      <c r="I49" s="67" t="s">
        <v>1556</v>
      </c>
      <c r="J49" s="67" t="s">
        <v>1556</v>
      </c>
      <c r="K49" s="67" t="s">
        <v>556</v>
      </c>
      <c r="L49" s="133">
        <v>30000</v>
      </c>
      <c r="M49" s="69" t="s">
        <v>2254</v>
      </c>
      <c r="N49" s="70">
        <v>254722420871</v>
      </c>
    </row>
    <row r="50" spans="1:14" ht="33.75" x14ac:dyDescent="0.25">
      <c r="A50" s="61" t="s">
        <v>856</v>
      </c>
      <c r="B50" s="60">
        <v>2004095</v>
      </c>
      <c r="C50" s="60">
        <v>102642</v>
      </c>
      <c r="D50" s="62" t="s">
        <v>740</v>
      </c>
      <c r="E50" s="62">
        <v>65</v>
      </c>
      <c r="F50" s="62" t="s">
        <v>49</v>
      </c>
      <c r="G50" s="62" t="s">
        <v>15</v>
      </c>
      <c r="H50" s="61" t="s">
        <v>1588</v>
      </c>
      <c r="I50" s="62" t="s">
        <v>1572</v>
      </c>
      <c r="J50" s="62" t="s">
        <v>1572</v>
      </c>
      <c r="K50" s="62" t="s">
        <v>714</v>
      </c>
      <c r="L50" s="134">
        <v>30366</v>
      </c>
      <c r="M50" s="71" t="s">
        <v>2254</v>
      </c>
      <c r="N50" s="64">
        <v>254718353180</v>
      </c>
    </row>
    <row r="51" spans="1:14" ht="33.75" x14ac:dyDescent="0.25">
      <c r="A51" s="68" t="s">
        <v>1606</v>
      </c>
      <c r="B51" s="66">
        <v>2009707</v>
      </c>
      <c r="C51" s="66">
        <v>14326</v>
      </c>
      <c r="D51" s="67" t="s">
        <v>1607</v>
      </c>
      <c r="E51" s="67">
        <v>68</v>
      </c>
      <c r="F51" s="67" t="s">
        <v>1608</v>
      </c>
      <c r="G51" s="67" t="s">
        <v>15</v>
      </c>
      <c r="H51" s="68" t="s">
        <v>1609</v>
      </c>
      <c r="I51" s="67" t="s">
        <v>1546</v>
      </c>
      <c r="J51" s="67" t="s">
        <v>1610</v>
      </c>
      <c r="K51" s="67">
        <v>3</v>
      </c>
      <c r="L51" s="133">
        <v>30440</v>
      </c>
      <c r="M51" s="69" t="s">
        <v>2254</v>
      </c>
      <c r="N51" s="70">
        <v>254711511665</v>
      </c>
    </row>
    <row r="52" spans="1:14" ht="22.5" x14ac:dyDescent="0.25">
      <c r="A52" s="61" t="s">
        <v>726</v>
      </c>
      <c r="B52" s="60">
        <v>2010446</v>
      </c>
      <c r="C52" s="60">
        <v>100598</v>
      </c>
      <c r="D52" s="62" t="s">
        <v>1611</v>
      </c>
      <c r="E52" s="62">
        <v>69</v>
      </c>
      <c r="F52" s="62" t="s">
        <v>60</v>
      </c>
      <c r="G52" s="62" t="s">
        <v>22</v>
      </c>
      <c r="H52" s="61" t="s">
        <v>445</v>
      </c>
      <c r="I52" s="62" t="s">
        <v>1549</v>
      </c>
      <c r="J52" s="62" t="s">
        <v>1549</v>
      </c>
      <c r="K52" s="62" t="s">
        <v>714</v>
      </c>
      <c r="L52" s="134">
        <v>31133</v>
      </c>
      <c r="M52" s="71" t="s">
        <v>2254</v>
      </c>
      <c r="N52" s="64">
        <v>254722341101</v>
      </c>
    </row>
    <row r="53" spans="1:14" x14ac:dyDescent="0.25">
      <c r="A53" s="68" t="s">
        <v>274</v>
      </c>
      <c r="B53" s="66">
        <v>2003970</v>
      </c>
      <c r="C53" s="66">
        <v>20764</v>
      </c>
      <c r="D53" s="67" t="s">
        <v>1612</v>
      </c>
      <c r="E53" s="67">
        <v>68</v>
      </c>
      <c r="F53" s="67" t="s">
        <v>60</v>
      </c>
      <c r="G53" s="67" t="s">
        <v>22</v>
      </c>
      <c r="H53" s="68" t="s">
        <v>445</v>
      </c>
      <c r="I53" s="67" t="s">
        <v>1543</v>
      </c>
      <c r="J53" s="67" t="s">
        <v>1543</v>
      </c>
      <c r="K53" s="67" t="s">
        <v>714</v>
      </c>
      <c r="L53" s="133">
        <v>31893</v>
      </c>
      <c r="M53" s="69" t="s">
        <v>2254</v>
      </c>
      <c r="N53" s="70">
        <v>254722341101</v>
      </c>
    </row>
    <row r="54" spans="1:14" ht="33.75" x14ac:dyDescent="0.25">
      <c r="A54" s="61" t="s">
        <v>117</v>
      </c>
      <c r="B54" s="60">
        <v>2021273</v>
      </c>
      <c r="C54" s="60">
        <v>56896</v>
      </c>
      <c r="D54" s="62" t="s">
        <v>1613</v>
      </c>
      <c r="E54" s="62">
        <v>59</v>
      </c>
      <c r="F54" s="62" t="s">
        <v>1614</v>
      </c>
      <c r="G54" s="62" t="s">
        <v>15</v>
      </c>
      <c r="H54" s="61" t="s">
        <v>1615</v>
      </c>
      <c r="I54" s="62" t="s">
        <v>1567</v>
      </c>
      <c r="J54" s="62" t="s">
        <v>1551</v>
      </c>
      <c r="K54" s="62">
        <v>1</v>
      </c>
      <c r="L54" s="134">
        <v>34000</v>
      </c>
      <c r="M54" s="71" t="s">
        <v>2254</v>
      </c>
      <c r="N54" s="64">
        <v>254724712619</v>
      </c>
    </row>
    <row r="55" spans="1:14" ht="33.75" x14ac:dyDescent="0.25">
      <c r="A55" s="68" t="s">
        <v>354</v>
      </c>
      <c r="B55" s="66">
        <v>2001255</v>
      </c>
      <c r="C55" s="66">
        <v>100198</v>
      </c>
      <c r="D55" s="67" t="s">
        <v>1616</v>
      </c>
      <c r="E55" s="67">
        <v>79</v>
      </c>
      <c r="F55" s="67" t="s">
        <v>1617</v>
      </c>
      <c r="G55" s="67" t="s">
        <v>22</v>
      </c>
      <c r="H55" s="68" t="s">
        <v>1618</v>
      </c>
      <c r="I55" s="67" t="s">
        <v>1542</v>
      </c>
      <c r="J55" s="67" t="s">
        <v>1549</v>
      </c>
      <c r="K55" s="67">
        <v>2</v>
      </c>
      <c r="L55" s="133">
        <v>35739.449999999997</v>
      </c>
      <c r="M55" s="69" t="s">
        <v>2254</v>
      </c>
      <c r="N55" s="70">
        <v>254721925568</v>
      </c>
    </row>
    <row r="56" spans="1:14" ht="22.5" x14ac:dyDescent="0.25">
      <c r="A56" s="61" t="s">
        <v>1619</v>
      </c>
      <c r="B56" s="60">
        <v>2001244</v>
      </c>
      <c r="C56" s="60">
        <v>3692</v>
      </c>
      <c r="D56" s="62" t="s">
        <v>1620</v>
      </c>
      <c r="E56" s="62">
        <v>77</v>
      </c>
      <c r="F56" s="62" t="s">
        <v>60</v>
      </c>
      <c r="G56" s="62" t="s">
        <v>22</v>
      </c>
      <c r="H56" s="61" t="s">
        <v>1621</v>
      </c>
      <c r="I56" s="62" t="s">
        <v>1566</v>
      </c>
      <c r="J56" s="62" t="s">
        <v>1567</v>
      </c>
      <c r="K56" s="62" t="s">
        <v>714</v>
      </c>
      <c r="L56" s="134">
        <v>35954</v>
      </c>
      <c r="M56" s="71" t="s">
        <v>2254</v>
      </c>
      <c r="N56" s="64">
        <v>254722694758</v>
      </c>
    </row>
    <row r="57" spans="1:14" ht="22.5" x14ac:dyDescent="0.25">
      <c r="A57" s="68" t="s">
        <v>856</v>
      </c>
      <c r="B57" s="66">
        <v>2001095</v>
      </c>
      <c r="C57" s="66">
        <v>102642</v>
      </c>
      <c r="D57" s="67" t="s">
        <v>740</v>
      </c>
      <c r="E57" s="67">
        <v>65</v>
      </c>
      <c r="F57" s="67" t="s">
        <v>60</v>
      </c>
      <c r="G57" s="67" t="s">
        <v>22</v>
      </c>
      <c r="H57" s="68" t="s">
        <v>728</v>
      </c>
      <c r="I57" s="67" t="s">
        <v>1567</v>
      </c>
      <c r="J57" s="67" t="s">
        <v>1567</v>
      </c>
      <c r="K57" s="67" t="s">
        <v>714</v>
      </c>
      <c r="L57" s="133">
        <v>36256.9</v>
      </c>
      <c r="M57" s="69" t="s">
        <v>2254</v>
      </c>
      <c r="N57" s="70">
        <v>254722928967</v>
      </c>
    </row>
    <row r="58" spans="1:14" ht="33.75" x14ac:dyDescent="0.25">
      <c r="A58" s="61" t="s">
        <v>1622</v>
      </c>
      <c r="B58" s="74">
        <v>2009830</v>
      </c>
      <c r="C58" s="60">
        <v>18739</v>
      </c>
      <c r="D58" s="61" t="s">
        <v>1623</v>
      </c>
      <c r="E58" s="61">
        <v>58</v>
      </c>
      <c r="F58" s="61" t="s">
        <v>1624</v>
      </c>
      <c r="G58" s="61" t="s">
        <v>15</v>
      </c>
      <c r="H58" s="61" t="s">
        <v>1625</v>
      </c>
      <c r="I58" s="61" t="s">
        <v>1594</v>
      </c>
      <c r="J58" s="61" t="s">
        <v>1562</v>
      </c>
      <c r="K58" s="58">
        <v>2</v>
      </c>
      <c r="L58" s="132">
        <v>36720</v>
      </c>
      <c r="M58" s="63" t="s">
        <v>2254</v>
      </c>
      <c r="N58" s="64">
        <v>254721898644</v>
      </c>
    </row>
    <row r="59" spans="1:14" ht="22.5" x14ac:dyDescent="0.25">
      <c r="A59" s="68" t="s">
        <v>1626</v>
      </c>
      <c r="B59" s="66">
        <v>2508190</v>
      </c>
      <c r="C59" s="66">
        <v>21257</v>
      </c>
      <c r="D59" s="67" t="s">
        <v>1627</v>
      </c>
      <c r="E59" s="67">
        <v>55</v>
      </c>
      <c r="F59" s="67" t="s">
        <v>1628</v>
      </c>
      <c r="G59" s="67" t="s">
        <v>15</v>
      </c>
      <c r="H59" s="68" t="s">
        <v>1629</v>
      </c>
      <c r="I59" s="67" t="s">
        <v>1572</v>
      </c>
      <c r="J59" s="67" t="s">
        <v>1543</v>
      </c>
      <c r="K59" s="67">
        <v>2</v>
      </c>
      <c r="L59" s="133">
        <v>36880</v>
      </c>
      <c r="M59" s="69" t="s">
        <v>2254</v>
      </c>
      <c r="N59" s="70">
        <v>722895363</v>
      </c>
    </row>
    <row r="60" spans="1:14" ht="22.5" x14ac:dyDescent="0.25">
      <c r="A60" s="61" t="s">
        <v>1630</v>
      </c>
      <c r="B60" s="60">
        <v>2017885</v>
      </c>
      <c r="C60" s="60">
        <v>55503</v>
      </c>
      <c r="D60" s="62" t="s">
        <v>1631</v>
      </c>
      <c r="E60" s="62">
        <v>62</v>
      </c>
      <c r="F60" s="62" t="s">
        <v>60</v>
      </c>
      <c r="G60" s="62" t="s">
        <v>22</v>
      </c>
      <c r="H60" s="61" t="s">
        <v>1632</v>
      </c>
      <c r="I60" s="62" t="s">
        <v>1546</v>
      </c>
      <c r="J60" s="62" t="s">
        <v>1546</v>
      </c>
      <c r="K60" s="62" t="s">
        <v>556</v>
      </c>
      <c r="L60" s="134">
        <v>40093</v>
      </c>
      <c r="M60" s="71" t="s">
        <v>2254</v>
      </c>
      <c r="N60" s="64">
        <v>254713092310</v>
      </c>
    </row>
    <row r="61" spans="1:14" ht="45" x14ac:dyDescent="0.25">
      <c r="A61" s="68" t="s">
        <v>354</v>
      </c>
      <c r="B61" s="66">
        <v>2010295</v>
      </c>
      <c r="C61" s="66">
        <v>100193</v>
      </c>
      <c r="D61" s="67" t="s">
        <v>1633</v>
      </c>
      <c r="E61" s="67">
        <v>63</v>
      </c>
      <c r="F61" s="67" t="s">
        <v>1634</v>
      </c>
      <c r="G61" s="67" t="s">
        <v>15</v>
      </c>
      <c r="H61" s="68" t="s">
        <v>1635</v>
      </c>
      <c r="I61" s="67" t="s">
        <v>1543</v>
      </c>
      <c r="J61" s="67" t="s">
        <v>1551</v>
      </c>
      <c r="K61" s="67">
        <v>3</v>
      </c>
      <c r="L61" s="133">
        <v>41552.06</v>
      </c>
      <c r="M61" s="69" t="s">
        <v>2254</v>
      </c>
      <c r="N61" s="70">
        <v>254723975317</v>
      </c>
    </row>
    <row r="62" spans="1:14" ht="33.75" x14ac:dyDescent="0.25">
      <c r="A62" s="61" t="s">
        <v>1504</v>
      </c>
      <c r="B62" s="60">
        <v>2018355</v>
      </c>
      <c r="C62" s="60">
        <v>63541</v>
      </c>
      <c r="D62" s="62" t="s">
        <v>1636</v>
      </c>
      <c r="E62" s="62">
        <v>61</v>
      </c>
      <c r="F62" s="62" t="s">
        <v>1637</v>
      </c>
      <c r="G62" s="62" t="s">
        <v>22</v>
      </c>
      <c r="H62" s="61" t="s">
        <v>1638</v>
      </c>
      <c r="I62" s="62" t="s">
        <v>1639</v>
      </c>
      <c r="J62" s="62" t="s">
        <v>1567</v>
      </c>
      <c r="K62" s="62">
        <v>8</v>
      </c>
      <c r="L62" s="134">
        <v>43225</v>
      </c>
      <c r="M62" s="71" t="s">
        <v>2254</v>
      </c>
      <c r="N62" s="64">
        <v>254722260248</v>
      </c>
    </row>
    <row r="63" spans="1:14" ht="22.5" x14ac:dyDescent="0.25">
      <c r="A63" s="68" t="s">
        <v>1585</v>
      </c>
      <c r="B63" s="66">
        <v>2010502</v>
      </c>
      <c r="C63" s="66">
        <v>15710</v>
      </c>
      <c r="D63" s="67" t="s">
        <v>1640</v>
      </c>
      <c r="E63" s="67">
        <v>65</v>
      </c>
      <c r="F63" s="67" t="s">
        <v>126</v>
      </c>
      <c r="G63" s="67" t="s">
        <v>664</v>
      </c>
      <c r="H63" s="68" t="s">
        <v>1641</v>
      </c>
      <c r="I63" s="67" t="s">
        <v>1549</v>
      </c>
      <c r="J63" s="67" t="s">
        <v>1556</v>
      </c>
      <c r="K63" s="67" t="s">
        <v>788</v>
      </c>
      <c r="L63" s="133">
        <v>44800</v>
      </c>
      <c r="M63" s="69" t="s">
        <v>2254</v>
      </c>
      <c r="N63" s="70">
        <v>254728975524</v>
      </c>
    </row>
    <row r="64" spans="1:14" ht="33.75" x14ac:dyDescent="0.25">
      <c r="A64" s="61" t="s">
        <v>274</v>
      </c>
      <c r="B64" s="60">
        <v>2512287</v>
      </c>
      <c r="C64" s="60">
        <v>108867</v>
      </c>
      <c r="D64" s="62" t="s">
        <v>1642</v>
      </c>
      <c r="E64" s="62">
        <v>3</v>
      </c>
      <c r="F64" s="62" t="s">
        <v>1643</v>
      </c>
      <c r="G64" s="62" t="s">
        <v>132</v>
      </c>
      <c r="H64" s="61" t="s">
        <v>1644</v>
      </c>
      <c r="I64" s="62" t="s">
        <v>1543</v>
      </c>
      <c r="J64" s="62" t="s">
        <v>1551</v>
      </c>
      <c r="K64" s="62">
        <v>2</v>
      </c>
      <c r="L64" s="134">
        <v>45173.32</v>
      </c>
      <c r="M64" s="71" t="s">
        <v>2254</v>
      </c>
      <c r="N64" s="64">
        <v>254722235122</v>
      </c>
    </row>
    <row r="65" spans="1:14" ht="22.5" x14ac:dyDescent="0.25">
      <c r="A65" s="68" t="s">
        <v>1452</v>
      </c>
      <c r="B65" s="66">
        <v>2505080</v>
      </c>
      <c r="C65" s="66">
        <v>100854</v>
      </c>
      <c r="D65" s="67" t="s">
        <v>1453</v>
      </c>
      <c r="E65" s="67">
        <v>69</v>
      </c>
      <c r="F65" s="67" t="s">
        <v>1454</v>
      </c>
      <c r="G65" s="67" t="s">
        <v>22</v>
      </c>
      <c r="H65" s="68" t="s">
        <v>1645</v>
      </c>
      <c r="I65" s="67" t="s">
        <v>1572</v>
      </c>
      <c r="J65" s="67" t="s">
        <v>1559</v>
      </c>
      <c r="K65" s="67">
        <v>5</v>
      </c>
      <c r="L65" s="133">
        <v>47758</v>
      </c>
      <c r="M65" s="69" t="s">
        <v>2254</v>
      </c>
      <c r="N65" s="70">
        <v>254723768076</v>
      </c>
    </row>
    <row r="66" spans="1:14" ht="22.5" x14ac:dyDescent="0.25">
      <c r="A66" s="61" t="s">
        <v>274</v>
      </c>
      <c r="B66" s="60">
        <v>2502105</v>
      </c>
      <c r="C66" s="60">
        <v>76472</v>
      </c>
      <c r="D66" s="62" t="s">
        <v>1646</v>
      </c>
      <c r="E66" s="62">
        <v>11</v>
      </c>
      <c r="F66" s="62" t="s">
        <v>1647</v>
      </c>
      <c r="G66" s="62" t="s">
        <v>1648</v>
      </c>
      <c r="H66" s="61" t="s">
        <v>1649</v>
      </c>
      <c r="I66" s="62" t="s">
        <v>1556</v>
      </c>
      <c r="J66" s="62" t="s">
        <v>1567</v>
      </c>
      <c r="K66" s="62">
        <v>5</v>
      </c>
      <c r="L66" s="134">
        <v>48403</v>
      </c>
      <c r="M66" s="71" t="s">
        <v>2254</v>
      </c>
      <c r="N66" s="64">
        <v>254714699371</v>
      </c>
    </row>
    <row r="67" spans="1:14" ht="33.75" x14ac:dyDescent="0.25">
      <c r="A67" s="68" t="s">
        <v>1565</v>
      </c>
      <c r="B67" s="66">
        <v>2014771</v>
      </c>
      <c r="C67" s="66">
        <v>32378</v>
      </c>
      <c r="D67" s="67" t="s">
        <v>1650</v>
      </c>
      <c r="E67" s="67">
        <v>17</v>
      </c>
      <c r="F67" s="67" t="s">
        <v>1651</v>
      </c>
      <c r="G67" s="67" t="s">
        <v>132</v>
      </c>
      <c r="H67" s="68" t="s">
        <v>1652</v>
      </c>
      <c r="I67" s="67" t="s">
        <v>1562</v>
      </c>
      <c r="J67" s="67" t="s">
        <v>1546</v>
      </c>
      <c r="K67" s="67">
        <v>2</v>
      </c>
      <c r="L67" s="133">
        <v>56339</v>
      </c>
      <c r="M67" s="69" t="s">
        <v>2254</v>
      </c>
      <c r="N67" s="70">
        <v>254798188015</v>
      </c>
    </row>
    <row r="68" spans="1:14" ht="22.5" x14ac:dyDescent="0.25">
      <c r="A68" s="61" t="s">
        <v>1653</v>
      </c>
      <c r="B68" s="60">
        <v>2014720</v>
      </c>
      <c r="C68" s="60">
        <v>37099</v>
      </c>
      <c r="D68" s="62" t="s">
        <v>719</v>
      </c>
      <c r="E68" s="62">
        <v>67</v>
      </c>
      <c r="F68" s="62" t="s">
        <v>14</v>
      </c>
      <c r="G68" s="62" t="s">
        <v>15</v>
      </c>
      <c r="H68" s="61" t="s">
        <v>720</v>
      </c>
      <c r="I68" s="62" t="s">
        <v>1543</v>
      </c>
      <c r="J68" s="62" t="s">
        <v>1543</v>
      </c>
      <c r="K68" s="62" t="s">
        <v>714</v>
      </c>
      <c r="L68" s="134">
        <v>57905.31</v>
      </c>
      <c r="M68" s="71" t="s">
        <v>2254</v>
      </c>
      <c r="N68" s="64">
        <v>254798188015</v>
      </c>
    </row>
    <row r="69" spans="1:14" ht="22.5" x14ac:dyDescent="0.25">
      <c r="A69" s="68" t="s">
        <v>274</v>
      </c>
      <c r="B69" s="66">
        <v>2016153</v>
      </c>
      <c r="C69" s="66">
        <v>62948</v>
      </c>
      <c r="D69" s="67" t="s">
        <v>1654</v>
      </c>
      <c r="E69" s="67">
        <v>62</v>
      </c>
      <c r="F69" s="67" t="s">
        <v>1655</v>
      </c>
      <c r="G69" s="67" t="s">
        <v>664</v>
      </c>
      <c r="H69" s="68" t="s">
        <v>383</v>
      </c>
      <c r="I69" s="67" t="s">
        <v>1556</v>
      </c>
      <c r="J69" s="67" t="s">
        <v>1543</v>
      </c>
      <c r="K69" s="67">
        <v>4</v>
      </c>
      <c r="L69" s="133">
        <v>58968.12</v>
      </c>
      <c r="M69" s="69" t="s">
        <v>2254</v>
      </c>
      <c r="N69" s="70">
        <v>254720308687</v>
      </c>
    </row>
    <row r="70" spans="1:14" ht="22.5" x14ac:dyDescent="0.25">
      <c r="A70" s="61" t="s">
        <v>1656</v>
      </c>
      <c r="B70" s="60">
        <v>2506006</v>
      </c>
      <c r="C70" s="60">
        <v>65497</v>
      </c>
      <c r="D70" s="62" t="s">
        <v>1657</v>
      </c>
      <c r="E70" s="62">
        <v>7</v>
      </c>
      <c r="F70" s="62" t="s">
        <v>1658</v>
      </c>
      <c r="G70" s="62" t="s">
        <v>88</v>
      </c>
      <c r="H70" s="61" t="s">
        <v>1659</v>
      </c>
      <c r="I70" s="62" t="s">
        <v>1660</v>
      </c>
      <c r="J70" s="62" t="s">
        <v>1589</v>
      </c>
      <c r="K70" s="62">
        <v>2</v>
      </c>
      <c r="L70" s="134">
        <v>59735</v>
      </c>
      <c r="M70" s="71" t="s">
        <v>2254</v>
      </c>
      <c r="N70" s="64">
        <v>254726967415</v>
      </c>
    </row>
    <row r="71" spans="1:14" ht="22.5" x14ac:dyDescent="0.25">
      <c r="A71" s="68" t="s">
        <v>1653</v>
      </c>
      <c r="B71" s="75">
        <v>2014720</v>
      </c>
      <c r="C71" s="66">
        <v>37099</v>
      </c>
      <c r="D71" s="68" t="s">
        <v>717</v>
      </c>
      <c r="E71" s="68">
        <v>67</v>
      </c>
      <c r="F71" s="65" t="s">
        <v>14</v>
      </c>
      <c r="G71" s="65" t="s">
        <v>706</v>
      </c>
      <c r="H71" s="68" t="s">
        <v>730</v>
      </c>
      <c r="I71" s="68" t="s">
        <v>1542</v>
      </c>
      <c r="J71" s="68" t="s">
        <v>1542</v>
      </c>
      <c r="K71" s="67" t="s">
        <v>714</v>
      </c>
      <c r="L71" s="136">
        <v>61042.82</v>
      </c>
      <c r="M71" s="76" t="s">
        <v>2254</v>
      </c>
      <c r="N71" s="70">
        <v>254715209779</v>
      </c>
    </row>
    <row r="72" spans="1:14" ht="45" x14ac:dyDescent="0.25">
      <c r="A72" s="61" t="s">
        <v>544</v>
      </c>
      <c r="B72" s="60">
        <v>2015941</v>
      </c>
      <c r="C72" s="60">
        <v>55499</v>
      </c>
      <c r="D72" s="62" t="s">
        <v>1661</v>
      </c>
      <c r="E72" s="62">
        <v>64</v>
      </c>
      <c r="F72" s="62" t="s">
        <v>49</v>
      </c>
      <c r="G72" s="62" t="s">
        <v>15</v>
      </c>
      <c r="H72" s="61" t="s">
        <v>1662</v>
      </c>
      <c r="I72" s="62" t="s">
        <v>1663</v>
      </c>
      <c r="J72" s="62" t="s">
        <v>1572</v>
      </c>
      <c r="K72" s="62" t="s">
        <v>556</v>
      </c>
      <c r="L72" s="134">
        <v>61600</v>
      </c>
      <c r="M72" s="71" t="s">
        <v>2254</v>
      </c>
      <c r="N72" s="64">
        <v>254721396616</v>
      </c>
    </row>
    <row r="73" spans="1:14" ht="22.5" x14ac:dyDescent="0.25">
      <c r="A73" s="68" t="s">
        <v>53</v>
      </c>
      <c r="B73" s="66">
        <v>2013525</v>
      </c>
      <c r="C73" s="66">
        <v>10031</v>
      </c>
      <c r="D73" s="67" t="s">
        <v>1582</v>
      </c>
      <c r="E73" s="67">
        <v>66</v>
      </c>
      <c r="F73" s="67" t="s">
        <v>49</v>
      </c>
      <c r="G73" s="67" t="s">
        <v>15</v>
      </c>
      <c r="H73" s="68" t="s">
        <v>1270</v>
      </c>
      <c r="I73" s="67" t="s">
        <v>1664</v>
      </c>
      <c r="J73" s="67" t="s">
        <v>1589</v>
      </c>
      <c r="K73" s="67" t="s">
        <v>714</v>
      </c>
      <c r="L73" s="133">
        <v>62100</v>
      </c>
      <c r="M73" s="69" t="s">
        <v>2254</v>
      </c>
      <c r="N73" s="70">
        <v>254722636922</v>
      </c>
    </row>
    <row r="74" spans="1:14" ht="33.75" x14ac:dyDescent="0.25">
      <c r="A74" s="61" t="s">
        <v>1665</v>
      </c>
      <c r="B74" s="60">
        <v>2017741</v>
      </c>
      <c r="C74" s="60">
        <v>68899</v>
      </c>
      <c r="D74" s="62" t="s">
        <v>1666</v>
      </c>
      <c r="E74" s="62">
        <v>67</v>
      </c>
      <c r="F74" s="62" t="s">
        <v>1667</v>
      </c>
      <c r="G74" s="62" t="s">
        <v>15</v>
      </c>
      <c r="H74" s="61" t="s">
        <v>1668</v>
      </c>
      <c r="I74" s="62" t="s">
        <v>1567</v>
      </c>
      <c r="J74" s="62" t="s">
        <v>1559</v>
      </c>
      <c r="K74" s="62">
        <v>2</v>
      </c>
      <c r="L74" s="134">
        <v>62500</v>
      </c>
      <c r="M74" s="71" t="s">
        <v>2254</v>
      </c>
      <c r="N74" s="64">
        <v>254726087358</v>
      </c>
    </row>
    <row r="75" spans="1:14" ht="22.5" x14ac:dyDescent="0.25">
      <c r="A75" s="68" t="s">
        <v>155</v>
      </c>
      <c r="B75" s="72">
        <v>2002439</v>
      </c>
      <c r="C75" s="66">
        <v>55156</v>
      </c>
      <c r="D75" s="65" t="s">
        <v>361</v>
      </c>
      <c r="E75" s="65">
        <v>75</v>
      </c>
      <c r="F75" s="65" t="s">
        <v>60</v>
      </c>
      <c r="G75" s="65" t="s">
        <v>22</v>
      </c>
      <c r="H75" s="65" t="s">
        <v>1297</v>
      </c>
      <c r="I75" s="65" t="s">
        <v>1594</v>
      </c>
      <c r="J75" s="65" t="s">
        <v>1594</v>
      </c>
      <c r="K75" s="67" t="s">
        <v>556</v>
      </c>
      <c r="L75" s="135">
        <v>62818</v>
      </c>
      <c r="M75" s="73" t="s">
        <v>2254</v>
      </c>
      <c r="N75" s="70">
        <v>254722274662</v>
      </c>
    </row>
    <row r="76" spans="1:14" x14ac:dyDescent="0.25">
      <c r="A76" s="61" t="s">
        <v>221</v>
      </c>
      <c r="B76" s="74">
        <v>2002470</v>
      </c>
      <c r="C76" s="60">
        <v>18751</v>
      </c>
      <c r="D76" s="61" t="s">
        <v>1669</v>
      </c>
      <c r="E76" s="61">
        <v>61</v>
      </c>
      <c r="F76" s="61" t="s">
        <v>1670</v>
      </c>
      <c r="G76" s="61" t="s">
        <v>22</v>
      </c>
      <c r="H76" s="61" t="s">
        <v>1671</v>
      </c>
      <c r="I76" s="61" t="s">
        <v>1264</v>
      </c>
      <c r="J76" s="58" t="s">
        <v>1553</v>
      </c>
      <c r="K76" s="58">
        <v>3</v>
      </c>
      <c r="L76" s="132">
        <v>63113</v>
      </c>
      <c r="M76" s="63" t="s">
        <v>2254</v>
      </c>
      <c r="N76" s="64">
        <v>254722864285</v>
      </c>
    </row>
    <row r="77" spans="1:14" ht="22.5" x14ac:dyDescent="0.25">
      <c r="A77" s="68" t="s">
        <v>1672</v>
      </c>
      <c r="B77" s="66">
        <v>2004601</v>
      </c>
      <c r="C77" s="66">
        <v>69278</v>
      </c>
      <c r="D77" s="67" t="s">
        <v>1673</v>
      </c>
      <c r="E77" s="67">
        <v>46</v>
      </c>
      <c r="F77" s="67" t="s">
        <v>49</v>
      </c>
      <c r="G77" s="67" t="s">
        <v>15</v>
      </c>
      <c r="H77" s="68" t="s">
        <v>1674</v>
      </c>
      <c r="I77" s="67" t="s">
        <v>1551</v>
      </c>
      <c r="J77" s="67" t="s">
        <v>1675</v>
      </c>
      <c r="K77" s="67">
        <v>2</v>
      </c>
      <c r="L77" s="133">
        <v>64175</v>
      </c>
      <c r="M77" s="69" t="s">
        <v>2254</v>
      </c>
      <c r="N77" s="70">
        <v>254722864285</v>
      </c>
    </row>
    <row r="78" spans="1:14" x14ac:dyDescent="0.25">
      <c r="A78" s="61" t="s">
        <v>1033</v>
      </c>
      <c r="B78" s="60">
        <v>2505080</v>
      </c>
      <c r="C78" s="60">
        <v>100854</v>
      </c>
      <c r="D78" s="62" t="s">
        <v>1676</v>
      </c>
      <c r="E78" s="62">
        <v>69</v>
      </c>
      <c r="F78" s="62" t="s">
        <v>60</v>
      </c>
      <c r="G78" s="62" t="s">
        <v>22</v>
      </c>
      <c r="H78" s="61" t="s">
        <v>1677</v>
      </c>
      <c r="I78" s="62" t="s">
        <v>1678</v>
      </c>
      <c r="J78" s="62" t="s">
        <v>1549</v>
      </c>
      <c r="K78" s="62" t="s">
        <v>714</v>
      </c>
      <c r="L78" s="134">
        <v>65800</v>
      </c>
      <c r="M78" s="71" t="s">
        <v>2254</v>
      </c>
      <c r="N78" s="64">
        <v>254726869962</v>
      </c>
    </row>
    <row r="79" spans="1:14" ht="22.5" x14ac:dyDescent="0.25">
      <c r="A79" s="68" t="s">
        <v>53</v>
      </c>
      <c r="B79" s="66">
        <v>2004365</v>
      </c>
      <c r="C79" s="66">
        <v>11679</v>
      </c>
      <c r="D79" s="67" t="s">
        <v>1679</v>
      </c>
      <c r="E79" s="67">
        <v>67</v>
      </c>
      <c r="F79" s="67" t="s">
        <v>60</v>
      </c>
      <c r="G79" s="67" t="s">
        <v>22</v>
      </c>
      <c r="H79" s="68" t="s">
        <v>1680</v>
      </c>
      <c r="I79" s="67" t="s">
        <v>1551</v>
      </c>
      <c r="J79" s="67" t="s">
        <v>1551</v>
      </c>
      <c r="K79" s="67" t="s">
        <v>714</v>
      </c>
      <c r="L79" s="133">
        <v>70000</v>
      </c>
      <c r="M79" s="69" t="s">
        <v>2254</v>
      </c>
      <c r="N79" s="70">
        <v>254727416341</v>
      </c>
    </row>
    <row r="80" spans="1:14" ht="45" x14ac:dyDescent="0.25">
      <c r="A80" s="61" t="s">
        <v>889</v>
      </c>
      <c r="B80" s="60">
        <v>2005261</v>
      </c>
      <c r="C80" s="60">
        <v>2067</v>
      </c>
      <c r="D80" s="62" t="s">
        <v>1681</v>
      </c>
      <c r="E80" s="62">
        <v>79</v>
      </c>
      <c r="F80" s="62" t="s">
        <v>1682</v>
      </c>
      <c r="G80" s="62" t="s">
        <v>706</v>
      </c>
      <c r="H80" s="61" t="s">
        <v>1683</v>
      </c>
      <c r="I80" s="62" t="s">
        <v>1610</v>
      </c>
      <c r="J80" s="62" t="s">
        <v>1559</v>
      </c>
      <c r="K80" s="62">
        <v>7</v>
      </c>
      <c r="L80" s="134">
        <v>70160</v>
      </c>
      <c r="M80" s="71" t="s">
        <v>2254</v>
      </c>
      <c r="N80" s="64">
        <v>254729882562</v>
      </c>
    </row>
    <row r="81" spans="1:14" ht="22.5" x14ac:dyDescent="0.25">
      <c r="A81" s="68" t="s">
        <v>1684</v>
      </c>
      <c r="B81" s="66">
        <v>2004863</v>
      </c>
      <c r="C81" s="66">
        <v>104510</v>
      </c>
      <c r="D81" s="67" t="s">
        <v>1685</v>
      </c>
      <c r="E81" s="67">
        <v>40</v>
      </c>
      <c r="F81" s="67" t="s">
        <v>1686</v>
      </c>
      <c r="G81" s="67" t="s">
        <v>706</v>
      </c>
      <c r="H81" s="68" t="s">
        <v>1687</v>
      </c>
      <c r="I81" s="67" t="s">
        <v>1610</v>
      </c>
      <c r="J81" s="67" t="s">
        <v>1543</v>
      </c>
      <c r="K81" s="67">
        <v>4</v>
      </c>
      <c r="L81" s="133">
        <v>73167.5</v>
      </c>
      <c r="M81" s="69" t="s">
        <v>2254</v>
      </c>
      <c r="N81" s="70">
        <v>254722720356</v>
      </c>
    </row>
    <row r="82" spans="1:14" ht="33.75" x14ac:dyDescent="0.25">
      <c r="A82" s="61" t="s">
        <v>1590</v>
      </c>
      <c r="B82" s="60">
        <v>2021273</v>
      </c>
      <c r="C82" s="60">
        <v>56896</v>
      </c>
      <c r="D82" s="62" t="s">
        <v>1613</v>
      </c>
      <c r="E82" s="62">
        <v>59</v>
      </c>
      <c r="F82" s="62" t="s">
        <v>1614</v>
      </c>
      <c r="G82" s="62" t="s">
        <v>15</v>
      </c>
      <c r="H82" s="61" t="s">
        <v>1615</v>
      </c>
      <c r="I82" s="62" t="s">
        <v>1567</v>
      </c>
      <c r="J82" s="62" t="s">
        <v>1551</v>
      </c>
      <c r="K82" s="62">
        <v>1</v>
      </c>
      <c r="L82" s="134">
        <v>74069.740000000005</v>
      </c>
      <c r="M82" s="71" t="s">
        <v>2254</v>
      </c>
      <c r="N82" s="64">
        <v>254722708622</v>
      </c>
    </row>
    <row r="83" spans="1:14" x14ac:dyDescent="0.25">
      <c r="A83" s="68" t="s">
        <v>1386</v>
      </c>
      <c r="B83" s="66">
        <v>2017620</v>
      </c>
      <c r="C83" s="66">
        <v>54137</v>
      </c>
      <c r="D83" s="67" t="s">
        <v>1688</v>
      </c>
      <c r="E83" s="67">
        <v>18</v>
      </c>
      <c r="F83" s="67" t="s">
        <v>49</v>
      </c>
      <c r="G83" s="67" t="s">
        <v>132</v>
      </c>
      <c r="H83" s="68" t="s">
        <v>1689</v>
      </c>
      <c r="I83" s="67" t="s">
        <v>1546</v>
      </c>
      <c r="J83" s="67" t="s">
        <v>1546</v>
      </c>
      <c r="K83" s="67" t="s">
        <v>556</v>
      </c>
      <c r="L83" s="133">
        <v>75000</v>
      </c>
      <c r="M83" s="69" t="s">
        <v>2254</v>
      </c>
      <c r="N83" s="70">
        <v>254722658703</v>
      </c>
    </row>
    <row r="84" spans="1:14" ht="22.5" x14ac:dyDescent="0.25">
      <c r="A84" s="61" t="s">
        <v>1690</v>
      </c>
      <c r="B84" s="60">
        <v>2002401</v>
      </c>
      <c r="C84" s="60">
        <v>15577</v>
      </c>
      <c r="D84" s="62" t="s">
        <v>1186</v>
      </c>
      <c r="E84" s="62">
        <v>66</v>
      </c>
      <c r="F84" s="62" t="s">
        <v>60</v>
      </c>
      <c r="G84" s="62" t="s">
        <v>22</v>
      </c>
      <c r="H84" s="61" t="s">
        <v>1691</v>
      </c>
      <c r="I84" s="62" t="s">
        <v>1589</v>
      </c>
      <c r="J84" s="62" t="s">
        <v>1589</v>
      </c>
      <c r="K84" s="62" t="s">
        <v>714</v>
      </c>
      <c r="L84" s="134">
        <v>80490</v>
      </c>
      <c r="M84" s="71" t="s">
        <v>2254</v>
      </c>
      <c r="N84" s="64">
        <v>254722874333</v>
      </c>
    </row>
    <row r="85" spans="1:14" ht="22.5" x14ac:dyDescent="0.25">
      <c r="A85" s="68" t="s">
        <v>726</v>
      </c>
      <c r="B85" s="66">
        <v>2000038</v>
      </c>
      <c r="C85" s="66">
        <v>20565</v>
      </c>
      <c r="D85" s="67" t="s">
        <v>1692</v>
      </c>
      <c r="E85" s="67">
        <v>71</v>
      </c>
      <c r="F85" s="67" t="s">
        <v>126</v>
      </c>
      <c r="G85" s="67" t="s">
        <v>664</v>
      </c>
      <c r="H85" s="68" t="s">
        <v>1693</v>
      </c>
      <c r="I85" s="67" t="s">
        <v>1556</v>
      </c>
      <c r="J85" s="67" t="s">
        <v>1556</v>
      </c>
      <c r="K85" s="67" t="s">
        <v>714</v>
      </c>
      <c r="L85" s="133">
        <v>80625</v>
      </c>
      <c r="M85" s="69" t="s">
        <v>2254</v>
      </c>
      <c r="N85" s="70">
        <v>254722525808</v>
      </c>
    </row>
    <row r="86" spans="1:14" ht="22.5" x14ac:dyDescent="0.25">
      <c r="A86" s="61" t="s">
        <v>43</v>
      </c>
      <c r="B86" s="60">
        <v>2019611</v>
      </c>
      <c r="C86" s="60">
        <v>71912</v>
      </c>
      <c r="D86" s="62" t="s">
        <v>1694</v>
      </c>
      <c r="E86" s="62">
        <v>42</v>
      </c>
      <c r="F86" s="62" t="s">
        <v>60</v>
      </c>
      <c r="G86" s="62" t="s">
        <v>22</v>
      </c>
      <c r="H86" s="61" t="s">
        <v>1695</v>
      </c>
      <c r="I86" s="62" t="s">
        <v>1675</v>
      </c>
      <c r="J86" s="62" t="s">
        <v>1675</v>
      </c>
      <c r="K86" s="62" t="s">
        <v>556</v>
      </c>
      <c r="L86" s="134">
        <v>81149.02</v>
      </c>
      <c r="M86" s="71" t="s">
        <v>2254</v>
      </c>
      <c r="N86" s="64">
        <v>254715205323</v>
      </c>
    </row>
    <row r="87" spans="1:14" ht="22.5" x14ac:dyDescent="0.25">
      <c r="A87" s="68" t="s">
        <v>1696</v>
      </c>
      <c r="B87" s="75">
        <v>2007815</v>
      </c>
      <c r="C87" s="66">
        <v>11812</v>
      </c>
      <c r="D87" s="68" t="s">
        <v>1697</v>
      </c>
      <c r="E87" s="68">
        <v>70</v>
      </c>
      <c r="F87" s="68" t="s">
        <v>1698</v>
      </c>
      <c r="G87" s="68" t="s">
        <v>15</v>
      </c>
      <c r="H87" s="68" t="s">
        <v>1699</v>
      </c>
      <c r="I87" s="68" t="s">
        <v>1232</v>
      </c>
      <c r="J87" s="65" t="s">
        <v>1553</v>
      </c>
      <c r="K87" s="65">
        <v>5</v>
      </c>
      <c r="L87" s="135">
        <v>83496</v>
      </c>
      <c r="M87" s="73" t="s">
        <v>2254</v>
      </c>
      <c r="N87" s="70">
        <v>254711994280</v>
      </c>
    </row>
    <row r="88" spans="1:14" x14ac:dyDescent="0.25">
      <c r="A88" s="61" t="s">
        <v>515</v>
      </c>
      <c r="B88" s="60">
        <v>2012481</v>
      </c>
      <c r="C88" s="60">
        <v>10103</v>
      </c>
      <c r="D88" s="62" t="s">
        <v>1267</v>
      </c>
      <c r="E88" s="62">
        <v>63</v>
      </c>
      <c r="F88" s="62" t="s">
        <v>60</v>
      </c>
      <c r="G88" s="62" t="s">
        <v>22</v>
      </c>
      <c r="H88" s="61" t="s">
        <v>227</v>
      </c>
      <c r="I88" s="62" t="s">
        <v>1549</v>
      </c>
      <c r="J88" s="62" t="s">
        <v>1549</v>
      </c>
      <c r="K88" s="62" t="s">
        <v>556</v>
      </c>
      <c r="L88" s="134">
        <v>84040</v>
      </c>
      <c r="M88" s="71" t="s">
        <v>2254</v>
      </c>
      <c r="N88" s="64">
        <v>254726559225</v>
      </c>
    </row>
    <row r="89" spans="1:14" ht="22.5" x14ac:dyDescent="0.25">
      <c r="A89" s="68" t="s">
        <v>1700</v>
      </c>
      <c r="B89" s="72">
        <v>2018762</v>
      </c>
      <c r="C89" s="66">
        <v>64037</v>
      </c>
      <c r="D89" s="65" t="s">
        <v>1701</v>
      </c>
      <c r="E89" s="65">
        <v>16</v>
      </c>
      <c r="F89" s="65" t="s">
        <v>49</v>
      </c>
      <c r="G89" s="65" t="s">
        <v>132</v>
      </c>
      <c r="H89" s="65" t="s">
        <v>1702</v>
      </c>
      <c r="I89" s="65" t="s">
        <v>1703</v>
      </c>
      <c r="J89" s="65" t="s">
        <v>1594</v>
      </c>
      <c r="K89" s="65">
        <v>8</v>
      </c>
      <c r="L89" s="135">
        <v>90922.35</v>
      </c>
      <c r="M89" s="73" t="s">
        <v>2254</v>
      </c>
      <c r="N89" s="70">
        <v>254726559225</v>
      </c>
    </row>
    <row r="90" spans="1:14" ht="22.5" x14ac:dyDescent="0.25">
      <c r="A90" s="61" t="s">
        <v>1690</v>
      </c>
      <c r="B90" s="60">
        <v>2011489</v>
      </c>
      <c r="C90" s="60">
        <v>4799</v>
      </c>
      <c r="D90" s="62" t="s">
        <v>1704</v>
      </c>
      <c r="E90" s="62">
        <v>64</v>
      </c>
      <c r="F90" s="62" t="s">
        <v>1705</v>
      </c>
      <c r="G90" s="62" t="s">
        <v>1706</v>
      </c>
      <c r="H90" s="61" t="s">
        <v>1707</v>
      </c>
      <c r="I90" s="62" t="s">
        <v>1543</v>
      </c>
      <c r="J90" s="62" t="s">
        <v>1551</v>
      </c>
      <c r="K90" s="62">
        <v>2</v>
      </c>
      <c r="L90" s="134">
        <v>91618</v>
      </c>
      <c r="M90" s="71" t="s">
        <v>2254</v>
      </c>
      <c r="N90" s="64">
        <v>254723747130</v>
      </c>
    </row>
    <row r="91" spans="1:14" x14ac:dyDescent="0.25">
      <c r="A91" s="68" t="s">
        <v>1708</v>
      </c>
      <c r="B91" s="66">
        <v>2013015</v>
      </c>
      <c r="C91" s="66">
        <v>18692</v>
      </c>
      <c r="D91" s="67" t="s">
        <v>759</v>
      </c>
      <c r="E91" s="67">
        <v>67</v>
      </c>
      <c r="F91" s="67" t="s">
        <v>49</v>
      </c>
      <c r="G91" s="67" t="s">
        <v>15</v>
      </c>
      <c r="H91" s="68" t="s">
        <v>720</v>
      </c>
      <c r="I91" s="67" t="s">
        <v>1567</v>
      </c>
      <c r="J91" s="67" t="s">
        <v>1567</v>
      </c>
      <c r="K91" s="67" t="s">
        <v>714</v>
      </c>
      <c r="L91" s="133">
        <v>93792.61</v>
      </c>
      <c r="M91" s="69" t="s">
        <v>2254</v>
      </c>
      <c r="N91" s="70">
        <v>254722282030</v>
      </c>
    </row>
    <row r="92" spans="1:14" ht="56.25" x14ac:dyDescent="0.25">
      <c r="A92" s="61" t="s">
        <v>889</v>
      </c>
      <c r="B92" s="60">
        <v>2001061</v>
      </c>
      <c r="C92" s="60">
        <v>2067</v>
      </c>
      <c r="D92" s="62" t="s">
        <v>1709</v>
      </c>
      <c r="E92" s="62">
        <v>79</v>
      </c>
      <c r="F92" s="62" t="s">
        <v>1710</v>
      </c>
      <c r="G92" s="62" t="s">
        <v>22</v>
      </c>
      <c r="H92" s="61" t="s">
        <v>1711</v>
      </c>
      <c r="I92" s="62" t="s">
        <v>1572</v>
      </c>
      <c r="J92" s="62" t="s">
        <v>1675</v>
      </c>
      <c r="K92" s="62" t="s">
        <v>1712</v>
      </c>
      <c r="L92" s="134">
        <v>95988</v>
      </c>
      <c r="M92" s="71" t="s">
        <v>2254</v>
      </c>
      <c r="N92" s="64">
        <v>254722613828</v>
      </c>
    </row>
    <row r="93" spans="1:14" x14ac:dyDescent="0.25">
      <c r="A93" s="68" t="s">
        <v>19</v>
      </c>
      <c r="B93" s="66">
        <v>2001971</v>
      </c>
      <c r="C93" s="66">
        <v>12324</v>
      </c>
      <c r="D93" s="67" t="s">
        <v>20</v>
      </c>
      <c r="E93" s="67">
        <v>65</v>
      </c>
      <c r="F93" s="67" t="s">
        <v>60</v>
      </c>
      <c r="G93" s="67" t="s">
        <v>22</v>
      </c>
      <c r="H93" s="68" t="s">
        <v>737</v>
      </c>
      <c r="I93" s="67" t="s">
        <v>1543</v>
      </c>
      <c r="J93" s="67" t="s">
        <v>1543</v>
      </c>
      <c r="K93" s="67" t="s">
        <v>714</v>
      </c>
      <c r="L93" s="133">
        <v>96439</v>
      </c>
      <c r="M93" s="69" t="s">
        <v>2254</v>
      </c>
      <c r="N93" s="70">
        <v>254726350459</v>
      </c>
    </row>
    <row r="94" spans="1:14" ht="22.5" x14ac:dyDescent="0.25">
      <c r="A94" s="61" t="s">
        <v>1690</v>
      </c>
      <c r="B94" s="60">
        <v>2022237</v>
      </c>
      <c r="C94" s="60">
        <v>56585</v>
      </c>
      <c r="D94" s="62" t="s">
        <v>1205</v>
      </c>
      <c r="E94" s="62">
        <v>62</v>
      </c>
      <c r="F94" s="62" t="s">
        <v>60</v>
      </c>
      <c r="G94" s="62" t="s">
        <v>22</v>
      </c>
      <c r="H94" s="61" t="s">
        <v>737</v>
      </c>
      <c r="I94" s="62" t="s">
        <v>1567</v>
      </c>
      <c r="J94" s="62" t="s">
        <v>1567</v>
      </c>
      <c r="K94" s="62" t="s">
        <v>714</v>
      </c>
      <c r="L94" s="134">
        <v>102862</v>
      </c>
      <c r="M94" s="71" t="s">
        <v>2254</v>
      </c>
      <c r="N94" s="64">
        <v>254720223134</v>
      </c>
    </row>
    <row r="95" spans="1:14" ht="33.75" x14ac:dyDescent="0.25">
      <c r="A95" s="68" t="s">
        <v>1331</v>
      </c>
      <c r="B95" s="66">
        <v>2023383</v>
      </c>
      <c r="C95" s="66">
        <v>63571</v>
      </c>
      <c r="D95" s="67" t="s">
        <v>1713</v>
      </c>
      <c r="E95" s="67">
        <v>8</v>
      </c>
      <c r="F95" s="67" t="s">
        <v>1714</v>
      </c>
      <c r="G95" s="67" t="s">
        <v>132</v>
      </c>
      <c r="H95" s="68" t="s">
        <v>1715</v>
      </c>
      <c r="I95" s="67" t="s">
        <v>1589</v>
      </c>
      <c r="J95" s="67" t="s">
        <v>1567</v>
      </c>
      <c r="K95" s="67">
        <v>2</v>
      </c>
      <c r="L95" s="133">
        <v>104300</v>
      </c>
      <c r="M95" s="69" t="s">
        <v>2254</v>
      </c>
      <c r="N95" s="70">
        <v>254720223134</v>
      </c>
    </row>
    <row r="96" spans="1:14" ht="33.75" x14ac:dyDescent="0.25">
      <c r="A96" s="61" t="s">
        <v>113</v>
      </c>
      <c r="B96" s="60">
        <v>2001397</v>
      </c>
      <c r="C96" s="60">
        <v>17666</v>
      </c>
      <c r="D96" s="62" t="s">
        <v>1716</v>
      </c>
      <c r="E96" s="62">
        <v>73</v>
      </c>
      <c r="F96" s="62" t="s">
        <v>1717</v>
      </c>
      <c r="G96" s="62" t="s">
        <v>15</v>
      </c>
      <c r="H96" s="61" t="s">
        <v>1718</v>
      </c>
      <c r="I96" s="62" t="s">
        <v>1719</v>
      </c>
      <c r="J96" s="62" t="s">
        <v>1572</v>
      </c>
      <c r="K96" s="62">
        <v>4</v>
      </c>
      <c r="L96" s="134">
        <v>106515</v>
      </c>
      <c r="M96" s="71" t="s">
        <v>2254</v>
      </c>
      <c r="N96" s="64">
        <v>254722839258</v>
      </c>
    </row>
    <row r="97" spans="1:14" ht="33.75" x14ac:dyDescent="0.25">
      <c r="A97" s="68" t="s">
        <v>515</v>
      </c>
      <c r="B97" s="66">
        <v>2017602</v>
      </c>
      <c r="C97" s="66">
        <v>101569</v>
      </c>
      <c r="D97" s="67" t="s">
        <v>1720</v>
      </c>
      <c r="E97" s="67">
        <v>61</v>
      </c>
      <c r="F97" s="67" t="s">
        <v>1721</v>
      </c>
      <c r="G97" s="67" t="s">
        <v>706</v>
      </c>
      <c r="H97" s="68" t="s">
        <v>1722</v>
      </c>
      <c r="I97" s="67" t="s">
        <v>1723</v>
      </c>
      <c r="J97" s="67" t="s">
        <v>1567</v>
      </c>
      <c r="K97" s="67">
        <v>4</v>
      </c>
      <c r="L97" s="133">
        <v>107555</v>
      </c>
      <c r="M97" s="69" t="s">
        <v>2254</v>
      </c>
      <c r="N97" s="70">
        <v>254728697352</v>
      </c>
    </row>
    <row r="98" spans="1:14" ht="22.5" x14ac:dyDescent="0.25">
      <c r="A98" s="61" t="s">
        <v>515</v>
      </c>
      <c r="B98" s="74">
        <v>2002987</v>
      </c>
      <c r="C98" s="60">
        <v>60750</v>
      </c>
      <c r="D98" s="61" t="s">
        <v>1724</v>
      </c>
      <c r="E98" s="61">
        <v>51</v>
      </c>
      <c r="F98" s="61" t="s">
        <v>1067</v>
      </c>
      <c r="G98" s="61" t="s">
        <v>22</v>
      </c>
      <c r="H98" s="61" t="s">
        <v>1725</v>
      </c>
      <c r="I98" s="61" t="s">
        <v>1254</v>
      </c>
      <c r="J98" s="61" t="s">
        <v>1562</v>
      </c>
      <c r="K98" s="58">
        <v>3</v>
      </c>
      <c r="L98" s="132">
        <v>109828</v>
      </c>
      <c r="M98" s="63" t="s">
        <v>2254</v>
      </c>
      <c r="N98" s="64">
        <v>254722881608</v>
      </c>
    </row>
    <row r="99" spans="1:14" ht="33.75" x14ac:dyDescent="0.25">
      <c r="A99" s="68" t="s">
        <v>808</v>
      </c>
      <c r="B99" s="66">
        <v>2016005</v>
      </c>
      <c r="C99" s="66">
        <v>9390</v>
      </c>
      <c r="D99" s="67" t="s">
        <v>1726</v>
      </c>
      <c r="E99" s="67">
        <v>71</v>
      </c>
      <c r="F99" s="67" t="s">
        <v>60</v>
      </c>
      <c r="G99" s="67" t="s">
        <v>22</v>
      </c>
      <c r="H99" s="68" t="s">
        <v>1727</v>
      </c>
      <c r="I99" s="67" t="s">
        <v>1728</v>
      </c>
      <c r="J99" s="67" t="s">
        <v>1549</v>
      </c>
      <c r="K99" s="67" t="s">
        <v>788</v>
      </c>
      <c r="L99" s="133">
        <v>110000</v>
      </c>
      <c r="M99" s="69" t="s">
        <v>2254</v>
      </c>
      <c r="N99" s="70">
        <v>254721933124</v>
      </c>
    </row>
    <row r="100" spans="1:14" ht="33.75" x14ac:dyDescent="0.25">
      <c r="A100" s="61" t="s">
        <v>1452</v>
      </c>
      <c r="B100" s="60">
        <v>2408065</v>
      </c>
      <c r="C100" s="60">
        <v>63074</v>
      </c>
      <c r="D100" s="62" t="s">
        <v>1729</v>
      </c>
      <c r="E100" s="62">
        <v>53</v>
      </c>
      <c r="F100" s="62" t="s">
        <v>1730</v>
      </c>
      <c r="G100" s="62" t="s">
        <v>15</v>
      </c>
      <c r="H100" s="61" t="s">
        <v>1731</v>
      </c>
      <c r="I100" s="62" t="s">
        <v>1542</v>
      </c>
      <c r="J100" s="62" t="s">
        <v>1589</v>
      </c>
      <c r="K100" s="62">
        <v>6</v>
      </c>
      <c r="L100" s="134">
        <v>111045</v>
      </c>
      <c r="M100" s="71" t="s">
        <v>2254</v>
      </c>
      <c r="N100" s="64">
        <v>254768258270</v>
      </c>
    </row>
    <row r="101" spans="1:14" ht="22.5" x14ac:dyDescent="0.25">
      <c r="A101" s="68" t="s">
        <v>1700</v>
      </c>
      <c r="B101" s="66">
        <v>2006695</v>
      </c>
      <c r="C101" s="66">
        <v>100802</v>
      </c>
      <c r="D101" s="67" t="s">
        <v>1732</v>
      </c>
      <c r="E101" s="67">
        <v>66</v>
      </c>
      <c r="F101" s="67" t="s">
        <v>1733</v>
      </c>
      <c r="G101" s="67" t="s">
        <v>22</v>
      </c>
      <c r="H101" s="68" t="s">
        <v>1734</v>
      </c>
      <c r="I101" s="67" t="s">
        <v>1562</v>
      </c>
      <c r="J101" s="67" t="s">
        <v>1556</v>
      </c>
      <c r="K101" s="67">
        <v>4</v>
      </c>
      <c r="L101" s="133">
        <v>111522</v>
      </c>
      <c r="M101" s="69" t="s">
        <v>2254</v>
      </c>
      <c r="N101" s="70">
        <v>254727502382</v>
      </c>
    </row>
    <row r="102" spans="1:14" ht="33.75" x14ac:dyDescent="0.25">
      <c r="A102" s="61" t="s">
        <v>785</v>
      </c>
      <c r="B102" s="60">
        <v>2410135</v>
      </c>
      <c r="C102" s="60">
        <v>86799</v>
      </c>
      <c r="D102" s="62" t="s">
        <v>1735</v>
      </c>
      <c r="E102" s="62">
        <v>35</v>
      </c>
      <c r="F102" s="62" t="s">
        <v>49</v>
      </c>
      <c r="G102" s="62" t="s">
        <v>15</v>
      </c>
      <c r="H102" s="61" t="s">
        <v>1736</v>
      </c>
      <c r="I102" s="62" t="s">
        <v>1737</v>
      </c>
      <c r="J102" s="62" t="s">
        <v>1551</v>
      </c>
      <c r="K102" s="62" t="s">
        <v>788</v>
      </c>
      <c r="L102" s="134">
        <v>120000</v>
      </c>
      <c r="M102" s="71" t="s">
        <v>2254</v>
      </c>
      <c r="N102" s="64">
        <v>254722802966</v>
      </c>
    </row>
    <row r="103" spans="1:14" ht="22.5" x14ac:dyDescent="0.25">
      <c r="A103" s="68" t="s">
        <v>1738</v>
      </c>
      <c r="B103" s="66">
        <v>2505041</v>
      </c>
      <c r="C103" s="66">
        <v>61001</v>
      </c>
      <c r="D103" s="67" t="s">
        <v>1739</v>
      </c>
      <c r="E103" s="67">
        <v>62</v>
      </c>
      <c r="F103" s="67" t="s">
        <v>1740</v>
      </c>
      <c r="G103" s="67" t="s">
        <v>664</v>
      </c>
      <c r="H103" s="68" t="s">
        <v>1741</v>
      </c>
      <c r="I103" s="67" t="s">
        <v>1610</v>
      </c>
      <c r="J103" s="67" t="s">
        <v>1551</v>
      </c>
      <c r="K103" s="67">
        <v>5</v>
      </c>
      <c r="L103" s="133">
        <v>123860</v>
      </c>
      <c r="M103" s="69" t="s">
        <v>2254</v>
      </c>
      <c r="N103" s="70">
        <v>254127944027</v>
      </c>
    </row>
    <row r="104" spans="1:14" ht="45" x14ac:dyDescent="0.25">
      <c r="A104" s="61" t="s">
        <v>155</v>
      </c>
      <c r="B104" s="60">
        <v>2502191</v>
      </c>
      <c r="C104" s="60">
        <v>80863</v>
      </c>
      <c r="D104" s="62" t="s">
        <v>1742</v>
      </c>
      <c r="E104" s="62">
        <v>38</v>
      </c>
      <c r="F104" s="62" t="s">
        <v>60</v>
      </c>
      <c r="G104" s="62" t="s">
        <v>22</v>
      </c>
      <c r="H104" s="61" t="s">
        <v>1743</v>
      </c>
      <c r="I104" s="62" t="s">
        <v>1559</v>
      </c>
      <c r="J104" s="62" t="s">
        <v>1559</v>
      </c>
      <c r="K104" s="62" t="s">
        <v>556</v>
      </c>
      <c r="L104" s="134">
        <v>130000</v>
      </c>
      <c r="M104" s="71" t="s">
        <v>2254</v>
      </c>
      <c r="N104" s="64">
        <v>254721554732</v>
      </c>
    </row>
    <row r="105" spans="1:14" ht="22.5" x14ac:dyDescent="0.25">
      <c r="A105" s="68" t="s">
        <v>373</v>
      </c>
      <c r="B105" s="66">
        <v>2009475</v>
      </c>
      <c r="C105" s="66">
        <v>20552</v>
      </c>
      <c r="D105" s="67" t="s">
        <v>1744</v>
      </c>
      <c r="E105" s="67">
        <v>70</v>
      </c>
      <c r="F105" s="67" t="s">
        <v>49</v>
      </c>
      <c r="G105" s="67" t="s">
        <v>15</v>
      </c>
      <c r="H105" s="68" t="s">
        <v>1745</v>
      </c>
      <c r="I105" s="67" t="s">
        <v>1567</v>
      </c>
      <c r="J105" s="67" t="s">
        <v>1567</v>
      </c>
      <c r="K105" s="67" t="s">
        <v>556</v>
      </c>
      <c r="L105" s="133">
        <v>130469</v>
      </c>
      <c r="M105" s="69" t="s">
        <v>2254</v>
      </c>
      <c r="N105" s="70">
        <v>254722700491</v>
      </c>
    </row>
    <row r="106" spans="1:14" ht="22.5" x14ac:dyDescent="0.25">
      <c r="A106" s="61" t="s">
        <v>53</v>
      </c>
      <c r="B106" s="60">
        <v>2011016</v>
      </c>
      <c r="C106" s="60">
        <v>18256</v>
      </c>
      <c r="D106" s="62" t="s">
        <v>745</v>
      </c>
      <c r="E106" s="62">
        <v>65</v>
      </c>
      <c r="F106" s="62" t="s">
        <v>49</v>
      </c>
      <c r="G106" s="62" t="s">
        <v>15</v>
      </c>
      <c r="H106" s="61" t="s">
        <v>720</v>
      </c>
      <c r="I106" s="62" t="s">
        <v>1543</v>
      </c>
      <c r="J106" s="62" t="s">
        <v>1543</v>
      </c>
      <c r="K106" s="62" t="s">
        <v>714</v>
      </c>
      <c r="L106" s="134">
        <v>133497.69</v>
      </c>
      <c r="M106" s="71" t="s">
        <v>2254</v>
      </c>
      <c r="N106" s="64">
        <v>254724779335</v>
      </c>
    </row>
    <row r="107" spans="1:14" x14ac:dyDescent="0.25">
      <c r="A107" s="68" t="s">
        <v>72</v>
      </c>
      <c r="B107" s="66">
        <v>2503065</v>
      </c>
      <c r="C107" s="66">
        <v>59127</v>
      </c>
      <c r="D107" s="67" t="s">
        <v>1746</v>
      </c>
      <c r="E107" s="67">
        <v>59</v>
      </c>
      <c r="F107" s="67" t="s">
        <v>60</v>
      </c>
      <c r="G107" s="67" t="s">
        <v>22</v>
      </c>
      <c r="H107" s="68" t="s">
        <v>737</v>
      </c>
      <c r="I107" s="67" t="s">
        <v>1551</v>
      </c>
      <c r="J107" s="67" t="s">
        <v>1551</v>
      </c>
      <c r="K107" s="67" t="s">
        <v>714</v>
      </c>
      <c r="L107" s="133">
        <v>137313</v>
      </c>
      <c r="M107" s="69" t="s">
        <v>2254</v>
      </c>
      <c r="N107" s="70">
        <v>254724779335</v>
      </c>
    </row>
    <row r="108" spans="1:14" ht="22.5" x14ac:dyDescent="0.25">
      <c r="A108" s="61" t="s">
        <v>785</v>
      </c>
      <c r="B108" s="59">
        <v>2002518</v>
      </c>
      <c r="C108" s="60">
        <v>33078</v>
      </c>
      <c r="D108" s="58" t="s">
        <v>1747</v>
      </c>
      <c r="E108" s="58">
        <v>56</v>
      </c>
      <c r="F108" s="61" t="s">
        <v>126</v>
      </c>
      <c r="G108" s="61" t="s">
        <v>22</v>
      </c>
      <c r="H108" s="58" t="s">
        <v>1748</v>
      </c>
      <c r="I108" s="61" t="s">
        <v>1562</v>
      </c>
      <c r="J108" s="61" t="s">
        <v>1562</v>
      </c>
      <c r="K108" s="62" t="s">
        <v>788</v>
      </c>
      <c r="L108" s="132">
        <v>140000</v>
      </c>
      <c r="M108" s="63" t="s">
        <v>2254</v>
      </c>
      <c r="N108" s="64">
        <v>254720753956</v>
      </c>
    </row>
    <row r="109" spans="1:14" ht="33.75" x14ac:dyDescent="0.25">
      <c r="A109" s="68" t="s">
        <v>19</v>
      </c>
      <c r="B109" s="66">
        <v>2011016</v>
      </c>
      <c r="C109" s="66">
        <v>18256</v>
      </c>
      <c r="D109" s="67" t="s">
        <v>745</v>
      </c>
      <c r="E109" s="67">
        <v>65</v>
      </c>
      <c r="F109" s="67" t="s">
        <v>746</v>
      </c>
      <c r="G109" s="67" t="s">
        <v>15</v>
      </c>
      <c r="H109" s="68" t="s">
        <v>1749</v>
      </c>
      <c r="I109" s="67" t="s">
        <v>1542</v>
      </c>
      <c r="J109" s="67" t="s">
        <v>1610</v>
      </c>
      <c r="K109" s="67">
        <v>4</v>
      </c>
      <c r="L109" s="133">
        <v>145872.20000000001</v>
      </c>
      <c r="M109" s="69" t="s">
        <v>2254</v>
      </c>
      <c r="N109" s="70">
        <v>254720753956</v>
      </c>
    </row>
    <row r="110" spans="1:14" ht="67.5" x14ac:dyDescent="0.25">
      <c r="A110" s="61" t="s">
        <v>354</v>
      </c>
      <c r="B110" s="59">
        <v>2001273</v>
      </c>
      <c r="C110" s="60">
        <v>20535</v>
      </c>
      <c r="D110" s="58" t="s">
        <v>387</v>
      </c>
      <c r="E110" s="58">
        <v>80</v>
      </c>
      <c r="F110" s="58" t="s">
        <v>388</v>
      </c>
      <c r="G110" s="58" t="s">
        <v>22</v>
      </c>
      <c r="H110" s="58" t="s">
        <v>1750</v>
      </c>
      <c r="I110" s="58" t="s">
        <v>1231</v>
      </c>
      <c r="J110" s="61" t="s">
        <v>1562</v>
      </c>
      <c r="K110" s="58">
        <v>8</v>
      </c>
      <c r="L110" s="132">
        <v>147165.88</v>
      </c>
      <c r="M110" s="63" t="s">
        <v>2254</v>
      </c>
      <c r="N110" s="64">
        <v>254722536183</v>
      </c>
    </row>
    <row r="111" spans="1:14" ht="45" x14ac:dyDescent="0.25">
      <c r="A111" s="68" t="s">
        <v>72</v>
      </c>
      <c r="B111" s="75">
        <v>2012382</v>
      </c>
      <c r="C111" s="66">
        <v>52592</v>
      </c>
      <c r="D111" s="68" t="s">
        <v>1751</v>
      </c>
      <c r="E111" s="68">
        <v>63</v>
      </c>
      <c r="F111" s="68" t="s">
        <v>1752</v>
      </c>
      <c r="G111" s="68" t="s">
        <v>15</v>
      </c>
      <c r="H111" s="68" t="s">
        <v>1753</v>
      </c>
      <c r="I111" s="68" t="s">
        <v>1225</v>
      </c>
      <c r="J111" s="68" t="s">
        <v>1542</v>
      </c>
      <c r="K111" s="65">
        <v>6</v>
      </c>
      <c r="L111" s="135">
        <v>158939</v>
      </c>
      <c r="M111" s="73" t="s">
        <v>2254</v>
      </c>
      <c r="N111" s="70">
        <v>254721362558</v>
      </c>
    </row>
    <row r="112" spans="1:14" ht="33.75" x14ac:dyDescent="0.25">
      <c r="A112" s="61" t="s">
        <v>53</v>
      </c>
      <c r="B112" s="60">
        <v>2016528</v>
      </c>
      <c r="C112" s="60">
        <v>70896</v>
      </c>
      <c r="D112" s="62" t="s">
        <v>1754</v>
      </c>
      <c r="E112" s="62">
        <v>50</v>
      </c>
      <c r="F112" s="62" t="s">
        <v>1755</v>
      </c>
      <c r="G112" s="62" t="s">
        <v>22</v>
      </c>
      <c r="H112" s="61" t="s">
        <v>1756</v>
      </c>
      <c r="I112" s="62" t="s">
        <v>1572</v>
      </c>
      <c r="J112" s="62" t="s">
        <v>1675</v>
      </c>
      <c r="K112" s="62">
        <v>7</v>
      </c>
      <c r="L112" s="134">
        <v>163642</v>
      </c>
      <c r="M112" s="71" t="s">
        <v>2254</v>
      </c>
      <c r="N112" s="64">
        <v>254722262639</v>
      </c>
    </row>
    <row r="113" spans="1:14" ht="45" x14ac:dyDescent="0.25">
      <c r="A113" s="68" t="s">
        <v>72</v>
      </c>
      <c r="B113" s="66">
        <v>2003958</v>
      </c>
      <c r="C113" s="66">
        <v>31482</v>
      </c>
      <c r="D113" s="67" t="s">
        <v>1757</v>
      </c>
      <c r="E113" s="67">
        <v>67</v>
      </c>
      <c r="F113" s="67" t="s">
        <v>497</v>
      </c>
      <c r="G113" s="67" t="s">
        <v>664</v>
      </c>
      <c r="H113" s="68" t="s">
        <v>1758</v>
      </c>
      <c r="I113" s="67" t="s">
        <v>1610</v>
      </c>
      <c r="J113" s="67" t="s">
        <v>1675</v>
      </c>
      <c r="K113" s="67">
        <v>8</v>
      </c>
      <c r="L113" s="133">
        <v>167912</v>
      </c>
      <c r="M113" s="69" t="s">
        <v>2254</v>
      </c>
      <c r="N113" s="70">
        <v>254722345021</v>
      </c>
    </row>
    <row r="114" spans="1:14" ht="33.75" x14ac:dyDescent="0.25">
      <c r="A114" s="61" t="s">
        <v>63</v>
      </c>
      <c r="B114" s="60">
        <v>2002229</v>
      </c>
      <c r="C114" s="60">
        <v>32460</v>
      </c>
      <c r="D114" s="62" t="s">
        <v>1759</v>
      </c>
      <c r="E114" s="62">
        <v>52</v>
      </c>
      <c r="F114" s="62" t="s">
        <v>1760</v>
      </c>
      <c r="G114" s="62" t="s">
        <v>22</v>
      </c>
      <c r="H114" s="61" t="s">
        <v>1761</v>
      </c>
      <c r="I114" s="62" t="s">
        <v>1572</v>
      </c>
      <c r="J114" s="62" t="s">
        <v>1589</v>
      </c>
      <c r="K114" s="62">
        <v>1</v>
      </c>
      <c r="L114" s="134">
        <v>180178</v>
      </c>
      <c r="M114" s="71" t="s">
        <v>2254</v>
      </c>
      <c r="N114" s="64">
        <v>254721570563</v>
      </c>
    </row>
    <row r="115" spans="1:14" ht="22.5" x14ac:dyDescent="0.25">
      <c r="A115" s="68" t="s">
        <v>1331</v>
      </c>
      <c r="B115" s="66">
        <v>2017736</v>
      </c>
      <c r="C115" s="66">
        <v>16100</v>
      </c>
      <c r="D115" s="67" t="s">
        <v>1762</v>
      </c>
      <c r="E115" s="67">
        <v>52</v>
      </c>
      <c r="F115" s="67" t="s">
        <v>1763</v>
      </c>
      <c r="G115" s="67" t="s">
        <v>706</v>
      </c>
      <c r="H115" s="68" t="s">
        <v>1764</v>
      </c>
      <c r="I115" s="67" t="s">
        <v>1556</v>
      </c>
      <c r="J115" s="67" t="s">
        <v>1543</v>
      </c>
      <c r="K115" s="67">
        <v>4</v>
      </c>
      <c r="L115" s="133">
        <v>186995</v>
      </c>
      <c r="M115" s="69" t="s">
        <v>2254</v>
      </c>
      <c r="N115" s="70">
        <v>254716510067</v>
      </c>
    </row>
    <row r="116" spans="1:14" ht="56.25" x14ac:dyDescent="0.25">
      <c r="A116" s="61" t="s">
        <v>19</v>
      </c>
      <c r="B116" s="60">
        <v>2017821</v>
      </c>
      <c r="C116" s="60">
        <v>18146</v>
      </c>
      <c r="D116" s="62" t="s">
        <v>1765</v>
      </c>
      <c r="E116" s="62">
        <v>64</v>
      </c>
      <c r="F116" s="62" t="s">
        <v>1766</v>
      </c>
      <c r="G116" s="62" t="s">
        <v>22</v>
      </c>
      <c r="H116" s="61" t="s">
        <v>1767</v>
      </c>
      <c r="I116" s="62" t="s">
        <v>1594</v>
      </c>
      <c r="J116" s="62" t="s">
        <v>1546</v>
      </c>
      <c r="K116" s="62">
        <v>4</v>
      </c>
      <c r="L116" s="134">
        <v>192101.8</v>
      </c>
      <c r="M116" s="71" t="s">
        <v>2254</v>
      </c>
      <c r="N116" s="64">
        <v>254722862647</v>
      </c>
    </row>
    <row r="117" spans="1:14" ht="56.25" x14ac:dyDescent="0.25">
      <c r="A117" s="68" t="s">
        <v>1768</v>
      </c>
      <c r="B117" s="75">
        <v>2001102</v>
      </c>
      <c r="C117" s="66">
        <v>636</v>
      </c>
      <c r="D117" s="68" t="s">
        <v>778</v>
      </c>
      <c r="E117" s="68">
        <v>82</v>
      </c>
      <c r="F117" s="68" t="s">
        <v>126</v>
      </c>
      <c r="G117" s="68" t="s">
        <v>22</v>
      </c>
      <c r="H117" s="68" t="s">
        <v>1769</v>
      </c>
      <c r="I117" s="68" t="s">
        <v>1232</v>
      </c>
      <c r="J117" s="65" t="s">
        <v>1553</v>
      </c>
      <c r="K117" s="65">
        <v>5</v>
      </c>
      <c r="L117" s="135">
        <v>194191</v>
      </c>
      <c r="M117" s="73" t="s">
        <v>2254</v>
      </c>
      <c r="N117" s="70">
        <v>254721629072</v>
      </c>
    </row>
    <row r="118" spans="1:14" ht="22.5" x14ac:dyDescent="0.25">
      <c r="A118" s="61" t="s">
        <v>856</v>
      </c>
      <c r="B118" s="74">
        <v>2018628</v>
      </c>
      <c r="C118" s="60">
        <v>55007</v>
      </c>
      <c r="D118" s="61" t="s">
        <v>1770</v>
      </c>
      <c r="E118" s="61">
        <v>63</v>
      </c>
      <c r="F118" s="61" t="s">
        <v>1771</v>
      </c>
      <c r="G118" s="61" t="s">
        <v>22</v>
      </c>
      <c r="H118" s="61" t="s">
        <v>1772</v>
      </c>
      <c r="I118" s="61" t="s">
        <v>1225</v>
      </c>
      <c r="J118" s="61" t="s">
        <v>1542</v>
      </c>
      <c r="K118" s="58">
        <v>6</v>
      </c>
      <c r="L118" s="132">
        <v>215427.83</v>
      </c>
      <c r="M118" s="63" t="s">
        <v>2254</v>
      </c>
      <c r="N118" s="64">
        <v>254722459110</v>
      </c>
    </row>
    <row r="119" spans="1:14" ht="33.75" x14ac:dyDescent="0.25">
      <c r="A119" s="68" t="s">
        <v>856</v>
      </c>
      <c r="B119" s="66">
        <v>2016077</v>
      </c>
      <c r="C119" s="66">
        <v>18754</v>
      </c>
      <c r="D119" s="67" t="s">
        <v>1773</v>
      </c>
      <c r="E119" s="67">
        <v>56</v>
      </c>
      <c r="F119" s="67" t="s">
        <v>1774</v>
      </c>
      <c r="G119" s="67" t="s">
        <v>706</v>
      </c>
      <c r="H119" s="68" t="s">
        <v>1775</v>
      </c>
      <c r="I119" s="67" t="s">
        <v>1556</v>
      </c>
      <c r="J119" s="67" t="s">
        <v>1589</v>
      </c>
      <c r="K119" s="67">
        <v>3</v>
      </c>
      <c r="L119" s="133">
        <v>225243.22</v>
      </c>
      <c r="M119" s="69" t="s">
        <v>2254</v>
      </c>
      <c r="N119" s="70">
        <v>254722422235</v>
      </c>
    </row>
    <row r="120" spans="1:14" ht="56.25" x14ac:dyDescent="0.25">
      <c r="A120" s="61" t="s">
        <v>43</v>
      </c>
      <c r="B120" s="60">
        <v>2000302</v>
      </c>
      <c r="C120" s="60">
        <v>18333</v>
      </c>
      <c r="D120" s="62" t="s">
        <v>1776</v>
      </c>
      <c r="E120" s="62">
        <v>66</v>
      </c>
      <c r="F120" s="62" t="s">
        <v>1777</v>
      </c>
      <c r="G120" s="62" t="s">
        <v>22</v>
      </c>
      <c r="H120" s="61" t="s">
        <v>1778</v>
      </c>
      <c r="I120" s="62" t="s">
        <v>1589</v>
      </c>
      <c r="J120" s="62" t="s">
        <v>1559</v>
      </c>
      <c r="K120" s="62">
        <v>4</v>
      </c>
      <c r="L120" s="134">
        <v>228034</v>
      </c>
      <c r="M120" s="71" t="s">
        <v>2254</v>
      </c>
      <c r="N120" s="64">
        <v>254722422235</v>
      </c>
    </row>
    <row r="121" spans="1:14" ht="22.5" x14ac:dyDescent="0.25">
      <c r="A121" s="68" t="s">
        <v>422</v>
      </c>
      <c r="B121" s="66">
        <v>2014982</v>
      </c>
      <c r="C121" s="66">
        <v>13660</v>
      </c>
      <c r="D121" s="67" t="s">
        <v>1779</v>
      </c>
      <c r="E121" s="67">
        <v>66</v>
      </c>
      <c r="F121" s="67" t="s">
        <v>1780</v>
      </c>
      <c r="G121" s="67" t="s">
        <v>22</v>
      </c>
      <c r="H121" s="68" t="s">
        <v>780</v>
      </c>
      <c r="I121" s="67" t="s">
        <v>1589</v>
      </c>
      <c r="J121" s="67" t="s">
        <v>1675</v>
      </c>
      <c r="K121" s="67">
        <v>3</v>
      </c>
      <c r="L121" s="133">
        <v>237007</v>
      </c>
      <c r="M121" s="69" t="s">
        <v>2254</v>
      </c>
      <c r="N121" s="70">
        <v>254722422235</v>
      </c>
    </row>
    <row r="122" spans="1:14" ht="33.75" x14ac:dyDescent="0.25">
      <c r="A122" s="61" t="s">
        <v>544</v>
      </c>
      <c r="B122" s="60">
        <v>2602004</v>
      </c>
      <c r="C122" s="60">
        <v>62092</v>
      </c>
      <c r="D122" s="62" t="s">
        <v>1021</v>
      </c>
      <c r="E122" s="62">
        <v>59</v>
      </c>
      <c r="F122" s="62" t="s">
        <v>1022</v>
      </c>
      <c r="G122" s="62" t="s">
        <v>22</v>
      </c>
      <c r="H122" s="61" t="s">
        <v>1781</v>
      </c>
      <c r="I122" s="62" t="s">
        <v>1589</v>
      </c>
      <c r="J122" s="62" t="s">
        <v>1559</v>
      </c>
      <c r="K122" s="62">
        <v>3</v>
      </c>
      <c r="L122" s="134">
        <v>237918</v>
      </c>
      <c r="M122" s="71" t="s">
        <v>2254</v>
      </c>
      <c r="N122" s="64">
        <v>254722422235</v>
      </c>
    </row>
    <row r="123" spans="1:14" ht="45" x14ac:dyDescent="0.25">
      <c r="A123" s="68" t="s">
        <v>63</v>
      </c>
      <c r="B123" s="75">
        <v>2020142</v>
      </c>
      <c r="C123" s="66">
        <v>16148</v>
      </c>
      <c r="D123" s="68" t="s">
        <v>1782</v>
      </c>
      <c r="E123" s="68">
        <v>65</v>
      </c>
      <c r="F123" s="68" t="s">
        <v>1783</v>
      </c>
      <c r="G123" s="68" t="s">
        <v>15</v>
      </c>
      <c r="H123" s="68" t="s">
        <v>1784</v>
      </c>
      <c r="I123" s="68" t="s">
        <v>1254</v>
      </c>
      <c r="J123" s="68" t="s">
        <v>1542</v>
      </c>
      <c r="K123" s="65">
        <v>4</v>
      </c>
      <c r="L123" s="135">
        <v>238811</v>
      </c>
      <c r="M123" s="73" t="s">
        <v>2254</v>
      </c>
      <c r="N123" s="70">
        <v>254722830697</v>
      </c>
    </row>
    <row r="124" spans="1:14" ht="78.75" x14ac:dyDescent="0.25">
      <c r="A124" s="61" t="s">
        <v>19</v>
      </c>
      <c r="B124" s="60">
        <v>2002482</v>
      </c>
      <c r="C124" s="60">
        <v>14794</v>
      </c>
      <c r="D124" s="62" t="s">
        <v>1785</v>
      </c>
      <c r="E124" s="62">
        <v>67</v>
      </c>
      <c r="F124" s="62" t="s">
        <v>1786</v>
      </c>
      <c r="G124" s="62" t="s">
        <v>22</v>
      </c>
      <c r="H124" s="61" t="s">
        <v>1787</v>
      </c>
      <c r="I124" s="62" t="s">
        <v>1594</v>
      </c>
      <c r="J124" s="62" t="s">
        <v>1567</v>
      </c>
      <c r="K124" s="62">
        <v>11</v>
      </c>
      <c r="L124" s="134">
        <v>241144</v>
      </c>
      <c r="M124" s="71" t="s">
        <v>2254</v>
      </c>
      <c r="N124" s="64">
        <v>254726800511</v>
      </c>
    </row>
    <row r="125" spans="1:14" ht="33.75" x14ac:dyDescent="0.25">
      <c r="A125" s="68" t="s">
        <v>1653</v>
      </c>
      <c r="B125" s="66">
        <v>2020141</v>
      </c>
      <c r="C125" s="66">
        <v>16148</v>
      </c>
      <c r="D125" s="67" t="s">
        <v>1788</v>
      </c>
      <c r="E125" s="67">
        <v>65</v>
      </c>
      <c r="F125" s="67" t="s">
        <v>1789</v>
      </c>
      <c r="G125" s="67" t="s">
        <v>22</v>
      </c>
      <c r="H125" s="68" t="s">
        <v>1790</v>
      </c>
      <c r="I125" s="67" t="s">
        <v>1562</v>
      </c>
      <c r="J125" s="67" t="s">
        <v>1549</v>
      </c>
      <c r="K125" s="67">
        <v>3</v>
      </c>
      <c r="L125" s="133">
        <v>243679</v>
      </c>
      <c r="M125" s="69" t="s">
        <v>2254</v>
      </c>
      <c r="N125" s="70">
        <v>254728238081</v>
      </c>
    </row>
    <row r="126" spans="1:14" ht="22.5" x14ac:dyDescent="0.25">
      <c r="A126" s="61" t="s">
        <v>856</v>
      </c>
      <c r="B126" s="60">
        <v>2501067</v>
      </c>
      <c r="C126" s="60">
        <v>83002</v>
      </c>
      <c r="D126" s="62" t="s">
        <v>1791</v>
      </c>
      <c r="E126" s="62">
        <v>44</v>
      </c>
      <c r="F126" s="62" t="s">
        <v>1792</v>
      </c>
      <c r="G126" s="62" t="s">
        <v>22</v>
      </c>
      <c r="H126" s="61" t="s">
        <v>29</v>
      </c>
      <c r="I126" s="62" t="s">
        <v>1567</v>
      </c>
      <c r="J126" s="62" t="s">
        <v>1675</v>
      </c>
      <c r="K126" s="62">
        <v>1</v>
      </c>
      <c r="L126" s="134">
        <v>253014.01</v>
      </c>
      <c r="M126" s="71" t="s">
        <v>2254</v>
      </c>
      <c r="N126" s="64">
        <v>254712884054</v>
      </c>
    </row>
    <row r="127" spans="1:14" ht="22.5" x14ac:dyDescent="0.25">
      <c r="A127" s="68" t="s">
        <v>1502</v>
      </c>
      <c r="B127" s="66">
        <v>2022537</v>
      </c>
      <c r="C127" s="66">
        <v>32636</v>
      </c>
      <c r="D127" s="67" t="s">
        <v>1793</v>
      </c>
      <c r="E127" s="67">
        <v>61</v>
      </c>
      <c r="F127" s="67" t="s">
        <v>507</v>
      </c>
      <c r="G127" s="67" t="s">
        <v>664</v>
      </c>
      <c r="H127" s="68" t="s">
        <v>1794</v>
      </c>
      <c r="I127" s="67" t="s">
        <v>1795</v>
      </c>
      <c r="J127" s="67" t="s">
        <v>1551</v>
      </c>
      <c r="K127" s="67">
        <v>30</v>
      </c>
      <c r="L127" s="133">
        <v>253650</v>
      </c>
      <c r="M127" s="69" t="s">
        <v>2254</v>
      </c>
      <c r="N127" s="70">
        <v>254722676312</v>
      </c>
    </row>
    <row r="128" spans="1:14" ht="45" x14ac:dyDescent="0.25">
      <c r="A128" s="61" t="s">
        <v>72</v>
      </c>
      <c r="B128" s="60">
        <v>2003958</v>
      </c>
      <c r="C128" s="60">
        <v>31482</v>
      </c>
      <c r="D128" s="62" t="s">
        <v>496</v>
      </c>
      <c r="E128" s="62">
        <v>67</v>
      </c>
      <c r="F128" s="62" t="s">
        <v>497</v>
      </c>
      <c r="G128" s="62" t="s">
        <v>22</v>
      </c>
      <c r="H128" s="61" t="s">
        <v>1796</v>
      </c>
      <c r="I128" s="62" t="s">
        <v>1254</v>
      </c>
      <c r="J128" s="62" t="s">
        <v>1546</v>
      </c>
      <c r="K128" s="62">
        <v>6</v>
      </c>
      <c r="L128" s="134">
        <v>257311.2</v>
      </c>
      <c r="M128" s="71" t="s">
        <v>2254</v>
      </c>
      <c r="N128" s="64">
        <v>254721584850</v>
      </c>
    </row>
    <row r="129" spans="1:14" ht="33.75" x14ac:dyDescent="0.25">
      <c r="A129" s="68" t="s">
        <v>1797</v>
      </c>
      <c r="B129" s="75">
        <v>2022970</v>
      </c>
      <c r="C129" s="66">
        <v>59899</v>
      </c>
      <c r="D129" s="68" t="s">
        <v>1798</v>
      </c>
      <c r="E129" s="68">
        <v>63</v>
      </c>
      <c r="F129" s="68" t="s">
        <v>1799</v>
      </c>
      <c r="G129" s="68" t="s">
        <v>22</v>
      </c>
      <c r="H129" s="68" t="s">
        <v>61</v>
      </c>
      <c r="I129" s="68" t="s">
        <v>1225</v>
      </c>
      <c r="J129" s="68" t="s">
        <v>1562</v>
      </c>
      <c r="K129" s="65">
        <v>5</v>
      </c>
      <c r="L129" s="135">
        <v>260100</v>
      </c>
      <c r="M129" s="73" t="s">
        <v>2254</v>
      </c>
      <c r="N129" s="70">
        <v>254722722182</v>
      </c>
    </row>
    <row r="130" spans="1:14" ht="45" x14ac:dyDescent="0.25">
      <c r="A130" s="61" t="s">
        <v>63</v>
      </c>
      <c r="B130" s="74">
        <v>2020141</v>
      </c>
      <c r="C130" s="60">
        <v>16148</v>
      </c>
      <c r="D130" s="61" t="s">
        <v>1800</v>
      </c>
      <c r="E130" s="61">
        <v>65</v>
      </c>
      <c r="F130" s="61" t="s">
        <v>1789</v>
      </c>
      <c r="G130" s="61" t="s">
        <v>22</v>
      </c>
      <c r="H130" s="61" t="s">
        <v>1801</v>
      </c>
      <c r="I130" s="61" t="s">
        <v>1225</v>
      </c>
      <c r="J130" s="61" t="s">
        <v>1562</v>
      </c>
      <c r="K130" s="58">
        <v>5</v>
      </c>
      <c r="L130" s="132">
        <v>261061</v>
      </c>
      <c r="M130" s="63" t="s">
        <v>2254</v>
      </c>
      <c r="N130" s="64">
        <v>254722699482</v>
      </c>
    </row>
    <row r="131" spans="1:14" ht="33.75" x14ac:dyDescent="0.25">
      <c r="A131" s="68" t="s">
        <v>1410</v>
      </c>
      <c r="B131" s="66">
        <v>2019474</v>
      </c>
      <c r="C131" s="66">
        <v>57023</v>
      </c>
      <c r="D131" s="67" t="s">
        <v>1802</v>
      </c>
      <c r="E131" s="67">
        <v>59</v>
      </c>
      <c r="F131" s="67" t="s">
        <v>1803</v>
      </c>
      <c r="G131" s="67" t="s">
        <v>22</v>
      </c>
      <c r="H131" s="68" t="s">
        <v>1804</v>
      </c>
      <c r="I131" s="67" t="s">
        <v>108</v>
      </c>
      <c r="J131" s="67" t="s">
        <v>1546</v>
      </c>
      <c r="K131" s="67">
        <v>7</v>
      </c>
      <c r="L131" s="133">
        <v>268315</v>
      </c>
      <c r="M131" s="69" t="s">
        <v>2254</v>
      </c>
      <c r="N131" s="70">
        <v>254722845819</v>
      </c>
    </row>
    <row r="132" spans="1:14" ht="22.5" x14ac:dyDescent="0.25">
      <c r="A132" s="61" t="s">
        <v>274</v>
      </c>
      <c r="B132" s="60">
        <v>2017321</v>
      </c>
      <c r="C132" s="60">
        <v>104018</v>
      </c>
      <c r="D132" s="62" t="s">
        <v>1805</v>
      </c>
      <c r="E132" s="62">
        <v>63</v>
      </c>
      <c r="F132" s="62" t="s">
        <v>60</v>
      </c>
      <c r="G132" s="62" t="s">
        <v>22</v>
      </c>
      <c r="H132" s="61" t="s">
        <v>1806</v>
      </c>
      <c r="I132" s="62" t="s">
        <v>1610</v>
      </c>
      <c r="J132" s="62" t="s">
        <v>1543</v>
      </c>
      <c r="K132" s="62">
        <v>3</v>
      </c>
      <c r="L132" s="134">
        <v>281350</v>
      </c>
      <c r="M132" s="71" t="s">
        <v>2254</v>
      </c>
      <c r="N132" s="64">
        <v>254722845819</v>
      </c>
    </row>
    <row r="133" spans="1:14" ht="56.25" x14ac:dyDescent="0.25">
      <c r="A133" s="68" t="s">
        <v>63</v>
      </c>
      <c r="B133" s="66">
        <v>2020249</v>
      </c>
      <c r="C133" s="66">
        <v>19102</v>
      </c>
      <c r="D133" s="67" t="s">
        <v>1807</v>
      </c>
      <c r="E133" s="67">
        <v>58</v>
      </c>
      <c r="F133" s="67" t="s">
        <v>1808</v>
      </c>
      <c r="G133" s="67" t="s">
        <v>22</v>
      </c>
      <c r="H133" s="68" t="s">
        <v>1809</v>
      </c>
      <c r="I133" s="67" t="s">
        <v>1546</v>
      </c>
      <c r="J133" s="67" t="s">
        <v>1543</v>
      </c>
      <c r="K133" s="67">
        <v>6</v>
      </c>
      <c r="L133" s="133">
        <v>284948</v>
      </c>
      <c r="M133" s="69" t="s">
        <v>2254</v>
      </c>
      <c r="N133" s="70">
        <v>254722845819</v>
      </c>
    </row>
    <row r="134" spans="1:14" ht="45" x14ac:dyDescent="0.25">
      <c r="A134" s="61" t="s">
        <v>1810</v>
      </c>
      <c r="B134" s="60">
        <v>2022238</v>
      </c>
      <c r="C134" s="60">
        <v>60548</v>
      </c>
      <c r="D134" s="62" t="s">
        <v>1811</v>
      </c>
      <c r="E134" s="62">
        <v>62</v>
      </c>
      <c r="F134" s="62" t="s">
        <v>1812</v>
      </c>
      <c r="G134" s="62" t="s">
        <v>22</v>
      </c>
      <c r="H134" s="61" t="s">
        <v>1813</v>
      </c>
      <c r="I134" s="62" t="s">
        <v>1814</v>
      </c>
      <c r="J134" s="62" t="s">
        <v>1610</v>
      </c>
      <c r="K134" s="62">
        <v>3</v>
      </c>
      <c r="L134" s="134">
        <v>289814.13</v>
      </c>
      <c r="M134" s="71" t="s">
        <v>2254</v>
      </c>
      <c r="N134" s="64">
        <v>254722845819</v>
      </c>
    </row>
    <row r="135" spans="1:14" ht="56.25" x14ac:dyDescent="0.25">
      <c r="A135" s="68" t="s">
        <v>1690</v>
      </c>
      <c r="B135" s="66">
        <v>2006478</v>
      </c>
      <c r="C135" s="66">
        <v>8834</v>
      </c>
      <c r="D135" s="67" t="s">
        <v>1815</v>
      </c>
      <c r="E135" s="67">
        <v>64</v>
      </c>
      <c r="F135" s="67" t="s">
        <v>1816</v>
      </c>
      <c r="G135" s="67" t="s">
        <v>15</v>
      </c>
      <c r="H135" s="68" t="s">
        <v>1817</v>
      </c>
      <c r="I135" s="67" t="s">
        <v>1562</v>
      </c>
      <c r="J135" s="67" t="s">
        <v>1610</v>
      </c>
      <c r="K135" s="67">
        <v>4</v>
      </c>
      <c r="L135" s="133">
        <v>295319</v>
      </c>
      <c r="M135" s="69" t="s">
        <v>2254</v>
      </c>
      <c r="N135" s="70">
        <v>254728762115</v>
      </c>
    </row>
    <row r="136" spans="1:14" ht="33.75" x14ac:dyDescent="0.25">
      <c r="A136" s="61" t="s">
        <v>53</v>
      </c>
      <c r="B136" s="60">
        <v>2012416</v>
      </c>
      <c r="C136" s="60">
        <v>101301</v>
      </c>
      <c r="D136" s="62" t="s">
        <v>1818</v>
      </c>
      <c r="E136" s="62">
        <v>64</v>
      </c>
      <c r="F136" s="62" t="s">
        <v>1819</v>
      </c>
      <c r="G136" s="62" t="s">
        <v>1820</v>
      </c>
      <c r="H136" s="61" t="s">
        <v>1821</v>
      </c>
      <c r="I136" s="62" t="s">
        <v>1822</v>
      </c>
      <c r="J136" s="62" t="s">
        <v>1551</v>
      </c>
      <c r="K136" s="62">
        <v>6</v>
      </c>
      <c r="L136" s="134">
        <v>321122</v>
      </c>
      <c r="M136" s="71" t="s">
        <v>2254</v>
      </c>
      <c r="N136" s="64">
        <v>254728762115</v>
      </c>
    </row>
    <row r="137" spans="1:14" ht="22.5" x14ac:dyDescent="0.25">
      <c r="A137" s="68" t="s">
        <v>1690</v>
      </c>
      <c r="B137" s="75">
        <v>2011288</v>
      </c>
      <c r="C137" s="66">
        <v>52601</v>
      </c>
      <c r="D137" s="68" t="s">
        <v>1823</v>
      </c>
      <c r="E137" s="68">
        <v>59</v>
      </c>
      <c r="F137" s="68" t="s">
        <v>1824</v>
      </c>
      <c r="G137" s="68" t="s">
        <v>15</v>
      </c>
      <c r="H137" s="68" t="s">
        <v>1825</v>
      </c>
      <c r="I137" s="68" t="s">
        <v>1264</v>
      </c>
      <c r="J137" s="65" t="s">
        <v>1553</v>
      </c>
      <c r="K137" s="65">
        <v>3</v>
      </c>
      <c r="L137" s="135">
        <v>321878</v>
      </c>
      <c r="M137" s="73" t="s">
        <v>2254</v>
      </c>
      <c r="N137" s="70">
        <v>254721542824</v>
      </c>
    </row>
    <row r="138" spans="1:14" ht="22.5" x14ac:dyDescent="0.25">
      <c r="A138" s="61" t="s">
        <v>53</v>
      </c>
      <c r="B138" s="60">
        <v>2012898</v>
      </c>
      <c r="C138" s="60">
        <v>69679</v>
      </c>
      <c r="D138" s="62" t="s">
        <v>1826</v>
      </c>
      <c r="E138" s="62">
        <v>49</v>
      </c>
      <c r="F138" s="62" t="s">
        <v>1827</v>
      </c>
      <c r="G138" s="62" t="s">
        <v>15</v>
      </c>
      <c r="H138" s="61" t="s">
        <v>1828</v>
      </c>
      <c r="I138" s="62" t="s">
        <v>1562</v>
      </c>
      <c r="J138" s="62" t="s">
        <v>1572</v>
      </c>
      <c r="K138" s="62">
        <v>6</v>
      </c>
      <c r="L138" s="134">
        <v>324380</v>
      </c>
      <c r="M138" s="71" t="s">
        <v>2254</v>
      </c>
      <c r="N138" s="64">
        <v>254758571773</v>
      </c>
    </row>
    <row r="139" spans="1:14" ht="22.5" x14ac:dyDescent="0.25">
      <c r="A139" s="68" t="s">
        <v>544</v>
      </c>
      <c r="B139" s="75">
        <v>2001361</v>
      </c>
      <c r="C139" s="66">
        <v>6678</v>
      </c>
      <c r="D139" s="68" t="s">
        <v>1829</v>
      </c>
      <c r="E139" s="68">
        <v>72</v>
      </c>
      <c r="F139" s="68" t="s">
        <v>1830</v>
      </c>
      <c r="G139" s="68" t="s">
        <v>22</v>
      </c>
      <c r="H139" s="68" t="s">
        <v>1831</v>
      </c>
      <c r="I139" s="68" t="s">
        <v>1249</v>
      </c>
      <c r="J139" s="68" t="s">
        <v>834</v>
      </c>
      <c r="K139" s="65">
        <v>11</v>
      </c>
      <c r="L139" s="136">
        <v>333812</v>
      </c>
      <c r="M139" s="76" t="s">
        <v>2254</v>
      </c>
      <c r="N139" s="70">
        <v>254716574617</v>
      </c>
    </row>
    <row r="140" spans="1:14" ht="22.5" x14ac:dyDescent="0.25">
      <c r="A140" s="61" t="s">
        <v>1768</v>
      </c>
      <c r="B140" s="60">
        <v>2407114</v>
      </c>
      <c r="C140" s="60">
        <v>67490</v>
      </c>
      <c r="D140" s="62" t="s">
        <v>1832</v>
      </c>
      <c r="E140" s="62">
        <v>58</v>
      </c>
      <c r="F140" s="62" t="s">
        <v>1833</v>
      </c>
      <c r="G140" s="62" t="s">
        <v>664</v>
      </c>
      <c r="H140" s="61" t="s">
        <v>1834</v>
      </c>
      <c r="I140" s="62" t="s">
        <v>1610</v>
      </c>
      <c r="J140" s="62" t="s">
        <v>1551</v>
      </c>
      <c r="K140" s="62">
        <v>5</v>
      </c>
      <c r="L140" s="134">
        <v>343288</v>
      </c>
      <c r="M140" s="71" t="s">
        <v>2254</v>
      </c>
      <c r="N140" s="64">
        <v>254722680420</v>
      </c>
    </row>
    <row r="141" spans="1:14" ht="22.5" x14ac:dyDescent="0.25">
      <c r="A141" s="68" t="s">
        <v>72</v>
      </c>
      <c r="B141" s="66">
        <v>2017014</v>
      </c>
      <c r="C141" s="66">
        <v>59161</v>
      </c>
      <c r="D141" s="67" t="s">
        <v>1835</v>
      </c>
      <c r="E141" s="67">
        <v>61</v>
      </c>
      <c r="F141" s="67" t="s">
        <v>1836</v>
      </c>
      <c r="G141" s="67" t="s">
        <v>22</v>
      </c>
      <c r="H141" s="68" t="s">
        <v>1837</v>
      </c>
      <c r="I141" s="67" t="s">
        <v>1546</v>
      </c>
      <c r="J141" s="67" t="s">
        <v>1572</v>
      </c>
      <c r="K141" s="67">
        <v>4</v>
      </c>
      <c r="L141" s="133">
        <v>363704.8</v>
      </c>
      <c r="M141" s="69" t="s">
        <v>2254</v>
      </c>
      <c r="N141" s="70">
        <v>254722680420</v>
      </c>
    </row>
    <row r="142" spans="1:14" ht="45" x14ac:dyDescent="0.25">
      <c r="A142" s="61" t="s">
        <v>19</v>
      </c>
      <c r="B142" s="60">
        <v>2008980</v>
      </c>
      <c r="C142" s="60">
        <v>59457</v>
      </c>
      <c r="D142" s="62" t="s">
        <v>1838</v>
      </c>
      <c r="E142" s="62">
        <v>65</v>
      </c>
      <c r="F142" s="62" t="s">
        <v>314</v>
      </c>
      <c r="G142" s="62" t="s">
        <v>15</v>
      </c>
      <c r="H142" s="61" t="s">
        <v>1839</v>
      </c>
      <c r="I142" s="62" t="s">
        <v>1562</v>
      </c>
      <c r="J142" s="62" t="s">
        <v>1675</v>
      </c>
      <c r="K142" s="62">
        <v>13</v>
      </c>
      <c r="L142" s="134">
        <v>369816</v>
      </c>
      <c r="M142" s="71" t="s">
        <v>2254</v>
      </c>
      <c r="N142" s="64">
        <v>254722680420</v>
      </c>
    </row>
    <row r="143" spans="1:14" ht="22.5" x14ac:dyDescent="0.25">
      <c r="A143" s="68" t="s">
        <v>53</v>
      </c>
      <c r="B143" s="75">
        <v>2007795</v>
      </c>
      <c r="C143" s="66">
        <v>15404</v>
      </c>
      <c r="D143" s="68" t="s">
        <v>1840</v>
      </c>
      <c r="E143" s="68">
        <v>63</v>
      </c>
      <c r="F143" s="65" t="s">
        <v>14</v>
      </c>
      <c r="G143" s="65" t="s">
        <v>706</v>
      </c>
      <c r="H143" s="68" t="s">
        <v>1841</v>
      </c>
      <c r="I143" s="68" t="s">
        <v>1842</v>
      </c>
      <c r="J143" s="68" t="s">
        <v>1542</v>
      </c>
      <c r="K143" s="67" t="s">
        <v>714</v>
      </c>
      <c r="L143" s="136">
        <v>371955</v>
      </c>
      <c r="M143" s="76" t="s">
        <v>2254</v>
      </c>
      <c r="N143" s="70">
        <v>254721459254</v>
      </c>
    </row>
    <row r="144" spans="1:14" ht="22.5" x14ac:dyDescent="0.25">
      <c r="A144" s="61" t="s">
        <v>1690</v>
      </c>
      <c r="B144" s="60">
        <v>2019367</v>
      </c>
      <c r="C144" s="60">
        <v>14101</v>
      </c>
      <c r="D144" s="62" t="s">
        <v>1843</v>
      </c>
      <c r="E144" s="62">
        <v>64</v>
      </c>
      <c r="F144" s="62" t="s">
        <v>1844</v>
      </c>
      <c r="G144" s="62" t="s">
        <v>706</v>
      </c>
      <c r="H144" s="61" t="s">
        <v>1845</v>
      </c>
      <c r="I144" s="62" t="s">
        <v>1610</v>
      </c>
      <c r="J144" s="62" t="s">
        <v>1551</v>
      </c>
      <c r="K144" s="62">
        <v>5</v>
      </c>
      <c r="L144" s="134">
        <v>378364</v>
      </c>
      <c r="M144" s="71" t="s">
        <v>2254</v>
      </c>
      <c r="N144" s="64">
        <v>254721729511</v>
      </c>
    </row>
    <row r="145" spans="1:14" x14ac:dyDescent="0.25">
      <c r="A145" s="68" t="s">
        <v>515</v>
      </c>
      <c r="B145" s="66">
        <v>2002192</v>
      </c>
      <c r="C145" s="66">
        <v>104817</v>
      </c>
      <c r="D145" s="67" t="s">
        <v>753</v>
      </c>
      <c r="E145" s="67">
        <v>61</v>
      </c>
      <c r="F145" s="67" t="s">
        <v>1846</v>
      </c>
      <c r="G145" s="67" t="s">
        <v>22</v>
      </c>
      <c r="H145" s="68" t="s">
        <v>752</v>
      </c>
      <c r="I145" s="67" t="s">
        <v>1847</v>
      </c>
      <c r="J145" s="67" t="s">
        <v>1559</v>
      </c>
      <c r="K145" s="67">
        <v>10</v>
      </c>
      <c r="L145" s="133">
        <v>394307</v>
      </c>
      <c r="M145" s="69" t="s">
        <v>2254</v>
      </c>
      <c r="N145" s="70">
        <v>254721729511</v>
      </c>
    </row>
    <row r="146" spans="1:14" ht="90" x14ac:dyDescent="0.25">
      <c r="A146" s="61" t="s">
        <v>354</v>
      </c>
      <c r="B146" s="59">
        <v>2020636</v>
      </c>
      <c r="C146" s="60">
        <v>18572</v>
      </c>
      <c r="D146" s="58" t="s">
        <v>968</v>
      </c>
      <c r="E146" s="58">
        <v>63</v>
      </c>
      <c r="F146" s="58" t="s">
        <v>969</v>
      </c>
      <c r="G146" s="58" t="s">
        <v>22</v>
      </c>
      <c r="H146" s="58" t="s">
        <v>1848</v>
      </c>
      <c r="I146" s="58" t="s">
        <v>1849</v>
      </c>
      <c r="J146" s="61" t="s">
        <v>1542</v>
      </c>
      <c r="K146" s="58">
        <v>23</v>
      </c>
      <c r="L146" s="137">
        <v>405877.22</v>
      </c>
      <c r="M146" s="77" t="s">
        <v>2254</v>
      </c>
      <c r="N146" s="64">
        <v>254720718885</v>
      </c>
    </row>
    <row r="147" spans="1:14" ht="33.75" x14ac:dyDescent="0.25">
      <c r="A147" s="68" t="s">
        <v>72</v>
      </c>
      <c r="B147" s="66">
        <v>2002637</v>
      </c>
      <c r="C147" s="66">
        <v>8913</v>
      </c>
      <c r="D147" s="67" t="s">
        <v>1850</v>
      </c>
      <c r="E147" s="67">
        <v>70</v>
      </c>
      <c r="F147" s="67" t="s">
        <v>1851</v>
      </c>
      <c r="G147" s="67" t="s">
        <v>22</v>
      </c>
      <c r="H147" s="68" t="s">
        <v>1852</v>
      </c>
      <c r="I147" s="67" t="s">
        <v>1567</v>
      </c>
      <c r="J147" s="67" t="s">
        <v>1559</v>
      </c>
      <c r="K147" s="67">
        <v>2</v>
      </c>
      <c r="L147" s="133">
        <v>415544.2</v>
      </c>
      <c r="M147" s="69" t="s">
        <v>2254</v>
      </c>
      <c r="N147" s="70">
        <v>254703972911</v>
      </c>
    </row>
    <row r="148" spans="1:14" ht="33.75" x14ac:dyDescent="0.25">
      <c r="A148" s="61" t="s">
        <v>72</v>
      </c>
      <c r="B148" s="60">
        <v>2016416</v>
      </c>
      <c r="C148" s="60">
        <v>57085</v>
      </c>
      <c r="D148" s="62" t="s">
        <v>1853</v>
      </c>
      <c r="E148" s="62">
        <v>64</v>
      </c>
      <c r="F148" s="62" t="s">
        <v>1854</v>
      </c>
      <c r="G148" s="62" t="s">
        <v>22</v>
      </c>
      <c r="H148" s="61" t="s">
        <v>1855</v>
      </c>
      <c r="I148" s="62" t="s">
        <v>1594</v>
      </c>
      <c r="J148" s="62" t="s">
        <v>1546</v>
      </c>
      <c r="K148" s="62">
        <v>4</v>
      </c>
      <c r="L148" s="134">
        <v>426191</v>
      </c>
      <c r="M148" s="71" t="s">
        <v>2254</v>
      </c>
      <c r="N148" s="64">
        <v>254724950223</v>
      </c>
    </row>
    <row r="149" spans="1:14" ht="33.75" x14ac:dyDescent="0.25">
      <c r="A149" s="68" t="s">
        <v>1856</v>
      </c>
      <c r="B149" s="75">
        <v>2021185</v>
      </c>
      <c r="C149" s="66">
        <v>64234</v>
      </c>
      <c r="D149" s="68" t="s">
        <v>1857</v>
      </c>
      <c r="E149" s="68">
        <v>60</v>
      </c>
      <c r="F149" s="68" t="s">
        <v>1858</v>
      </c>
      <c r="G149" s="68" t="s">
        <v>22</v>
      </c>
      <c r="H149" s="68" t="s">
        <v>1859</v>
      </c>
      <c r="I149" s="68" t="s">
        <v>1366</v>
      </c>
      <c r="J149" s="68" t="s">
        <v>1562</v>
      </c>
      <c r="K149" s="65">
        <v>9</v>
      </c>
      <c r="L149" s="136">
        <v>449874</v>
      </c>
      <c r="M149" s="76" t="s">
        <v>2254</v>
      </c>
      <c r="N149" s="70">
        <v>254724926757</v>
      </c>
    </row>
    <row r="150" spans="1:14" ht="33.75" x14ac:dyDescent="0.25">
      <c r="A150" s="61" t="s">
        <v>53</v>
      </c>
      <c r="B150" s="60">
        <v>2001108</v>
      </c>
      <c r="C150" s="60">
        <v>21421</v>
      </c>
      <c r="D150" s="62" t="s">
        <v>1860</v>
      </c>
      <c r="E150" s="62">
        <v>44</v>
      </c>
      <c r="F150" s="62" t="s">
        <v>1861</v>
      </c>
      <c r="G150" s="62" t="s">
        <v>664</v>
      </c>
      <c r="H150" s="61" t="s">
        <v>1862</v>
      </c>
      <c r="I150" s="62" t="s">
        <v>1863</v>
      </c>
      <c r="J150" s="62" t="s">
        <v>1551</v>
      </c>
      <c r="K150" s="62">
        <v>5</v>
      </c>
      <c r="L150" s="134">
        <v>450212</v>
      </c>
      <c r="M150" s="71" t="s">
        <v>2254</v>
      </c>
      <c r="N150" s="64">
        <v>254724926757</v>
      </c>
    </row>
    <row r="151" spans="1:14" ht="33.75" x14ac:dyDescent="0.25">
      <c r="A151" s="68" t="s">
        <v>354</v>
      </c>
      <c r="B151" s="66">
        <v>2602004</v>
      </c>
      <c r="C151" s="66">
        <v>62092</v>
      </c>
      <c r="D151" s="67" t="s">
        <v>1021</v>
      </c>
      <c r="E151" s="67">
        <v>59</v>
      </c>
      <c r="F151" s="67" t="s">
        <v>1022</v>
      </c>
      <c r="G151" s="67" t="s">
        <v>22</v>
      </c>
      <c r="H151" s="68" t="s">
        <v>1781</v>
      </c>
      <c r="I151" s="67" t="s">
        <v>896</v>
      </c>
      <c r="J151" s="67" t="s">
        <v>1589</v>
      </c>
      <c r="K151" s="67">
        <v>30</v>
      </c>
      <c r="L151" s="133">
        <v>533761</v>
      </c>
      <c r="M151" s="69" t="s">
        <v>2254</v>
      </c>
      <c r="N151" s="70">
        <v>254721293215</v>
      </c>
    </row>
    <row r="152" spans="1:14" ht="45" x14ac:dyDescent="0.25">
      <c r="A152" s="61" t="s">
        <v>53</v>
      </c>
      <c r="B152" s="74">
        <v>2005719</v>
      </c>
      <c r="C152" s="60">
        <v>53410</v>
      </c>
      <c r="D152" s="58" t="s">
        <v>1864</v>
      </c>
      <c r="E152" s="79">
        <v>64</v>
      </c>
      <c r="F152" s="61" t="s">
        <v>1865</v>
      </c>
      <c r="G152" s="61" t="s">
        <v>15</v>
      </c>
      <c r="H152" s="61" t="s">
        <v>1866</v>
      </c>
      <c r="I152" s="61" t="s">
        <v>1231</v>
      </c>
      <c r="J152" s="61" t="s">
        <v>1542</v>
      </c>
      <c r="K152" s="58">
        <v>9</v>
      </c>
      <c r="L152" s="137">
        <v>650000</v>
      </c>
      <c r="M152" s="77" t="s">
        <v>2254</v>
      </c>
      <c r="N152" s="64">
        <v>254722612206</v>
      </c>
    </row>
    <row r="153" spans="1:14" ht="33.75" x14ac:dyDescent="0.25">
      <c r="A153" s="68" t="s">
        <v>354</v>
      </c>
      <c r="B153" s="66">
        <v>2019543</v>
      </c>
      <c r="C153" s="66">
        <v>16396</v>
      </c>
      <c r="D153" s="67" t="s">
        <v>390</v>
      </c>
      <c r="E153" s="67">
        <v>40</v>
      </c>
      <c r="F153" s="67" t="s">
        <v>1867</v>
      </c>
      <c r="G153" s="67" t="s">
        <v>15</v>
      </c>
      <c r="H153" s="68" t="s">
        <v>1868</v>
      </c>
      <c r="I153" s="67" t="s">
        <v>95</v>
      </c>
      <c r="J153" s="67" t="s">
        <v>1572</v>
      </c>
      <c r="K153" s="67">
        <v>46</v>
      </c>
      <c r="L153" s="133">
        <v>661914.37</v>
      </c>
      <c r="M153" s="69" t="s">
        <v>2254</v>
      </c>
      <c r="N153" s="70">
        <v>254722952865</v>
      </c>
    </row>
    <row r="154" spans="1:14" ht="56.25" x14ac:dyDescent="0.25">
      <c r="A154" s="61" t="s">
        <v>53</v>
      </c>
      <c r="B154" s="60">
        <v>2008867</v>
      </c>
      <c r="C154" s="60">
        <v>101493</v>
      </c>
      <c r="D154" s="62" t="s">
        <v>743</v>
      </c>
      <c r="E154" s="62">
        <v>62</v>
      </c>
      <c r="F154" s="62" t="s">
        <v>1520</v>
      </c>
      <c r="G154" s="62" t="s">
        <v>15</v>
      </c>
      <c r="H154" s="61" t="s">
        <v>1869</v>
      </c>
      <c r="I154" s="62" t="s">
        <v>1870</v>
      </c>
      <c r="J154" s="62" t="s">
        <v>1589</v>
      </c>
      <c r="K154" s="62">
        <v>11</v>
      </c>
      <c r="L154" s="134">
        <v>750113</v>
      </c>
      <c r="M154" s="71" t="s">
        <v>2254</v>
      </c>
      <c r="N154" s="64">
        <v>254718913055</v>
      </c>
    </row>
    <row r="155" spans="1:14" ht="67.5" x14ac:dyDescent="0.25">
      <c r="A155" s="68" t="s">
        <v>856</v>
      </c>
      <c r="B155" s="66">
        <v>2002660</v>
      </c>
      <c r="C155" s="66">
        <v>10320</v>
      </c>
      <c r="D155" s="67" t="s">
        <v>1871</v>
      </c>
      <c r="E155" s="67">
        <v>71</v>
      </c>
      <c r="F155" s="67" t="s">
        <v>1872</v>
      </c>
      <c r="G155" s="67" t="s">
        <v>22</v>
      </c>
      <c r="H155" s="68" t="s">
        <v>1873</v>
      </c>
      <c r="I155" s="67" t="s">
        <v>1232</v>
      </c>
      <c r="J155" s="67" t="s">
        <v>1589</v>
      </c>
      <c r="K155" s="67">
        <v>13</v>
      </c>
      <c r="L155" s="133">
        <v>762725.45</v>
      </c>
      <c r="M155" s="69" t="s">
        <v>2254</v>
      </c>
      <c r="N155" s="70">
        <v>254745782670</v>
      </c>
    </row>
    <row r="156" spans="1:14" ht="22.5" x14ac:dyDescent="0.25">
      <c r="A156" s="61" t="s">
        <v>354</v>
      </c>
      <c r="B156" s="60">
        <v>2013560</v>
      </c>
      <c r="C156" s="60">
        <v>6625</v>
      </c>
      <c r="D156" s="62" t="s">
        <v>1874</v>
      </c>
      <c r="E156" s="62">
        <v>65</v>
      </c>
      <c r="F156" s="62" t="s">
        <v>1875</v>
      </c>
      <c r="G156" s="62" t="s">
        <v>15</v>
      </c>
      <c r="H156" s="61" t="s">
        <v>1876</v>
      </c>
      <c r="I156" s="62" t="s">
        <v>17</v>
      </c>
      <c r="J156" s="62" t="s">
        <v>1572</v>
      </c>
      <c r="K156" s="62">
        <v>67</v>
      </c>
      <c r="L156" s="134">
        <v>788226.55</v>
      </c>
      <c r="M156" s="71" t="s">
        <v>2254</v>
      </c>
      <c r="N156" s="64">
        <v>254724268799</v>
      </c>
    </row>
    <row r="157" spans="1:14" ht="33.75" x14ac:dyDescent="0.25">
      <c r="A157" s="68" t="s">
        <v>1653</v>
      </c>
      <c r="B157" s="66">
        <v>2014680</v>
      </c>
      <c r="C157" s="66">
        <v>37008</v>
      </c>
      <c r="D157" s="67" t="s">
        <v>1877</v>
      </c>
      <c r="E157" s="67">
        <v>79</v>
      </c>
      <c r="F157" s="67" t="s">
        <v>1878</v>
      </c>
      <c r="G157" s="67" t="s">
        <v>15</v>
      </c>
      <c r="H157" s="68" t="s">
        <v>1879</v>
      </c>
      <c r="I157" s="67" t="s">
        <v>1880</v>
      </c>
      <c r="J157" s="67" t="s">
        <v>1589</v>
      </c>
      <c r="K157" s="67">
        <v>7</v>
      </c>
      <c r="L157" s="133">
        <v>875388.09</v>
      </c>
      <c r="M157" s="69" t="s">
        <v>2254</v>
      </c>
      <c r="N157" s="70">
        <v>254722258303</v>
      </c>
    </row>
    <row r="158" spans="1:14" ht="56.25" x14ac:dyDescent="0.25">
      <c r="A158" s="61" t="s">
        <v>1653</v>
      </c>
      <c r="B158" s="60">
        <v>2020047</v>
      </c>
      <c r="C158" s="60">
        <v>83597</v>
      </c>
      <c r="D158" s="62" t="s">
        <v>1881</v>
      </c>
      <c r="E158" s="62">
        <v>8</v>
      </c>
      <c r="F158" s="62" t="s">
        <v>438</v>
      </c>
      <c r="G158" s="62" t="s">
        <v>132</v>
      </c>
      <c r="H158" s="61" t="s">
        <v>1882</v>
      </c>
      <c r="I158" s="62" t="s">
        <v>1883</v>
      </c>
      <c r="J158" s="62" t="s">
        <v>1572</v>
      </c>
      <c r="K158" s="62">
        <v>9</v>
      </c>
      <c r="L158" s="134">
        <v>1192329</v>
      </c>
      <c r="M158" s="71" t="s">
        <v>2254</v>
      </c>
      <c r="N158" s="64">
        <v>254722258303</v>
      </c>
    </row>
    <row r="159" spans="1:14" ht="45" x14ac:dyDescent="0.25">
      <c r="A159" s="68" t="s">
        <v>373</v>
      </c>
      <c r="B159" s="66">
        <v>2408116</v>
      </c>
      <c r="C159" s="66">
        <v>18320</v>
      </c>
      <c r="D159" s="67" t="s">
        <v>1884</v>
      </c>
      <c r="E159" s="67">
        <v>74</v>
      </c>
      <c r="F159" s="67" t="s">
        <v>1885</v>
      </c>
      <c r="G159" s="67" t="s">
        <v>15</v>
      </c>
      <c r="H159" s="68" t="s">
        <v>1886</v>
      </c>
      <c r="I159" s="67" t="s">
        <v>1254</v>
      </c>
      <c r="J159" s="67" t="s">
        <v>1543</v>
      </c>
      <c r="K159" s="67">
        <v>11</v>
      </c>
      <c r="L159" s="133">
        <v>1486520</v>
      </c>
      <c r="M159" s="69" t="s">
        <v>2254</v>
      </c>
      <c r="N159" s="70">
        <v>710444129</v>
      </c>
    </row>
    <row r="160" spans="1:14" ht="56.25" x14ac:dyDescent="0.25">
      <c r="A160" s="61" t="s">
        <v>856</v>
      </c>
      <c r="B160" s="74">
        <v>2001375</v>
      </c>
      <c r="C160" s="60">
        <v>17244</v>
      </c>
      <c r="D160" s="61" t="s">
        <v>1887</v>
      </c>
      <c r="E160" s="61">
        <v>83</v>
      </c>
      <c r="F160" s="61" t="s">
        <v>488</v>
      </c>
      <c r="G160" s="61" t="s">
        <v>22</v>
      </c>
      <c r="H160" s="61" t="s">
        <v>1888</v>
      </c>
      <c r="I160" s="61" t="s">
        <v>1889</v>
      </c>
      <c r="J160" s="61" t="s">
        <v>1594</v>
      </c>
      <c r="K160" s="61">
        <v>20</v>
      </c>
      <c r="L160" s="132">
        <v>1580000</v>
      </c>
      <c r="M160" s="63" t="s">
        <v>2254</v>
      </c>
      <c r="N160" s="64">
        <v>254710645680</v>
      </c>
    </row>
    <row r="161" spans="1:14" ht="22.5" x14ac:dyDescent="0.25">
      <c r="A161" s="67" t="s">
        <v>1890</v>
      </c>
      <c r="B161" s="66">
        <v>2002987</v>
      </c>
      <c r="C161" s="66">
        <v>60750</v>
      </c>
      <c r="D161" s="67" t="s">
        <v>1066</v>
      </c>
      <c r="E161" s="67">
        <v>56</v>
      </c>
      <c r="F161" s="67" t="s">
        <v>1067</v>
      </c>
      <c r="G161" s="67" t="s">
        <v>22</v>
      </c>
      <c r="H161" s="67" t="s">
        <v>1891</v>
      </c>
      <c r="I161" s="68" t="s">
        <v>1892</v>
      </c>
      <c r="J161" s="67" t="s">
        <v>1893</v>
      </c>
      <c r="K161" s="67" t="s">
        <v>1226</v>
      </c>
      <c r="L161" s="133">
        <v>6500</v>
      </c>
      <c r="M161" s="69" t="s">
        <v>2254</v>
      </c>
      <c r="N161" s="70">
        <v>254722271315</v>
      </c>
    </row>
    <row r="162" spans="1:14" x14ac:dyDescent="0.25">
      <c r="A162" s="58" t="s">
        <v>142</v>
      </c>
      <c r="B162" s="60">
        <v>2017509</v>
      </c>
      <c r="C162" s="60">
        <v>19309</v>
      </c>
      <c r="D162" s="62" t="s">
        <v>1894</v>
      </c>
      <c r="E162" s="62">
        <v>63</v>
      </c>
      <c r="F162" s="62" t="s">
        <v>60</v>
      </c>
      <c r="G162" s="62" t="s">
        <v>22</v>
      </c>
      <c r="H162" s="62" t="s">
        <v>514</v>
      </c>
      <c r="I162" s="61" t="s">
        <v>1895</v>
      </c>
      <c r="J162" s="62" t="s">
        <v>1895</v>
      </c>
      <c r="K162" s="62" t="s">
        <v>623</v>
      </c>
      <c r="L162" s="134">
        <v>8500</v>
      </c>
      <c r="M162" s="71" t="s">
        <v>2254</v>
      </c>
      <c r="N162" s="64">
        <v>254722271315</v>
      </c>
    </row>
    <row r="163" spans="1:14" x14ac:dyDescent="0.25">
      <c r="A163" s="65" t="s">
        <v>142</v>
      </c>
      <c r="B163" s="75">
        <v>2017509</v>
      </c>
      <c r="C163" s="66">
        <v>19309</v>
      </c>
      <c r="D163" s="68" t="s">
        <v>1896</v>
      </c>
      <c r="E163" s="68">
        <v>64</v>
      </c>
      <c r="F163" s="65" t="s">
        <v>126</v>
      </c>
      <c r="G163" s="65" t="s">
        <v>22</v>
      </c>
      <c r="H163" s="68" t="s">
        <v>1897</v>
      </c>
      <c r="I163" s="65" t="s">
        <v>1898</v>
      </c>
      <c r="J163" s="65" t="s">
        <v>1898</v>
      </c>
      <c r="K163" s="65" t="s">
        <v>623</v>
      </c>
      <c r="L163" s="136">
        <v>8500</v>
      </c>
      <c r="M163" s="76" t="s">
        <v>2254</v>
      </c>
      <c r="N163" s="70">
        <v>254722271315</v>
      </c>
    </row>
    <row r="164" spans="1:14" ht="22.5" x14ac:dyDescent="0.25">
      <c r="A164" s="61" t="s">
        <v>274</v>
      </c>
      <c r="B164" s="60">
        <v>2013704</v>
      </c>
      <c r="C164" s="60">
        <v>12933</v>
      </c>
      <c r="D164" s="62" t="s">
        <v>1899</v>
      </c>
      <c r="E164" s="62">
        <v>11</v>
      </c>
      <c r="F164" s="62" t="s">
        <v>1900</v>
      </c>
      <c r="G164" s="62" t="s">
        <v>132</v>
      </c>
      <c r="H164" s="62" t="s">
        <v>1901</v>
      </c>
      <c r="I164" s="61" t="s">
        <v>1902</v>
      </c>
      <c r="J164" s="62" t="s">
        <v>1893</v>
      </c>
      <c r="K164" s="62">
        <v>1</v>
      </c>
      <c r="L164" s="134">
        <v>8739</v>
      </c>
      <c r="M164" s="71" t="s">
        <v>2254</v>
      </c>
      <c r="N164" s="64">
        <v>254729953155</v>
      </c>
    </row>
    <row r="165" spans="1:14" ht="22.5" x14ac:dyDescent="0.25">
      <c r="A165" s="68" t="s">
        <v>1166</v>
      </c>
      <c r="B165" s="72">
        <v>2001898</v>
      </c>
      <c r="C165" s="66">
        <v>9046</v>
      </c>
      <c r="D165" s="65" t="s">
        <v>1903</v>
      </c>
      <c r="E165" s="65">
        <v>69</v>
      </c>
      <c r="F165" s="65" t="s">
        <v>126</v>
      </c>
      <c r="G165" s="65" t="s">
        <v>22</v>
      </c>
      <c r="H165" s="65" t="s">
        <v>514</v>
      </c>
      <c r="I165" s="65" t="s">
        <v>1898</v>
      </c>
      <c r="J165" s="65" t="s">
        <v>1898</v>
      </c>
      <c r="K165" s="65" t="s">
        <v>623</v>
      </c>
      <c r="L165" s="135">
        <v>9000</v>
      </c>
      <c r="M165" s="73" t="s">
        <v>2254</v>
      </c>
      <c r="N165" s="70">
        <v>254729953155</v>
      </c>
    </row>
    <row r="166" spans="1:14" ht="22.5" x14ac:dyDescent="0.25">
      <c r="A166" s="61" t="s">
        <v>274</v>
      </c>
      <c r="B166" s="74">
        <v>2405040</v>
      </c>
      <c r="C166" s="60">
        <v>31911</v>
      </c>
      <c r="D166" s="61" t="s">
        <v>1904</v>
      </c>
      <c r="E166" s="61">
        <v>64</v>
      </c>
      <c r="F166" s="58" t="s">
        <v>126</v>
      </c>
      <c r="G166" s="58" t="s">
        <v>664</v>
      </c>
      <c r="H166" s="61" t="s">
        <v>1905</v>
      </c>
      <c r="I166" s="58" t="s">
        <v>1906</v>
      </c>
      <c r="J166" s="58" t="s">
        <v>1906</v>
      </c>
      <c r="K166" s="58" t="s">
        <v>702</v>
      </c>
      <c r="L166" s="137">
        <v>9025</v>
      </c>
      <c r="M166" s="77" t="s">
        <v>2254</v>
      </c>
      <c r="N166" s="64">
        <v>254729953155</v>
      </c>
    </row>
    <row r="167" spans="1:14" x14ac:dyDescent="0.25">
      <c r="A167" s="65" t="s">
        <v>340</v>
      </c>
      <c r="B167" s="66">
        <v>2014318</v>
      </c>
      <c r="C167" s="66">
        <v>61208</v>
      </c>
      <c r="D167" s="67" t="s">
        <v>651</v>
      </c>
      <c r="E167" s="67">
        <v>63</v>
      </c>
      <c r="F167" s="67" t="s">
        <v>60</v>
      </c>
      <c r="G167" s="67" t="s">
        <v>22</v>
      </c>
      <c r="H167" s="67" t="s">
        <v>1907</v>
      </c>
      <c r="I167" s="68" t="s">
        <v>1908</v>
      </c>
      <c r="J167" s="67" t="s">
        <v>1908</v>
      </c>
      <c r="K167" s="67" t="s">
        <v>623</v>
      </c>
      <c r="L167" s="133">
        <v>9500</v>
      </c>
      <c r="M167" s="69" t="s">
        <v>2254</v>
      </c>
      <c r="N167" s="70">
        <v>254722849332</v>
      </c>
    </row>
    <row r="168" spans="1:14" ht="22.5" x14ac:dyDescent="0.25">
      <c r="A168" s="61" t="s">
        <v>1166</v>
      </c>
      <c r="B168" s="59">
        <v>2001893</v>
      </c>
      <c r="C168" s="60">
        <v>9046</v>
      </c>
      <c r="D168" s="61" t="s">
        <v>1909</v>
      </c>
      <c r="E168" s="61">
        <v>69</v>
      </c>
      <c r="F168" s="61" t="s">
        <v>60</v>
      </c>
      <c r="G168" s="61" t="s">
        <v>22</v>
      </c>
      <c r="H168" s="61" t="s">
        <v>514</v>
      </c>
      <c r="I168" s="61" t="s">
        <v>1910</v>
      </c>
      <c r="J168" s="61" t="s">
        <v>1911</v>
      </c>
      <c r="K168" s="62" t="s">
        <v>623</v>
      </c>
      <c r="L168" s="132">
        <v>9500</v>
      </c>
      <c r="M168" s="63" t="s">
        <v>2254</v>
      </c>
      <c r="N168" s="64">
        <v>254722849332</v>
      </c>
    </row>
    <row r="169" spans="1:14" x14ac:dyDescent="0.25">
      <c r="A169" s="68" t="s">
        <v>544</v>
      </c>
      <c r="B169" s="66">
        <v>2012620</v>
      </c>
      <c r="C169" s="66">
        <v>102835</v>
      </c>
      <c r="D169" s="67" t="s">
        <v>686</v>
      </c>
      <c r="E169" s="67">
        <v>64</v>
      </c>
      <c r="F169" s="67" t="s">
        <v>49</v>
      </c>
      <c r="G169" s="67" t="s">
        <v>15</v>
      </c>
      <c r="H169" s="67" t="s">
        <v>623</v>
      </c>
      <c r="I169" s="68" t="s">
        <v>1895</v>
      </c>
      <c r="J169" s="67" t="s">
        <v>1895</v>
      </c>
      <c r="K169" s="67" t="s">
        <v>623</v>
      </c>
      <c r="L169" s="133">
        <v>9500</v>
      </c>
      <c r="M169" s="69" t="s">
        <v>2254</v>
      </c>
      <c r="N169" s="70">
        <v>254728775531</v>
      </c>
    </row>
    <row r="170" spans="1:14" ht="22.5" x14ac:dyDescent="0.25">
      <c r="A170" s="58" t="s">
        <v>340</v>
      </c>
      <c r="B170" s="74">
        <v>2014318</v>
      </c>
      <c r="C170" s="60">
        <v>61208</v>
      </c>
      <c r="D170" s="61" t="s">
        <v>651</v>
      </c>
      <c r="E170" s="61">
        <v>61</v>
      </c>
      <c r="F170" s="58" t="s">
        <v>126</v>
      </c>
      <c r="G170" s="58" t="s">
        <v>22</v>
      </c>
      <c r="H170" s="58" t="s">
        <v>514</v>
      </c>
      <c r="I170" s="58" t="s">
        <v>1912</v>
      </c>
      <c r="J170" s="58" t="s">
        <v>1898</v>
      </c>
      <c r="K170" s="58" t="s">
        <v>623</v>
      </c>
      <c r="L170" s="132">
        <v>9500</v>
      </c>
      <c r="M170" s="63" t="s">
        <v>2254</v>
      </c>
      <c r="N170" s="64">
        <v>254714272121</v>
      </c>
    </row>
    <row r="171" spans="1:14" ht="22.5" x14ac:dyDescent="0.25">
      <c r="A171" s="68" t="s">
        <v>1166</v>
      </c>
      <c r="B171" s="66">
        <v>2001893</v>
      </c>
      <c r="C171" s="66">
        <v>9046</v>
      </c>
      <c r="D171" s="67" t="s">
        <v>625</v>
      </c>
      <c r="E171" s="67">
        <v>69</v>
      </c>
      <c r="F171" s="67" t="s">
        <v>60</v>
      </c>
      <c r="G171" s="67" t="s">
        <v>22</v>
      </c>
      <c r="H171" s="67" t="s">
        <v>514</v>
      </c>
      <c r="I171" s="68" t="s">
        <v>1913</v>
      </c>
      <c r="J171" s="67" t="s">
        <v>1913</v>
      </c>
      <c r="K171" s="67" t="s">
        <v>623</v>
      </c>
      <c r="L171" s="133">
        <v>9500</v>
      </c>
      <c r="M171" s="69" t="s">
        <v>2254</v>
      </c>
      <c r="N171" s="70">
        <v>254714272121</v>
      </c>
    </row>
    <row r="172" spans="1:14" x14ac:dyDescent="0.25">
      <c r="A172" s="58" t="s">
        <v>340</v>
      </c>
      <c r="B172" s="60">
        <v>2014318</v>
      </c>
      <c r="C172" s="60">
        <v>61208</v>
      </c>
      <c r="D172" s="62" t="s">
        <v>651</v>
      </c>
      <c r="E172" s="62">
        <v>61</v>
      </c>
      <c r="F172" s="62" t="s">
        <v>60</v>
      </c>
      <c r="G172" s="62" t="s">
        <v>22</v>
      </c>
      <c r="H172" s="62" t="s">
        <v>514</v>
      </c>
      <c r="I172" s="61" t="s">
        <v>1913</v>
      </c>
      <c r="J172" s="62" t="s">
        <v>1913</v>
      </c>
      <c r="K172" s="62" t="s">
        <v>623</v>
      </c>
      <c r="L172" s="134">
        <v>9500</v>
      </c>
      <c r="M172" s="71" t="s">
        <v>2254</v>
      </c>
      <c r="N172" s="64">
        <v>254714272121</v>
      </c>
    </row>
    <row r="173" spans="1:14" ht="22.5" x14ac:dyDescent="0.25">
      <c r="A173" s="68" t="s">
        <v>1560</v>
      </c>
      <c r="B173" s="72">
        <v>2001823</v>
      </c>
      <c r="C173" s="66">
        <v>10576</v>
      </c>
      <c r="D173" s="65" t="s">
        <v>630</v>
      </c>
      <c r="E173" s="65">
        <v>72</v>
      </c>
      <c r="F173" s="65" t="s">
        <v>60</v>
      </c>
      <c r="G173" s="65" t="s">
        <v>22</v>
      </c>
      <c r="H173" s="65" t="s">
        <v>514</v>
      </c>
      <c r="I173" s="68" t="s">
        <v>1911</v>
      </c>
      <c r="J173" s="68" t="s">
        <v>1911</v>
      </c>
      <c r="K173" s="67" t="s">
        <v>623</v>
      </c>
      <c r="L173" s="135">
        <v>10650</v>
      </c>
      <c r="M173" s="73" t="s">
        <v>2254</v>
      </c>
      <c r="N173" s="70">
        <v>254714272121</v>
      </c>
    </row>
    <row r="174" spans="1:14" ht="22.5" x14ac:dyDescent="0.25">
      <c r="A174" s="61" t="s">
        <v>1560</v>
      </c>
      <c r="B174" s="59">
        <v>2019634</v>
      </c>
      <c r="C174" s="60">
        <v>42684</v>
      </c>
      <c r="D174" s="58" t="s">
        <v>628</v>
      </c>
      <c r="E174" s="58">
        <v>69</v>
      </c>
      <c r="F174" s="58" t="s">
        <v>60</v>
      </c>
      <c r="G174" s="58" t="s">
        <v>15</v>
      </c>
      <c r="H174" s="58" t="s">
        <v>514</v>
      </c>
      <c r="I174" s="61" t="s">
        <v>1911</v>
      </c>
      <c r="J174" s="61" t="s">
        <v>1911</v>
      </c>
      <c r="K174" s="62" t="s">
        <v>623</v>
      </c>
      <c r="L174" s="132">
        <v>10650</v>
      </c>
      <c r="M174" s="63" t="s">
        <v>2254</v>
      </c>
      <c r="N174" s="64">
        <v>254714272121</v>
      </c>
    </row>
    <row r="175" spans="1:14" ht="22.5" x14ac:dyDescent="0.25">
      <c r="A175" s="68" t="s">
        <v>1565</v>
      </c>
      <c r="B175" s="66">
        <v>2002228</v>
      </c>
      <c r="C175" s="66">
        <v>31315</v>
      </c>
      <c r="D175" s="67" t="s">
        <v>1285</v>
      </c>
      <c r="E175" s="67">
        <v>72</v>
      </c>
      <c r="F175" s="67" t="s">
        <v>60</v>
      </c>
      <c r="G175" s="67" t="s">
        <v>22</v>
      </c>
      <c r="H175" s="67" t="s">
        <v>1914</v>
      </c>
      <c r="I175" s="68" t="s">
        <v>1895</v>
      </c>
      <c r="J175" s="67" t="s">
        <v>1895</v>
      </c>
      <c r="K175" s="67" t="s">
        <v>623</v>
      </c>
      <c r="L175" s="133">
        <v>10650</v>
      </c>
      <c r="M175" s="69" t="s">
        <v>2254</v>
      </c>
      <c r="N175" s="70">
        <v>254714272121</v>
      </c>
    </row>
    <row r="176" spans="1:14" ht="22.5" x14ac:dyDescent="0.25">
      <c r="A176" s="61" t="s">
        <v>1560</v>
      </c>
      <c r="B176" s="60">
        <v>2001823</v>
      </c>
      <c r="C176" s="60">
        <v>10576</v>
      </c>
      <c r="D176" s="62" t="s">
        <v>630</v>
      </c>
      <c r="E176" s="62">
        <v>71</v>
      </c>
      <c r="F176" s="62" t="s">
        <v>1915</v>
      </c>
      <c r="G176" s="62" t="s">
        <v>22</v>
      </c>
      <c r="H176" s="62" t="s">
        <v>514</v>
      </c>
      <c r="I176" s="61" t="s">
        <v>1916</v>
      </c>
      <c r="J176" s="62" t="s">
        <v>1916</v>
      </c>
      <c r="K176" s="62" t="s">
        <v>623</v>
      </c>
      <c r="L176" s="134">
        <v>10650</v>
      </c>
      <c r="M176" s="71" t="s">
        <v>2254</v>
      </c>
      <c r="N176" s="64">
        <v>254714272121</v>
      </c>
    </row>
    <row r="177" spans="1:14" ht="22.5" x14ac:dyDescent="0.25">
      <c r="A177" s="68" t="s">
        <v>1560</v>
      </c>
      <c r="B177" s="66">
        <v>2019634</v>
      </c>
      <c r="C177" s="66">
        <v>42684</v>
      </c>
      <c r="D177" s="67" t="s">
        <v>628</v>
      </c>
      <c r="E177" s="67">
        <v>69</v>
      </c>
      <c r="F177" s="67" t="s">
        <v>1917</v>
      </c>
      <c r="G177" s="67" t="s">
        <v>15</v>
      </c>
      <c r="H177" s="67" t="s">
        <v>514</v>
      </c>
      <c r="I177" s="68" t="s">
        <v>1916</v>
      </c>
      <c r="J177" s="67" t="s">
        <v>1916</v>
      </c>
      <c r="K177" s="67" t="s">
        <v>623</v>
      </c>
      <c r="L177" s="133">
        <v>10650</v>
      </c>
      <c r="M177" s="69" t="s">
        <v>2254</v>
      </c>
      <c r="N177" s="70">
        <v>254714272121</v>
      </c>
    </row>
    <row r="178" spans="1:14" ht="22.5" x14ac:dyDescent="0.25">
      <c r="A178" s="61" t="s">
        <v>1560</v>
      </c>
      <c r="B178" s="74">
        <v>2001823</v>
      </c>
      <c r="C178" s="60">
        <v>10576</v>
      </c>
      <c r="D178" s="61" t="s">
        <v>629</v>
      </c>
      <c r="E178" s="61">
        <v>71</v>
      </c>
      <c r="F178" s="58" t="s">
        <v>126</v>
      </c>
      <c r="G178" s="58" t="s">
        <v>22</v>
      </c>
      <c r="H178" s="61" t="s">
        <v>514</v>
      </c>
      <c r="I178" s="58" t="s">
        <v>1918</v>
      </c>
      <c r="J178" s="58" t="s">
        <v>1918</v>
      </c>
      <c r="K178" s="62" t="s">
        <v>623</v>
      </c>
      <c r="L178" s="137">
        <v>10650</v>
      </c>
      <c r="M178" s="77" t="s">
        <v>2254</v>
      </c>
      <c r="N178" s="64">
        <v>254714272121</v>
      </c>
    </row>
    <row r="179" spans="1:14" ht="22.5" x14ac:dyDescent="0.25">
      <c r="A179" s="68" t="s">
        <v>1560</v>
      </c>
      <c r="B179" s="75">
        <v>2019634</v>
      </c>
      <c r="C179" s="66">
        <v>42684</v>
      </c>
      <c r="D179" s="68" t="s">
        <v>1919</v>
      </c>
      <c r="E179" s="68">
        <v>68</v>
      </c>
      <c r="F179" s="65" t="s">
        <v>126</v>
      </c>
      <c r="G179" s="65" t="s">
        <v>22</v>
      </c>
      <c r="H179" s="68" t="s">
        <v>514</v>
      </c>
      <c r="I179" s="65" t="s">
        <v>1918</v>
      </c>
      <c r="J179" s="65" t="s">
        <v>1918</v>
      </c>
      <c r="K179" s="67" t="s">
        <v>623</v>
      </c>
      <c r="L179" s="136">
        <v>10650</v>
      </c>
      <c r="M179" s="76" t="s">
        <v>2254</v>
      </c>
      <c r="N179" s="70">
        <v>254714272121</v>
      </c>
    </row>
    <row r="180" spans="1:14" ht="22.5" x14ac:dyDescent="0.25">
      <c r="A180" s="61" t="s">
        <v>1560</v>
      </c>
      <c r="B180" s="74"/>
      <c r="C180" s="60">
        <v>42684</v>
      </c>
      <c r="D180" s="61" t="s">
        <v>631</v>
      </c>
      <c r="E180" s="61">
        <v>68</v>
      </c>
      <c r="F180" s="58" t="s">
        <v>60</v>
      </c>
      <c r="G180" s="61" t="s">
        <v>15</v>
      </c>
      <c r="H180" s="58" t="s">
        <v>514</v>
      </c>
      <c r="I180" s="58" t="s">
        <v>1898</v>
      </c>
      <c r="J180" s="58" t="s">
        <v>1898</v>
      </c>
      <c r="K180" s="58" t="s">
        <v>623</v>
      </c>
      <c r="L180" s="132">
        <v>10650</v>
      </c>
      <c r="M180" s="63" t="s">
        <v>2254</v>
      </c>
      <c r="N180" s="64">
        <v>254722360657</v>
      </c>
    </row>
    <row r="181" spans="1:14" ht="22.5" x14ac:dyDescent="0.25">
      <c r="A181" s="68" t="s">
        <v>1565</v>
      </c>
      <c r="B181" s="72">
        <v>2002228</v>
      </c>
      <c r="C181" s="66">
        <v>31315</v>
      </c>
      <c r="D181" s="65" t="s">
        <v>1920</v>
      </c>
      <c r="E181" s="65">
        <v>72</v>
      </c>
      <c r="F181" s="65" t="s">
        <v>126</v>
      </c>
      <c r="G181" s="65" t="s">
        <v>664</v>
      </c>
      <c r="H181" s="65" t="s">
        <v>514</v>
      </c>
      <c r="I181" s="65" t="s">
        <v>1906</v>
      </c>
      <c r="J181" s="65" t="s">
        <v>1906</v>
      </c>
      <c r="K181" s="65" t="s">
        <v>702</v>
      </c>
      <c r="L181" s="135">
        <v>10650</v>
      </c>
      <c r="M181" s="73" t="s">
        <v>2254</v>
      </c>
      <c r="N181" s="70">
        <v>254723124386</v>
      </c>
    </row>
    <row r="182" spans="1:14" ht="22.5" x14ac:dyDescent="0.25">
      <c r="A182" s="61" t="s">
        <v>1560</v>
      </c>
      <c r="B182" s="60">
        <v>2019634</v>
      </c>
      <c r="C182" s="60">
        <v>42684</v>
      </c>
      <c r="D182" s="62" t="s">
        <v>628</v>
      </c>
      <c r="E182" s="62">
        <v>69</v>
      </c>
      <c r="F182" s="62" t="s">
        <v>60</v>
      </c>
      <c r="G182" s="62" t="s">
        <v>15</v>
      </c>
      <c r="H182" s="62" t="s">
        <v>514</v>
      </c>
      <c r="I182" s="61" t="s">
        <v>1921</v>
      </c>
      <c r="J182" s="62" t="s">
        <v>1921</v>
      </c>
      <c r="K182" s="62" t="s">
        <v>623</v>
      </c>
      <c r="L182" s="134">
        <v>10650</v>
      </c>
      <c r="M182" s="71" t="s">
        <v>2254</v>
      </c>
      <c r="N182" s="64">
        <v>254723124386</v>
      </c>
    </row>
    <row r="183" spans="1:14" ht="22.5" x14ac:dyDescent="0.25">
      <c r="A183" s="68" t="s">
        <v>1560</v>
      </c>
      <c r="B183" s="66">
        <v>2001823</v>
      </c>
      <c r="C183" s="66">
        <v>10576</v>
      </c>
      <c r="D183" s="67" t="s">
        <v>630</v>
      </c>
      <c r="E183" s="67">
        <v>72</v>
      </c>
      <c r="F183" s="67" t="s">
        <v>60</v>
      </c>
      <c r="G183" s="67" t="s">
        <v>22</v>
      </c>
      <c r="H183" s="67" t="s">
        <v>699</v>
      </c>
      <c r="I183" s="68" t="s">
        <v>1921</v>
      </c>
      <c r="J183" s="67" t="s">
        <v>1921</v>
      </c>
      <c r="K183" s="67" t="s">
        <v>623</v>
      </c>
      <c r="L183" s="133">
        <v>10650</v>
      </c>
      <c r="M183" s="69" t="s">
        <v>2254</v>
      </c>
      <c r="N183" s="70">
        <v>254725040021</v>
      </c>
    </row>
    <row r="184" spans="1:14" ht="22.5" x14ac:dyDescent="0.25">
      <c r="A184" s="61" t="s">
        <v>1560</v>
      </c>
      <c r="B184" s="80">
        <v>2019634</v>
      </c>
      <c r="C184" s="60">
        <v>42684</v>
      </c>
      <c r="D184" s="60" t="s">
        <v>628</v>
      </c>
      <c r="E184" s="62">
        <v>69</v>
      </c>
      <c r="F184" s="62" t="s">
        <v>60</v>
      </c>
      <c r="G184" s="62" t="s">
        <v>15</v>
      </c>
      <c r="H184" s="62" t="s">
        <v>514</v>
      </c>
      <c r="I184" s="61" t="s">
        <v>1922</v>
      </c>
      <c r="J184" s="62" t="s">
        <v>1922</v>
      </c>
      <c r="K184" s="62" t="s">
        <v>623</v>
      </c>
      <c r="L184" s="134">
        <v>10650</v>
      </c>
      <c r="M184" s="71" t="s">
        <v>2254</v>
      </c>
      <c r="N184" s="64">
        <v>254714232051</v>
      </c>
    </row>
    <row r="185" spans="1:14" x14ac:dyDescent="0.25">
      <c r="A185" s="68" t="s">
        <v>72</v>
      </c>
      <c r="B185" s="72">
        <v>2502095</v>
      </c>
      <c r="C185" s="66">
        <v>21102</v>
      </c>
      <c r="D185" s="65" t="s">
        <v>665</v>
      </c>
      <c r="E185" s="65">
        <v>56</v>
      </c>
      <c r="F185" s="65" t="s">
        <v>60</v>
      </c>
      <c r="G185" s="65" t="s">
        <v>22</v>
      </c>
      <c r="H185" s="65" t="s">
        <v>514</v>
      </c>
      <c r="I185" s="65" t="s">
        <v>1923</v>
      </c>
      <c r="J185" s="65" t="s">
        <v>1923</v>
      </c>
      <c r="K185" s="67" t="s">
        <v>623</v>
      </c>
      <c r="L185" s="135">
        <v>11500</v>
      </c>
      <c r="M185" s="73" t="s">
        <v>2254</v>
      </c>
      <c r="N185" s="70">
        <v>254721642629</v>
      </c>
    </row>
    <row r="186" spans="1:14" x14ac:dyDescent="0.25">
      <c r="A186" s="61" t="s">
        <v>72</v>
      </c>
      <c r="B186" s="60">
        <v>2502095</v>
      </c>
      <c r="C186" s="60">
        <v>21102</v>
      </c>
      <c r="D186" s="62" t="s">
        <v>665</v>
      </c>
      <c r="E186" s="62"/>
      <c r="F186" s="62" t="s">
        <v>60</v>
      </c>
      <c r="G186" s="62" t="s">
        <v>22</v>
      </c>
      <c r="H186" s="62" t="s">
        <v>514</v>
      </c>
      <c r="I186" s="61" t="s">
        <v>1913</v>
      </c>
      <c r="J186" s="62" t="s">
        <v>1913</v>
      </c>
      <c r="K186" s="62" t="s">
        <v>623</v>
      </c>
      <c r="L186" s="134">
        <v>11500</v>
      </c>
      <c r="M186" s="71" t="s">
        <v>2254</v>
      </c>
      <c r="N186" s="64">
        <v>254721472450</v>
      </c>
    </row>
    <row r="187" spans="1:14" ht="22.5" x14ac:dyDescent="0.25">
      <c r="A187" s="68" t="s">
        <v>373</v>
      </c>
      <c r="B187" s="66">
        <v>2012118</v>
      </c>
      <c r="C187" s="66">
        <v>18259</v>
      </c>
      <c r="D187" s="67" t="s">
        <v>1924</v>
      </c>
      <c r="E187" s="67">
        <v>63</v>
      </c>
      <c r="F187" s="67" t="s">
        <v>1925</v>
      </c>
      <c r="G187" s="67" t="s">
        <v>15</v>
      </c>
      <c r="H187" s="67" t="s">
        <v>1926</v>
      </c>
      <c r="I187" s="68" t="s">
        <v>1927</v>
      </c>
      <c r="J187" s="67" t="s">
        <v>1928</v>
      </c>
      <c r="K187" s="67" t="s">
        <v>714</v>
      </c>
      <c r="L187" s="133">
        <v>12000</v>
      </c>
      <c r="M187" s="69" t="s">
        <v>2254</v>
      </c>
      <c r="N187" s="70">
        <v>254721743748</v>
      </c>
    </row>
    <row r="188" spans="1:14" x14ac:dyDescent="0.25">
      <c r="A188" s="61" t="s">
        <v>354</v>
      </c>
      <c r="B188" s="60">
        <v>2013525</v>
      </c>
      <c r="C188" s="60">
        <v>10031</v>
      </c>
      <c r="D188" s="62" t="s">
        <v>1582</v>
      </c>
      <c r="E188" s="62">
        <v>65</v>
      </c>
      <c r="F188" s="62" t="s">
        <v>960</v>
      </c>
      <c r="G188" s="62" t="s">
        <v>15</v>
      </c>
      <c r="H188" s="62" t="s">
        <v>1270</v>
      </c>
      <c r="I188" s="61" t="s">
        <v>1928</v>
      </c>
      <c r="J188" s="62" t="s">
        <v>1928</v>
      </c>
      <c r="K188" s="62" t="s">
        <v>714</v>
      </c>
      <c r="L188" s="134">
        <v>12577.25</v>
      </c>
      <c r="M188" s="71" t="s">
        <v>2254</v>
      </c>
      <c r="N188" s="64">
        <v>254710627717</v>
      </c>
    </row>
    <row r="189" spans="1:14" ht="22.5" x14ac:dyDescent="0.25">
      <c r="A189" s="68" t="s">
        <v>687</v>
      </c>
      <c r="B189" s="75">
        <v>2001404</v>
      </c>
      <c r="C189" s="66">
        <v>37163</v>
      </c>
      <c r="D189" s="68" t="s">
        <v>1929</v>
      </c>
      <c r="E189" s="68">
        <v>62</v>
      </c>
      <c r="F189" s="68" t="s">
        <v>60</v>
      </c>
      <c r="G189" s="68" t="s">
        <v>22</v>
      </c>
      <c r="H189" s="68" t="s">
        <v>514</v>
      </c>
      <c r="I189" s="68" t="s">
        <v>1930</v>
      </c>
      <c r="J189" s="65" t="s">
        <v>1923</v>
      </c>
      <c r="K189" s="67" t="s">
        <v>623</v>
      </c>
      <c r="L189" s="136">
        <v>13000</v>
      </c>
      <c r="M189" s="76" t="s">
        <v>2254</v>
      </c>
      <c r="N189" s="70">
        <v>254728114821</v>
      </c>
    </row>
    <row r="190" spans="1:14" x14ac:dyDescent="0.25">
      <c r="A190" s="61" t="s">
        <v>68</v>
      </c>
      <c r="B190" s="74">
        <v>2002953</v>
      </c>
      <c r="C190" s="60">
        <v>18654</v>
      </c>
      <c r="D190" s="61" t="s">
        <v>1573</v>
      </c>
      <c r="E190" s="61">
        <v>63</v>
      </c>
      <c r="F190" s="58" t="s">
        <v>60</v>
      </c>
      <c r="G190" s="58" t="s">
        <v>22</v>
      </c>
      <c r="H190" s="61" t="s">
        <v>1931</v>
      </c>
      <c r="I190" s="61" t="s">
        <v>1911</v>
      </c>
      <c r="J190" s="61" t="s">
        <v>1911</v>
      </c>
      <c r="K190" s="62" t="s">
        <v>623</v>
      </c>
      <c r="L190" s="132">
        <v>14895</v>
      </c>
      <c r="M190" s="63" t="s">
        <v>2254</v>
      </c>
      <c r="N190" s="64">
        <v>254728114821</v>
      </c>
    </row>
    <row r="191" spans="1:14" ht="22.5" x14ac:dyDescent="0.25">
      <c r="A191" s="68" t="s">
        <v>808</v>
      </c>
      <c r="B191" s="66">
        <v>2002666</v>
      </c>
      <c r="C191" s="66">
        <v>50731</v>
      </c>
      <c r="D191" s="67" t="s">
        <v>1932</v>
      </c>
      <c r="E191" s="67">
        <v>69</v>
      </c>
      <c r="F191" s="67" t="s">
        <v>60</v>
      </c>
      <c r="G191" s="67" t="s">
        <v>22</v>
      </c>
      <c r="H191" s="67" t="s">
        <v>1933</v>
      </c>
      <c r="I191" s="68" t="s">
        <v>1921</v>
      </c>
      <c r="J191" s="67" t="s">
        <v>1921</v>
      </c>
      <c r="K191" s="67" t="s">
        <v>788</v>
      </c>
      <c r="L191" s="133">
        <v>15000</v>
      </c>
      <c r="M191" s="69" t="s">
        <v>2254</v>
      </c>
      <c r="N191" s="70">
        <v>254722287356</v>
      </c>
    </row>
    <row r="192" spans="1:14" ht="22.5" x14ac:dyDescent="0.25">
      <c r="A192" s="61" t="s">
        <v>1700</v>
      </c>
      <c r="B192" s="60">
        <v>2000084</v>
      </c>
      <c r="C192" s="60">
        <v>17767</v>
      </c>
      <c r="D192" s="62" t="s">
        <v>1934</v>
      </c>
      <c r="E192" s="62">
        <v>70</v>
      </c>
      <c r="F192" s="62" t="s">
        <v>1935</v>
      </c>
      <c r="G192" s="62" t="s">
        <v>22</v>
      </c>
      <c r="H192" s="62" t="s">
        <v>1936</v>
      </c>
      <c r="I192" s="61" t="s">
        <v>1937</v>
      </c>
      <c r="J192" s="62" t="s">
        <v>1908</v>
      </c>
      <c r="K192" s="62">
        <v>4</v>
      </c>
      <c r="L192" s="134">
        <v>15043.16</v>
      </c>
      <c r="M192" s="71" t="s">
        <v>2254</v>
      </c>
      <c r="N192" s="64">
        <v>254725356426</v>
      </c>
    </row>
    <row r="193" spans="1:14" ht="33.75" x14ac:dyDescent="0.25">
      <c r="A193" s="68" t="s">
        <v>808</v>
      </c>
      <c r="B193" s="75">
        <v>2021151</v>
      </c>
      <c r="C193" s="66">
        <v>15485</v>
      </c>
      <c r="D193" s="68" t="s">
        <v>1938</v>
      </c>
      <c r="E193" s="68">
        <v>63</v>
      </c>
      <c r="F193" s="68" t="s">
        <v>60</v>
      </c>
      <c r="G193" s="68" t="s">
        <v>22</v>
      </c>
      <c r="H193" s="68" t="s">
        <v>1308</v>
      </c>
      <c r="I193" s="68" t="s">
        <v>1923</v>
      </c>
      <c r="J193" s="68" t="s">
        <v>1923</v>
      </c>
      <c r="K193" s="67" t="s">
        <v>788</v>
      </c>
      <c r="L193" s="136">
        <v>15200</v>
      </c>
      <c r="M193" s="76" t="s">
        <v>2254</v>
      </c>
      <c r="N193" s="70">
        <v>254710349185</v>
      </c>
    </row>
    <row r="194" spans="1:14" ht="22.5" x14ac:dyDescent="0.25">
      <c r="A194" s="61" t="s">
        <v>1672</v>
      </c>
      <c r="B194" s="60">
        <v>2004601</v>
      </c>
      <c r="C194" s="60">
        <v>69278</v>
      </c>
      <c r="D194" s="62" t="s">
        <v>1673</v>
      </c>
      <c r="E194" s="62">
        <v>46</v>
      </c>
      <c r="F194" s="62" t="s">
        <v>1939</v>
      </c>
      <c r="G194" s="62" t="s">
        <v>15</v>
      </c>
      <c r="H194" s="62" t="s">
        <v>1674</v>
      </c>
      <c r="I194" s="61" t="s">
        <v>1675</v>
      </c>
      <c r="J194" s="62" t="s">
        <v>1908</v>
      </c>
      <c r="K194" s="62">
        <v>2</v>
      </c>
      <c r="L194" s="134">
        <v>16015</v>
      </c>
      <c r="M194" s="71" t="s">
        <v>2254</v>
      </c>
      <c r="N194" s="64">
        <v>254721714802</v>
      </c>
    </row>
    <row r="195" spans="1:14" ht="22.5" x14ac:dyDescent="0.25">
      <c r="A195" s="68" t="s">
        <v>856</v>
      </c>
      <c r="B195" s="66">
        <v>2004095</v>
      </c>
      <c r="C195" s="66">
        <v>102642</v>
      </c>
      <c r="D195" s="67" t="s">
        <v>740</v>
      </c>
      <c r="E195" s="67">
        <v>65</v>
      </c>
      <c r="F195" s="67" t="s">
        <v>49</v>
      </c>
      <c r="G195" s="67" t="s">
        <v>15</v>
      </c>
      <c r="H195" s="67" t="s">
        <v>1588</v>
      </c>
      <c r="I195" s="68" t="s">
        <v>1908</v>
      </c>
      <c r="J195" s="67" t="s">
        <v>1908</v>
      </c>
      <c r="K195" s="67" t="s">
        <v>714</v>
      </c>
      <c r="L195" s="133">
        <v>17285.95</v>
      </c>
      <c r="M195" s="69" t="s">
        <v>2254</v>
      </c>
      <c r="N195" s="70">
        <v>254726918577</v>
      </c>
    </row>
    <row r="196" spans="1:14" x14ac:dyDescent="0.25">
      <c r="A196" s="62" t="s">
        <v>1940</v>
      </c>
      <c r="B196" s="60">
        <v>2004081</v>
      </c>
      <c r="C196" s="60">
        <v>74710</v>
      </c>
      <c r="D196" s="62" t="s">
        <v>1941</v>
      </c>
      <c r="E196" s="62">
        <v>42</v>
      </c>
      <c r="F196" s="62" t="s">
        <v>126</v>
      </c>
      <c r="G196" s="62" t="s">
        <v>664</v>
      </c>
      <c r="H196" s="62" t="s">
        <v>1942</v>
      </c>
      <c r="I196" s="61" t="s">
        <v>1921</v>
      </c>
      <c r="J196" s="62" t="s">
        <v>1921</v>
      </c>
      <c r="K196" s="62" t="s">
        <v>1943</v>
      </c>
      <c r="L196" s="134">
        <v>20000</v>
      </c>
      <c r="M196" s="71" t="s">
        <v>2254</v>
      </c>
      <c r="N196" s="64">
        <v>254720890592</v>
      </c>
    </row>
    <row r="197" spans="1:14" ht="22.5" x14ac:dyDescent="0.25">
      <c r="A197" s="68" t="s">
        <v>1585</v>
      </c>
      <c r="B197" s="66">
        <v>2014927</v>
      </c>
      <c r="C197" s="66">
        <v>10364</v>
      </c>
      <c r="D197" s="67" t="s">
        <v>1944</v>
      </c>
      <c r="E197" s="67">
        <v>63</v>
      </c>
      <c r="F197" s="67" t="s">
        <v>49</v>
      </c>
      <c r="G197" s="67" t="s">
        <v>15</v>
      </c>
      <c r="H197" s="67" t="s">
        <v>1945</v>
      </c>
      <c r="I197" s="68" t="s">
        <v>1913</v>
      </c>
      <c r="J197" s="67" t="s">
        <v>1913</v>
      </c>
      <c r="K197" s="67" t="s">
        <v>788</v>
      </c>
      <c r="L197" s="133">
        <v>20000</v>
      </c>
      <c r="M197" s="69" t="s">
        <v>2254</v>
      </c>
      <c r="N197" s="70">
        <v>254721582876</v>
      </c>
    </row>
    <row r="198" spans="1:14" ht="22.5" x14ac:dyDescent="0.25">
      <c r="A198" s="61" t="s">
        <v>212</v>
      </c>
      <c r="B198" s="60">
        <v>2504092</v>
      </c>
      <c r="C198" s="60">
        <v>62534</v>
      </c>
      <c r="D198" s="62" t="s">
        <v>1281</v>
      </c>
      <c r="E198" s="62">
        <v>58</v>
      </c>
      <c r="F198" s="62" t="s">
        <v>1946</v>
      </c>
      <c r="G198" s="62" t="s">
        <v>22</v>
      </c>
      <c r="H198" s="62" t="s">
        <v>1947</v>
      </c>
      <c r="I198" s="61" t="s">
        <v>1916</v>
      </c>
      <c r="J198" s="62" t="s">
        <v>1916</v>
      </c>
      <c r="K198" s="62" t="s">
        <v>714</v>
      </c>
      <c r="L198" s="134">
        <v>22909</v>
      </c>
      <c r="M198" s="71" t="s">
        <v>2254</v>
      </c>
      <c r="N198" s="64">
        <v>254721715581</v>
      </c>
    </row>
    <row r="199" spans="1:14" ht="22.5" x14ac:dyDescent="0.25">
      <c r="A199" s="68" t="s">
        <v>1166</v>
      </c>
      <c r="B199" s="72">
        <v>2412116</v>
      </c>
      <c r="C199" s="66">
        <v>104316</v>
      </c>
      <c r="D199" s="65" t="s">
        <v>1948</v>
      </c>
      <c r="E199" s="65">
        <v>41</v>
      </c>
      <c r="F199" s="68" t="s">
        <v>14</v>
      </c>
      <c r="G199" s="68" t="s">
        <v>15</v>
      </c>
      <c r="H199" s="68" t="s">
        <v>1949</v>
      </c>
      <c r="I199" s="65" t="s">
        <v>1912</v>
      </c>
      <c r="J199" s="65" t="s">
        <v>1898</v>
      </c>
      <c r="K199" s="68" t="s">
        <v>556</v>
      </c>
      <c r="L199" s="135">
        <v>25000</v>
      </c>
      <c r="M199" s="73" t="s">
        <v>2254</v>
      </c>
      <c r="N199" s="70">
        <v>254722218211</v>
      </c>
    </row>
    <row r="200" spans="1:14" x14ac:dyDescent="0.25">
      <c r="A200" s="62" t="s">
        <v>1940</v>
      </c>
      <c r="B200" s="60">
        <v>2005067</v>
      </c>
      <c r="C200" s="60">
        <v>74710</v>
      </c>
      <c r="D200" s="62" t="s">
        <v>1950</v>
      </c>
      <c r="E200" s="62">
        <v>29</v>
      </c>
      <c r="F200" s="62" t="s">
        <v>14</v>
      </c>
      <c r="G200" s="62" t="s">
        <v>15</v>
      </c>
      <c r="H200" s="62" t="s">
        <v>1951</v>
      </c>
      <c r="I200" s="61" t="s">
        <v>1921</v>
      </c>
      <c r="J200" s="62" t="s">
        <v>1921</v>
      </c>
      <c r="K200" s="62" t="s">
        <v>1952</v>
      </c>
      <c r="L200" s="134">
        <v>25000</v>
      </c>
      <c r="M200" s="71" t="s">
        <v>2254</v>
      </c>
      <c r="N200" s="64">
        <v>254720981719</v>
      </c>
    </row>
    <row r="201" spans="1:14" x14ac:dyDescent="0.25">
      <c r="A201" s="65" t="s">
        <v>840</v>
      </c>
      <c r="B201" s="72">
        <v>2405040</v>
      </c>
      <c r="C201" s="66">
        <v>31911</v>
      </c>
      <c r="D201" s="65" t="s">
        <v>681</v>
      </c>
      <c r="E201" s="65">
        <v>63</v>
      </c>
      <c r="F201" s="65" t="s">
        <v>126</v>
      </c>
      <c r="G201" s="65" t="s">
        <v>22</v>
      </c>
      <c r="H201" s="68" t="s">
        <v>514</v>
      </c>
      <c r="I201" s="65" t="s">
        <v>1918</v>
      </c>
      <c r="J201" s="65" t="s">
        <v>1918</v>
      </c>
      <c r="K201" s="67" t="s">
        <v>623</v>
      </c>
      <c r="L201" s="135">
        <v>25510</v>
      </c>
      <c r="M201" s="73" t="s">
        <v>2254</v>
      </c>
      <c r="N201" s="70">
        <v>254720981719</v>
      </c>
    </row>
    <row r="202" spans="1:14" ht="22.5" x14ac:dyDescent="0.25">
      <c r="A202" s="61" t="s">
        <v>856</v>
      </c>
      <c r="B202" s="59">
        <v>2004095</v>
      </c>
      <c r="C202" s="60">
        <v>102042</v>
      </c>
      <c r="D202" s="61" t="s">
        <v>1953</v>
      </c>
      <c r="E202" s="61">
        <v>65</v>
      </c>
      <c r="F202" s="61" t="s">
        <v>60</v>
      </c>
      <c r="G202" s="61" t="s">
        <v>22</v>
      </c>
      <c r="H202" s="61" t="s">
        <v>728</v>
      </c>
      <c r="I202" s="61" t="s">
        <v>1911</v>
      </c>
      <c r="J202" s="61" t="s">
        <v>1911</v>
      </c>
      <c r="K202" s="62" t="s">
        <v>714</v>
      </c>
      <c r="L202" s="132">
        <v>25891.32</v>
      </c>
      <c r="M202" s="63" t="s">
        <v>2254</v>
      </c>
      <c r="N202" s="64">
        <v>254722645149</v>
      </c>
    </row>
    <row r="203" spans="1:14" ht="33.75" x14ac:dyDescent="0.25">
      <c r="A203" s="68" t="s">
        <v>1180</v>
      </c>
      <c r="B203" s="72">
        <v>2017718</v>
      </c>
      <c r="C203" s="66">
        <v>54090</v>
      </c>
      <c r="D203" s="68" t="s">
        <v>1954</v>
      </c>
      <c r="E203" s="68">
        <v>65</v>
      </c>
      <c r="F203" s="68" t="s">
        <v>60</v>
      </c>
      <c r="G203" s="68" t="s">
        <v>22</v>
      </c>
      <c r="H203" s="68" t="s">
        <v>1955</v>
      </c>
      <c r="I203" s="68" t="s">
        <v>1956</v>
      </c>
      <c r="J203" s="65" t="s">
        <v>1911</v>
      </c>
      <c r="K203" s="65" t="s">
        <v>1957</v>
      </c>
      <c r="L203" s="135">
        <v>26000</v>
      </c>
      <c r="M203" s="73" t="s">
        <v>2254</v>
      </c>
      <c r="N203" s="70">
        <v>254716105516</v>
      </c>
    </row>
    <row r="204" spans="1:14" x14ac:dyDescent="0.25">
      <c r="A204" s="61" t="s">
        <v>1410</v>
      </c>
      <c r="B204" s="60">
        <v>2407146</v>
      </c>
      <c r="C204" s="60">
        <v>19408</v>
      </c>
      <c r="D204" s="62" t="s">
        <v>1958</v>
      </c>
      <c r="E204" s="62">
        <v>57</v>
      </c>
      <c r="F204" s="62" t="s">
        <v>14</v>
      </c>
      <c r="G204" s="62" t="s">
        <v>15</v>
      </c>
      <c r="H204" s="62" t="s">
        <v>1389</v>
      </c>
      <c r="I204" s="61" t="s">
        <v>1921</v>
      </c>
      <c r="J204" s="62" t="s">
        <v>1921</v>
      </c>
      <c r="K204" s="62" t="s">
        <v>556</v>
      </c>
      <c r="L204" s="134">
        <v>26945</v>
      </c>
      <c r="M204" s="71" t="s">
        <v>2254</v>
      </c>
      <c r="N204" s="64">
        <v>254722961245</v>
      </c>
    </row>
    <row r="205" spans="1:14" ht="33.75" x14ac:dyDescent="0.25">
      <c r="A205" s="68" t="s">
        <v>1590</v>
      </c>
      <c r="B205" s="72">
        <v>2017014</v>
      </c>
      <c r="C205" s="66">
        <v>59161</v>
      </c>
      <c r="D205" s="65" t="s">
        <v>1959</v>
      </c>
      <c r="E205" s="65">
        <v>63</v>
      </c>
      <c r="F205" s="65" t="s">
        <v>60</v>
      </c>
      <c r="G205" s="65" t="s">
        <v>22</v>
      </c>
      <c r="H205" s="68" t="s">
        <v>1960</v>
      </c>
      <c r="I205" s="68" t="s">
        <v>1288</v>
      </c>
      <c r="J205" s="68" t="s">
        <v>1231</v>
      </c>
      <c r="K205" s="65">
        <v>2</v>
      </c>
      <c r="L205" s="135">
        <v>27175.1</v>
      </c>
      <c r="M205" s="73" t="s">
        <v>2254</v>
      </c>
      <c r="N205" s="70">
        <v>254722961245</v>
      </c>
    </row>
    <row r="206" spans="1:14" ht="22.5" x14ac:dyDescent="0.25">
      <c r="A206" s="61" t="s">
        <v>53</v>
      </c>
      <c r="B206" s="74">
        <v>2006996</v>
      </c>
      <c r="C206" s="60">
        <v>14842</v>
      </c>
      <c r="D206" s="61" t="s">
        <v>1961</v>
      </c>
      <c r="E206" s="61">
        <v>62</v>
      </c>
      <c r="F206" s="61" t="s">
        <v>14</v>
      </c>
      <c r="G206" s="61" t="s">
        <v>15</v>
      </c>
      <c r="H206" s="61" t="s">
        <v>1962</v>
      </c>
      <c r="I206" s="58" t="s">
        <v>1898</v>
      </c>
      <c r="J206" s="58" t="s">
        <v>1898</v>
      </c>
      <c r="K206" s="61" t="s">
        <v>714</v>
      </c>
      <c r="L206" s="137">
        <v>28859.4</v>
      </c>
      <c r="M206" s="77" t="s">
        <v>2254</v>
      </c>
      <c r="N206" s="64">
        <v>254722961245</v>
      </c>
    </row>
    <row r="207" spans="1:14" ht="33.75" x14ac:dyDescent="0.25">
      <c r="A207" s="68" t="s">
        <v>228</v>
      </c>
      <c r="B207" s="75">
        <v>2505152</v>
      </c>
      <c r="C207" s="66">
        <v>67191</v>
      </c>
      <c r="D207" s="68" t="s">
        <v>39</v>
      </c>
      <c r="E207" s="68">
        <v>59</v>
      </c>
      <c r="F207" s="68" t="s">
        <v>126</v>
      </c>
      <c r="G207" s="68" t="s">
        <v>22</v>
      </c>
      <c r="H207" s="68" t="s">
        <v>1963</v>
      </c>
      <c r="I207" s="68" t="s">
        <v>1910</v>
      </c>
      <c r="J207" s="68" t="s">
        <v>1911</v>
      </c>
      <c r="K207" s="67" t="s">
        <v>556</v>
      </c>
      <c r="L207" s="136">
        <v>29613</v>
      </c>
      <c r="M207" s="76" t="s">
        <v>2254</v>
      </c>
      <c r="N207" s="70">
        <v>254722961245</v>
      </c>
    </row>
    <row r="208" spans="1:14" ht="22.5" x14ac:dyDescent="0.25">
      <c r="A208" s="61" t="s">
        <v>1656</v>
      </c>
      <c r="B208" s="80">
        <v>2015865</v>
      </c>
      <c r="C208" s="60">
        <v>71430</v>
      </c>
      <c r="D208" s="60" t="s">
        <v>1964</v>
      </c>
      <c r="E208" s="62">
        <v>15</v>
      </c>
      <c r="F208" s="62" t="s">
        <v>1965</v>
      </c>
      <c r="G208" s="62" t="s">
        <v>132</v>
      </c>
      <c r="H208" s="62" t="s">
        <v>1966</v>
      </c>
      <c r="I208" s="61" t="s">
        <v>1967</v>
      </c>
      <c r="J208" s="62" t="s">
        <v>1922</v>
      </c>
      <c r="K208" s="62">
        <v>2</v>
      </c>
      <c r="L208" s="134">
        <v>30089.57</v>
      </c>
      <c r="M208" s="71" t="s">
        <v>2254</v>
      </c>
      <c r="N208" s="64">
        <v>254725742854</v>
      </c>
    </row>
    <row r="209" spans="1:14" ht="22.5" x14ac:dyDescent="0.25">
      <c r="A209" s="68" t="s">
        <v>1768</v>
      </c>
      <c r="B209" s="75">
        <v>201102</v>
      </c>
      <c r="C209" s="66">
        <v>636</v>
      </c>
      <c r="D209" s="68" t="s">
        <v>1968</v>
      </c>
      <c r="E209" s="68">
        <v>62</v>
      </c>
      <c r="F209" s="65" t="s">
        <v>126</v>
      </c>
      <c r="G209" s="65" t="s">
        <v>22</v>
      </c>
      <c r="H209" s="68" t="s">
        <v>445</v>
      </c>
      <c r="I209" s="65" t="s">
        <v>1918</v>
      </c>
      <c r="J209" s="65" t="s">
        <v>1918</v>
      </c>
      <c r="K209" s="67" t="s">
        <v>714</v>
      </c>
      <c r="L209" s="135">
        <v>31290</v>
      </c>
      <c r="M209" s="73" t="s">
        <v>2254</v>
      </c>
      <c r="N209" s="70">
        <v>254721565523</v>
      </c>
    </row>
    <row r="210" spans="1:14" x14ac:dyDescent="0.25">
      <c r="A210" s="62" t="s">
        <v>1969</v>
      </c>
      <c r="B210" s="60">
        <v>2004129</v>
      </c>
      <c r="C210" s="60">
        <v>101680</v>
      </c>
      <c r="D210" s="62" t="s">
        <v>1970</v>
      </c>
      <c r="E210" s="62">
        <v>70</v>
      </c>
      <c r="F210" s="62" t="s">
        <v>1971</v>
      </c>
      <c r="G210" s="62" t="s">
        <v>22</v>
      </c>
      <c r="H210" s="62" t="s">
        <v>1972</v>
      </c>
      <c r="I210" s="61" t="s">
        <v>1908</v>
      </c>
      <c r="J210" s="62" t="s">
        <v>1928</v>
      </c>
      <c r="K210" s="62">
        <v>3</v>
      </c>
      <c r="L210" s="134">
        <v>32440</v>
      </c>
      <c r="M210" s="71" t="s">
        <v>2254</v>
      </c>
      <c r="N210" s="64">
        <v>254720284944</v>
      </c>
    </row>
    <row r="211" spans="1:14" ht="22.5" x14ac:dyDescent="0.25">
      <c r="A211" s="67" t="s">
        <v>1459</v>
      </c>
      <c r="B211" s="66">
        <v>2013670</v>
      </c>
      <c r="C211" s="66">
        <v>11644</v>
      </c>
      <c r="D211" s="67" t="s">
        <v>1973</v>
      </c>
      <c r="E211" s="67">
        <v>64</v>
      </c>
      <c r="F211" s="67" t="s">
        <v>1974</v>
      </c>
      <c r="G211" s="67" t="s">
        <v>15</v>
      </c>
      <c r="H211" s="67" t="s">
        <v>1975</v>
      </c>
      <c r="I211" s="68" t="s">
        <v>1976</v>
      </c>
      <c r="J211" s="67" t="s">
        <v>1928</v>
      </c>
      <c r="K211" s="67">
        <v>3</v>
      </c>
      <c r="L211" s="133">
        <v>33655</v>
      </c>
      <c r="M211" s="69" t="s">
        <v>2254</v>
      </c>
      <c r="N211" s="70">
        <v>254722111751</v>
      </c>
    </row>
    <row r="212" spans="1:14" x14ac:dyDescent="0.25">
      <c r="A212" s="62" t="s">
        <v>1977</v>
      </c>
      <c r="B212" s="60">
        <v>2003199</v>
      </c>
      <c r="C212" s="60">
        <v>20996</v>
      </c>
      <c r="D212" s="62" t="s">
        <v>1978</v>
      </c>
      <c r="E212" s="62">
        <v>61</v>
      </c>
      <c r="F212" s="62" t="s">
        <v>1979</v>
      </c>
      <c r="G212" s="62" t="s">
        <v>22</v>
      </c>
      <c r="H212" s="62" t="s">
        <v>1980</v>
      </c>
      <c r="I212" s="61" t="s">
        <v>1981</v>
      </c>
      <c r="J212" s="62" t="s">
        <v>1921</v>
      </c>
      <c r="K212" s="62">
        <v>2</v>
      </c>
      <c r="L212" s="134">
        <v>33977</v>
      </c>
      <c r="M212" s="71" t="s">
        <v>2254</v>
      </c>
      <c r="N212" s="64">
        <v>254722124363</v>
      </c>
    </row>
    <row r="213" spans="1:14" ht="22.5" x14ac:dyDescent="0.25">
      <c r="A213" s="68" t="s">
        <v>155</v>
      </c>
      <c r="B213" s="66">
        <v>2010327</v>
      </c>
      <c r="C213" s="66">
        <v>18565</v>
      </c>
      <c r="D213" s="67" t="s">
        <v>1982</v>
      </c>
      <c r="E213" s="67">
        <v>60</v>
      </c>
      <c r="F213" s="67" t="s">
        <v>49</v>
      </c>
      <c r="G213" s="67" t="s">
        <v>15</v>
      </c>
      <c r="H213" s="67" t="s">
        <v>1983</v>
      </c>
      <c r="I213" s="68" t="s">
        <v>1895</v>
      </c>
      <c r="J213" s="67" t="s">
        <v>1895</v>
      </c>
      <c r="K213" s="67" t="s">
        <v>788</v>
      </c>
      <c r="L213" s="133">
        <v>35000</v>
      </c>
      <c r="M213" s="69" t="s">
        <v>2254</v>
      </c>
      <c r="N213" s="70">
        <v>254759486095</v>
      </c>
    </row>
    <row r="214" spans="1:14" ht="33.75" x14ac:dyDescent="0.25">
      <c r="A214" s="61" t="s">
        <v>1984</v>
      </c>
      <c r="B214" s="74">
        <v>2001437</v>
      </c>
      <c r="C214" s="60">
        <v>103278</v>
      </c>
      <c r="D214" s="61" t="s">
        <v>1985</v>
      </c>
      <c r="E214" s="61">
        <v>62</v>
      </c>
      <c r="F214" s="61" t="s">
        <v>1986</v>
      </c>
      <c r="G214" s="61" t="s">
        <v>22</v>
      </c>
      <c r="H214" s="61" t="s">
        <v>1987</v>
      </c>
      <c r="I214" s="61" t="s">
        <v>1988</v>
      </c>
      <c r="J214" s="58" t="s">
        <v>1923</v>
      </c>
      <c r="K214" s="61">
        <v>5</v>
      </c>
      <c r="L214" s="137">
        <v>35381</v>
      </c>
      <c r="M214" s="77" t="s">
        <v>2254</v>
      </c>
      <c r="N214" s="64">
        <v>254721576033</v>
      </c>
    </row>
    <row r="215" spans="1:14" x14ac:dyDescent="0.25">
      <c r="A215" s="65" t="s">
        <v>840</v>
      </c>
      <c r="B215" s="72">
        <v>2407751</v>
      </c>
      <c r="C215" s="66">
        <v>60104</v>
      </c>
      <c r="D215" s="65" t="s">
        <v>1989</v>
      </c>
      <c r="E215" s="65">
        <v>59</v>
      </c>
      <c r="F215" s="65" t="s">
        <v>126</v>
      </c>
      <c r="G215" s="65" t="s">
        <v>22</v>
      </c>
      <c r="H215" s="68" t="s">
        <v>514</v>
      </c>
      <c r="I215" s="65" t="s">
        <v>1918</v>
      </c>
      <c r="J215" s="65" t="s">
        <v>1918</v>
      </c>
      <c r="K215" s="67" t="s">
        <v>623</v>
      </c>
      <c r="L215" s="135">
        <v>36051.56</v>
      </c>
      <c r="M215" s="73" t="s">
        <v>2254</v>
      </c>
      <c r="N215" s="70">
        <v>254719718741</v>
      </c>
    </row>
    <row r="216" spans="1:14" ht="22.5" x14ac:dyDescent="0.25">
      <c r="A216" s="61" t="s">
        <v>354</v>
      </c>
      <c r="B216" s="80">
        <v>2506022</v>
      </c>
      <c r="C216" s="60">
        <v>58697</v>
      </c>
      <c r="D216" s="60" t="s">
        <v>1990</v>
      </c>
      <c r="E216" s="62">
        <v>60</v>
      </c>
      <c r="F216" s="62" t="s">
        <v>60</v>
      </c>
      <c r="G216" s="62" t="s">
        <v>22</v>
      </c>
      <c r="H216" s="62" t="s">
        <v>1991</v>
      </c>
      <c r="I216" s="61" t="s">
        <v>1992</v>
      </c>
      <c r="J216" s="62" t="s">
        <v>1922</v>
      </c>
      <c r="K216" s="62" t="s">
        <v>714</v>
      </c>
      <c r="L216" s="134">
        <v>37190</v>
      </c>
      <c r="M216" s="71" t="s">
        <v>2254</v>
      </c>
      <c r="N216" s="64">
        <v>254729861927</v>
      </c>
    </row>
    <row r="217" spans="1:14" x14ac:dyDescent="0.25">
      <c r="A217" s="68" t="s">
        <v>63</v>
      </c>
      <c r="B217" s="66">
        <v>2017389</v>
      </c>
      <c r="C217" s="66">
        <v>31860</v>
      </c>
      <c r="D217" s="67" t="s">
        <v>1993</v>
      </c>
      <c r="E217" s="67"/>
      <c r="F217" s="67" t="s">
        <v>60</v>
      </c>
      <c r="G217" s="67" t="s">
        <v>22</v>
      </c>
      <c r="H217" s="67" t="s">
        <v>737</v>
      </c>
      <c r="I217" s="68" t="s">
        <v>1921</v>
      </c>
      <c r="J217" s="67" t="s">
        <v>1921</v>
      </c>
      <c r="K217" s="67" t="s">
        <v>714</v>
      </c>
      <c r="L217" s="133">
        <v>41690</v>
      </c>
      <c r="M217" s="69" t="s">
        <v>2254</v>
      </c>
      <c r="N217" s="70">
        <v>254724016624</v>
      </c>
    </row>
    <row r="218" spans="1:14" ht="67.5" x14ac:dyDescent="0.25">
      <c r="A218" s="61" t="s">
        <v>354</v>
      </c>
      <c r="B218" s="74">
        <v>2013966</v>
      </c>
      <c r="C218" s="60">
        <v>54092</v>
      </c>
      <c r="D218" s="61" t="s">
        <v>1994</v>
      </c>
      <c r="E218" s="61">
        <v>62</v>
      </c>
      <c r="F218" s="61" t="s">
        <v>1995</v>
      </c>
      <c r="G218" s="61" t="s">
        <v>15</v>
      </c>
      <c r="H218" s="61" t="s">
        <v>1996</v>
      </c>
      <c r="I218" s="61" t="s">
        <v>1675</v>
      </c>
      <c r="J218" s="61" t="s">
        <v>1911</v>
      </c>
      <c r="K218" s="61">
        <v>2</v>
      </c>
      <c r="L218" s="137">
        <v>41922.17</v>
      </c>
      <c r="M218" s="77" t="s">
        <v>2254</v>
      </c>
      <c r="N218" s="64">
        <v>254720010099</v>
      </c>
    </row>
    <row r="219" spans="1:14" ht="22.5" x14ac:dyDescent="0.25">
      <c r="A219" s="68" t="s">
        <v>1452</v>
      </c>
      <c r="B219" s="75">
        <v>2004344</v>
      </c>
      <c r="C219" s="66">
        <v>57353</v>
      </c>
      <c r="D219" s="68" t="s">
        <v>1997</v>
      </c>
      <c r="E219" s="68">
        <v>65</v>
      </c>
      <c r="F219" s="68" t="s">
        <v>1998</v>
      </c>
      <c r="G219" s="68" t="s">
        <v>22</v>
      </c>
      <c r="H219" s="68" t="s">
        <v>1999</v>
      </c>
      <c r="I219" s="68" t="s">
        <v>1916</v>
      </c>
      <c r="J219" s="68" t="s">
        <v>1923</v>
      </c>
      <c r="K219" s="68">
        <v>3</v>
      </c>
      <c r="L219" s="135">
        <v>42642</v>
      </c>
      <c r="M219" s="73" t="s">
        <v>2254</v>
      </c>
      <c r="N219" s="70">
        <v>254720010099</v>
      </c>
    </row>
    <row r="220" spans="1:14" x14ac:dyDescent="0.25">
      <c r="A220" s="62" t="s">
        <v>1037</v>
      </c>
      <c r="B220" s="60">
        <v>2408256</v>
      </c>
      <c r="C220" s="60">
        <v>67446</v>
      </c>
      <c r="D220" s="62" t="s">
        <v>2000</v>
      </c>
      <c r="E220" s="62">
        <v>34</v>
      </c>
      <c r="F220" s="62" t="s">
        <v>2001</v>
      </c>
      <c r="G220" s="62" t="s">
        <v>15</v>
      </c>
      <c r="H220" s="62" t="s">
        <v>2002</v>
      </c>
      <c r="I220" s="61" t="s">
        <v>1898</v>
      </c>
      <c r="J220" s="62" t="s">
        <v>1921</v>
      </c>
      <c r="K220" s="62">
        <v>2</v>
      </c>
      <c r="L220" s="134">
        <v>43180</v>
      </c>
      <c r="M220" s="71" t="s">
        <v>2254</v>
      </c>
      <c r="N220" s="64">
        <v>254716525060</v>
      </c>
    </row>
    <row r="221" spans="1:14" ht="22.5" x14ac:dyDescent="0.25">
      <c r="A221" s="68" t="s">
        <v>856</v>
      </c>
      <c r="B221" s="75">
        <v>2005441</v>
      </c>
      <c r="C221" s="66">
        <v>13962</v>
      </c>
      <c r="D221" s="68" t="s">
        <v>2003</v>
      </c>
      <c r="E221" s="68">
        <v>65</v>
      </c>
      <c r="F221" s="68" t="s">
        <v>2004</v>
      </c>
      <c r="G221" s="68" t="s">
        <v>15</v>
      </c>
      <c r="H221" s="68" t="s">
        <v>1605</v>
      </c>
      <c r="I221" s="65" t="s">
        <v>1898</v>
      </c>
      <c r="J221" s="65" t="s">
        <v>1906</v>
      </c>
      <c r="K221" s="68">
        <v>1</v>
      </c>
      <c r="L221" s="136">
        <v>43757.85</v>
      </c>
      <c r="M221" s="76" t="s">
        <v>2254</v>
      </c>
      <c r="N221" s="70">
        <v>254722459249</v>
      </c>
    </row>
    <row r="222" spans="1:14" ht="22.5" x14ac:dyDescent="0.25">
      <c r="A222" s="61" t="s">
        <v>856</v>
      </c>
      <c r="B222" s="60">
        <v>2013651</v>
      </c>
      <c r="C222" s="60">
        <v>103617</v>
      </c>
      <c r="D222" s="62" t="s">
        <v>2005</v>
      </c>
      <c r="E222" s="62">
        <v>61</v>
      </c>
      <c r="F222" s="62" t="s">
        <v>49</v>
      </c>
      <c r="G222" s="62" t="s">
        <v>15</v>
      </c>
      <c r="H222" s="62" t="s">
        <v>164</v>
      </c>
      <c r="I222" s="61" t="s">
        <v>1908</v>
      </c>
      <c r="J222" s="62" t="s">
        <v>1908</v>
      </c>
      <c r="K222" s="62" t="s">
        <v>556</v>
      </c>
      <c r="L222" s="134">
        <v>45000</v>
      </c>
      <c r="M222" s="71" t="s">
        <v>2254</v>
      </c>
      <c r="N222" s="64">
        <v>254722459249</v>
      </c>
    </row>
    <row r="223" spans="1:14" ht="22.5" x14ac:dyDescent="0.25">
      <c r="A223" s="68" t="s">
        <v>373</v>
      </c>
      <c r="B223" s="66">
        <v>2000181</v>
      </c>
      <c r="C223" s="66">
        <v>18032</v>
      </c>
      <c r="D223" s="67" t="s">
        <v>769</v>
      </c>
      <c r="E223" s="67">
        <v>67</v>
      </c>
      <c r="F223" s="67" t="s">
        <v>60</v>
      </c>
      <c r="G223" s="67" t="s">
        <v>22</v>
      </c>
      <c r="H223" s="67" t="s">
        <v>737</v>
      </c>
      <c r="I223" s="68" t="s">
        <v>2006</v>
      </c>
      <c r="J223" s="67" t="s">
        <v>1895</v>
      </c>
      <c r="K223" s="67" t="s">
        <v>714</v>
      </c>
      <c r="L223" s="133">
        <v>45841.2</v>
      </c>
      <c r="M223" s="69" t="s">
        <v>2254</v>
      </c>
      <c r="N223" s="70">
        <v>254723227442</v>
      </c>
    </row>
    <row r="224" spans="1:14" ht="22.5" x14ac:dyDescent="0.25">
      <c r="A224" s="61" t="s">
        <v>726</v>
      </c>
      <c r="B224" s="74">
        <v>2010446</v>
      </c>
      <c r="C224" s="60">
        <v>100598</v>
      </c>
      <c r="D224" s="61" t="s">
        <v>2007</v>
      </c>
      <c r="E224" s="61">
        <v>68</v>
      </c>
      <c r="F224" s="58" t="s">
        <v>60</v>
      </c>
      <c r="G224" s="58" t="s">
        <v>22</v>
      </c>
      <c r="H224" s="61" t="s">
        <v>2008</v>
      </c>
      <c r="I224" s="61" t="s">
        <v>1910</v>
      </c>
      <c r="J224" s="61" t="s">
        <v>1911</v>
      </c>
      <c r="K224" s="62" t="s">
        <v>714</v>
      </c>
      <c r="L224" s="137">
        <v>46600</v>
      </c>
      <c r="M224" s="77" t="s">
        <v>2254</v>
      </c>
      <c r="N224" s="64">
        <v>254722432463</v>
      </c>
    </row>
    <row r="225" spans="1:14" ht="22.5" x14ac:dyDescent="0.25">
      <c r="A225" s="68" t="s">
        <v>53</v>
      </c>
      <c r="B225" s="81">
        <v>2016327</v>
      </c>
      <c r="C225" s="66">
        <v>103314</v>
      </c>
      <c r="D225" s="66" t="s">
        <v>2009</v>
      </c>
      <c r="E225" s="67">
        <v>64</v>
      </c>
      <c r="F225" s="67" t="s">
        <v>60</v>
      </c>
      <c r="G225" s="67" t="s">
        <v>22</v>
      </c>
      <c r="H225" s="67" t="s">
        <v>2010</v>
      </c>
      <c r="I225" s="68" t="s">
        <v>1922</v>
      </c>
      <c r="J225" s="67" t="s">
        <v>1922</v>
      </c>
      <c r="K225" s="67" t="s">
        <v>556</v>
      </c>
      <c r="L225" s="133">
        <v>50000</v>
      </c>
      <c r="M225" s="69" t="s">
        <v>2254</v>
      </c>
      <c r="N225" s="70">
        <v>254725661357</v>
      </c>
    </row>
    <row r="226" spans="1:14" ht="22.5" x14ac:dyDescent="0.25">
      <c r="A226" s="61" t="s">
        <v>1653</v>
      </c>
      <c r="B226" s="60">
        <v>2014720</v>
      </c>
      <c r="C226" s="60">
        <v>37099</v>
      </c>
      <c r="D226" s="62" t="s">
        <v>719</v>
      </c>
      <c r="E226" s="62">
        <v>67</v>
      </c>
      <c r="F226" s="62" t="s">
        <v>2011</v>
      </c>
      <c r="G226" s="62" t="s">
        <v>15</v>
      </c>
      <c r="H226" s="62" t="s">
        <v>720</v>
      </c>
      <c r="I226" s="61" t="s">
        <v>1928</v>
      </c>
      <c r="J226" s="62" t="s">
        <v>1928</v>
      </c>
      <c r="K226" s="62" t="s">
        <v>714</v>
      </c>
      <c r="L226" s="134">
        <v>50371</v>
      </c>
      <c r="M226" s="71" t="s">
        <v>2254</v>
      </c>
      <c r="N226" s="64">
        <v>791800248</v>
      </c>
    </row>
    <row r="227" spans="1:14" x14ac:dyDescent="0.25">
      <c r="A227" s="67" t="s">
        <v>2012</v>
      </c>
      <c r="B227" s="81">
        <v>2407421</v>
      </c>
      <c r="C227" s="66">
        <v>58673</v>
      </c>
      <c r="D227" s="66" t="s">
        <v>2013</v>
      </c>
      <c r="E227" s="67">
        <v>59</v>
      </c>
      <c r="F227" s="67" t="s">
        <v>2014</v>
      </c>
      <c r="G227" s="67" t="s">
        <v>22</v>
      </c>
      <c r="H227" s="67" t="s">
        <v>2015</v>
      </c>
      <c r="I227" s="68" t="s">
        <v>2016</v>
      </c>
      <c r="J227" s="67" t="s">
        <v>1922</v>
      </c>
      <c r="K227" s="67">
        <v>2</v>
      </c>
      <c r="L227" s="133">
        <v>50799</v>
      </c>
      <c r="M227" s="69" t="s">
        <v>2254</v>
      </c>
      <c r="N227" s="70">
        <v>254721250193</v>
      </c>
    </row>
    <row r="228" spans="1:14" x14ac:dyDescent="0.25">
      <c r="A228" s="61" t="s">
        <v>274</v>
      </c>
      <c r="B228" s="59">
        <v>2021923</v>
      </c>
      <c r="C228" s="60">
        <v>56634</v>
      </c>
      <c r="D228" s="61" t="s">
        <v>2017</v>
      </c>
      <c r="E228" s="61">
        <v>60</v>
      </c>
      <c r="F228" s="58" t="s">
        <v>60</v>
      </c>
      <c r="G228" s="58" t="s">
        <v>22</v>
      </c>
      <c r="H228" s="61" t="s">
        <v>23</v>
      </c>
      <c r="I228" s="61" t="s">
        <v>1911</v>
      </c>
      <c r="J228" s="61" t="s">
        <v>1911</v>
      </c>
      <c r="K228" s="62" t="s">
        <v>714</v>
      </c>
      <c r="L228" s="132">
        <v>51899.8</v>
      </c>
      <c r="M228" s="63" t="s">
        <v>2254</v>
      </c>
      <c r="N228" s="64">
        <v>254723908946</v>
      </c>
    </row>
    <row r="229" spans="1:14" ht="33.75" x14ac:dyDescent="0.25">
      <c r="A229" s="68" t="s">
        <v>354</v>
      </c>
      <c r="B229" s="75">
        <v>2023126</v>
      </c>
      <c r="C229" s="66">
        <v>63184</v>
      </c>
      <c r="D229" s="68" t="s">
        <v>2018</v>
      </c>
      <c r="E229" s="68">
        <v>20</v>
      </c>
      <c r="F229" s="68" t="s">
        <v>2019</v>
      </c>
      <c r="G229" s="68" t="s">
        <v>132</v>
      </c>
      <c r="H229" s="68" t="s">
        <v>486</v>
      </c>
      <c r="I229" s="68" t="s">
        <v>1895</v>
      </c>
      <c r="J229" s="68" t="s">
        <v>1923</v>
      </c>
      <c r="K229" s="68">
        <v>5</v>
      </c>
      <c r="L229" s="135">
        <v>52350</v>
      </c>
      <c r="M229" s="73" t="s">
        <v>2254</v>
      </c>
      <c r="N229" s="70">
        <v>254710416650</v>
      </c>
    </row>
    <row r="230" spans="1:14" ht="22.5" x14ac:dyDescent="0.25">
      <c r="A230" s="61" t="s">
        <v>53</v>
      </c>
      <c r="B230" s="60">
        <v>2009724</v>
      </c>
      <c r="C230" s="60">
        <v>14672</v>
      </c>
      <c r="D230" s="62" t="s">
        <v>2020</v>
      </c>
      <c r="E230" s="62">
        <v>65</v>
      </c>
      <c r="F230" s="62" t="s">
        <v>2021</v>
      </c>
      <c r="G230" s="62" t="s">
        <v>15</v>
      </c>
      <c r="H230" s="62" t="s">
        <v>2022</v>
      </c>
      <c r="I230" s="61" t="s">
        <v>1911</v>
      </c>
      <c r="J230" s="62" t="s">
        <v>1895</v>
      </c>
      <c r="K230" s="62">
        <v>1</v>
      </c>
      <c r="L230" s="134">
        <v>53066.17</v>
      </c>
      <c r="M230" s="71" t="s">
        <v>2254</v>
      </c>
      <c r="N230" s="64">
        <v>254715397690</v>
      </c>
    </row>
    <row r="231" spans="1:14" ht="22.5" x14ac:dyDescent="0.25">
      <c r="A231" s="68" t="s">
        <v>53</v>
      </c>
      <c r="B231" s="75">
        <v>2506022</v>
      </c>
      <c r="C231" s="66">
        <v>58697</v>
      </c>
      <c r="D231" s="68" t="s">
        <v>2023</v>
      </c>
      <c r="E231" s="68">
        <v>60</v>
      </c>
      <c r="F231" s="68" t="s">
        <v>60</v>
      </c>
      <c r="G231" s="68" t="s">
        <v>22</v>
      </c>
      <c r="H231" s="68" t="s">
        <v>737</v>
      </c>
      <c r="I231" s="68" t="s">
        <v>1923</v>
      </c>
      <c r="J231" s="65" t="s">
        <v>1923</v>
      </c>
      <c r="K231" s="67" t="s">
        <v>714</v>
      </c>
      <c r="L231" s="136">
        <v>54000</v>
      </c>
      <c r="M231" s="76" t="s">
        <v>2254</v>
      </c>
      <c r="N231" s="70">
        <v>254728323604</v>
      </c>
    </row>
    <row r="232" spans="1:14" ht="33.75" x14ac:dyDescent="0.25">
      <c r="A232" s="61" t="s">
        <v>53</v>
      </c>
      <c r="B232" s="74">
        <v>2010960</v>
      </c>
      <c r="C232" s="60">
        <v>64149</v>
      </c>
      <c r="D232" s="61" t="s">
        <v>2024</v>
      </c>
      <c r="E232" s="61">
        <v>57</v>
      </c>
      <c r="F232" s="61" t="s">
        <v>49</v>
      </c>
      <c r="G232" s="61" t="s">
        <v>15</v>
      </c>
      <c r="H232" s="61" t="s">
        <v>2025</v>
      </c>
      <c r="I232" s="61" t="s">
        <v>1923</v>
      </c>
      <c r="J232" s="58" t="s">
        <v>1923</v>
      </c>
      <c r="K232" s="62" t="s">
        <v>714</v>
      </c>
      <c r="L232" s="137">
        <v>55000</v>
      </c>
      <c r="M232" s="77" t="s">
        <v>2254</v>
      </c>
      <c r="N232" s="64">
        <v>254728323604</v>
      </c>
    </row>
    <row r="233" spans="1:14" ht="45" x14ac:dyDescent="0.25">
      <c r="A233" s="68" t="s">
        <v>232</v>
      </c>
      <c r="B233" s="75">
        <v>2023256</v>
      </c>
      <c r="C233" s="66">
        <v>57514</v>
      </c>
      <c r="D233" s="68" t="s">
        <v>2026</v>
      </c>
      <c r="E233" s="68">
        <v>58</v>
      </c>
      <c r="F233" s="68" t="s">
        <v>2027</v>
      </c>
      <c r="G233" s="68" t="s">
        <v>15</v>
      </c>
      <c r="H233" s="68" t="s">
        <v>2028</v>
      </c>
      <c r="I233" s="65" t="s">
        <v>1918</v>
      </c>
      <c r="J233" s="65" t="s">
        <v>1906</v>
      </c>
      <c r="K233" s="68">
        <v>2</v>
      </c>
      <c r="L233" s="135">
        <v>55910</v>
      </c>
      <c r="M233" s="73" t="s">
        <v>2254</v>
      </c>
      <c r="N233" s="70">
        <v>254728323604</v>
      </c>
    </row>
    <row r="234" spans="1:14" ht="33.75" x14ac:dyDescent="0.25">
      <c r="A234" s="61" t="s">
        <v>1768</v>
      </c>
      <c r="B234" s="74">
        <v>2008696</v>
      </c>
      <c r="C234" s="60">
        <v>77683</v>
      </c>
      <c r="D234" s="61" t="s">
        <v>2029</v>
      </c>
      <c r="E234" s="61">
        <v>11</v>
      </c>
      <c r="F234" s="61" t="s">
        <v>2030</v>
      </c>
      <c r="G234" s="61" t="s">
        <v>132</v>
      </c>
      <c r="H234" s="61" t="s">
        <v>2031</v>
      </c>
      <c r="I234" s="61" t="s">
        <v>1675</v>
      </c>
      <c r="J234" s="61" t="s">
        <v>1911</v>
      </c>
      <c r="K234" s="61">
        <v>2</v>
      </c>
      <c r="L234" s="137">
        <v>56226</v>
      </c>
      <c r="M234" s="77" t="s">
        <v>2254</v>
      </c>
      <c r="N234" s="64">
        <v>254722691221</v>
      </c>
    </row>
    <row r="235" spans="1:14" ht="22.5" x14ac:dyDescent="0.25">
      <c r="A235" s="68" t="s">
        <v>1768</v>
      </c>
      <c r="B235" s="66">
        <v>2003647</v>
      </c>
      <c r="C235" s="66">
        <v>14902</v>
      </c>
      <c r="D235" s="67" t="s">
        <v>2032</v>
      </c>
      <c r="E235" s="67">
        <v>65</v>
      </c>
      <c r="F235" s="67" t="s">
        <v>60</v>
      </c>
      <c r="G235" s="67" t="s">
        <v>22</v>
      </c>
      <c r="H235" s="67" t="s">
        <v>445</v>
      </c>
      <c r="I235" s="68" t="s">
        <v>2016</v>
      </c>
      <c r="J235" s="67" t="s">
        <v>2016</v>
      </c>
      <c r="K235" s="67" t="s">
        <v>714</v>
      </c>
      <c r="L235" s="133">
        <v>57390</v>
      </c>
      <c r="M235" s="69" t="s">
        <v>2254</v>
      </c>
      <c r="N235" s="70">
        <v>254722691221</v>
      </c>
    </row>
    <row r="236" spans="1:14" ht="22.5" x14ac:dyDescent="0.25">
      <c r="A236" s="61" t="s">
        <v>354</v>
      </c>
      <c r="B236" s="80">
        <v>2001146</v>
      </c>
      <c r="C236" s="60">
        <v>100300</v>
      </c>
      <c r="D236" s="60" t="s">
        <v>2033</v>
      </c>
      <c r="E236" s="62">
        <v>74</v>
      </c>
      <c r="F236" s="62" t="s">
        <v>60</v>
      </c>
      <c r="G236" s="62" t="s">
        <v>22</v>
      </c>
      <c r="H236" s="62" t="s">
        <v>1991</v>
      </c>
      <c r="I236" s="61" t="s">
        <v>1992</v>
      </c>
      <c r="J236" s="62" t="s">
        <v>1922</v>
      </c>
      <c r="K236" s="62" t="s">
        <v>714</v>
      </c>
      <c r="L236" s="134">
        <v>57522.400000000001</v>
      </c>
      <c r="M236" s="71" t="s">
        <v>2254</v>
      </c>
      <c r="N236" s="64">
        <v>254726386129</v>
      </c>
    </row>
    <row r="237" spans="1:14" ht="22.5" x14ac:dyDescent="0.25">
      <c r="A237" s="68" t="s">
        <v>53</v>
      </c>
      <c r="B237" s="75">
        <v>2021273</v>
      </c>
      <c r="C237" s="66">
        <v>56896</v>
      </c>
      <c r="D237" s="68" t="s">
        <v>1613</v>
      </c>
      <c r="E237" s="68">
        <v>59</v>
      </c>
      <c r="F237" s="68" t="s">
        <v>49</v>
      </c>
      <c r="G237" s="68" t="s">
        <v>15</v>
      </c>
      <c r="H237" s="68" t="s">
        <v>730</v>
      </c>
      <c r="I237" s="68" t="s">
        <v>1923</v>
      </c>
      <c r="J237" s="65" t="s">
        <v>1923</v>
      </c>
      <c r="K237" s="67" t="s">
        <v>714</v>
      </c>
      <c r="L237" s="136">
        <v>60000</v>
      </c>
      <c r="M237" s="76" t="s">
        <v>2254</v>
      </c>
      <c r="N237" s="70">
        <v>254726386129</v>
      </c>
    </row>
    <row r="238" spans="1:14" x14ac:dyDescent="0.25">
      <c r="A238" s="61" t="s">
        <v>1331</v>
      </c>
      <c r="B238" s="60">
        <v>2019973</v>
      </c>
      <c r="C238" s="60">
        <v>60703</v>
      </c>
      <c r="D238" s="62" t="s">
        <v>2034</v>
      </c>
      <c r="E238" s="62">
        <v>49</v>
      </c>
      <c r="F238" s="62" t="s">
        <v>2035</v>
      </c>
      <c r="G238" s="62" t="s">
        <v>15</v>
      </c>
      <c r="H238" s="62" t="s">
        <v>2036</v>
      </c>
      <c r="I238" s="61" t="s">
        <v>1898</v>
      </c>
      <c r="J238" s="62" t="s">
        <v>1921</v>
      </c>
      <c r="K238" s="62">
        <v>2</v>
      </c>
      <c r="L238" s="134">
        <v>60275</v>
      </c>
      <c r="M238" s="71" t="s">
        <v>2254</v>
      </c>
      <c r="N238" s="64">
        <v>254726386129</v>
      </c>
    </row>
    <row r="239" spans="1:14" ht="22.5" x14ac:dyDescent="0.25">
      <c r="A239" s="68" t="s">
        <v>1684</v>
      </c>
      <c r="B239" s="66">
        <v>2019818</v>
      </c>
      <c r="C239" s="66">
        <v>53874</v>
      </c>
      <c r="D239" s="67" t="s">
        <v>2037</v>
      </c>
      <c r="E239" s="67">
        <v>16</v>
      </c>
      <c r="F239" s="67" t="s">
        <v>2038</v>
      </c>
      <c r="G239" s="67" t="s">
        <v>22</v>
      </c>
      <c r="H239" s="67" t="s">
        <v>2039</v>
      </c>
      <c r="I239" s="68" t="s">
        <v>1898</v>
      </c>
      <c r="J239" s="67" t="s">
        <v>1921</v>
      </c>
      <c r="K239" s="67">
        <v>2</v>
      </c>
      <c r="L239" s="133">
        <v>62881.25</v>
      </c>
      <c r="M239" s="69" t="s">
        <v>2254</v>
      </c>
      <c r="N239" s="70">
        <v>254726386129</v>
      </c>
    </row>
    <row r="240" spans="1:14" ht="22.5" x14ac:dyDescent="0.25">
      <c r="A240" s="61" t="s">
        <v>1672</v>
      </c>
      <c r="B240" s="60">
        <v>2011320</v>
      </c>
      <c r="C240" s="60">
        <v>74047</v>
      </c>
      <c r="D240" s="62" t="s">
        <v>2040</v>
      </c>
      <c r="E240" s="62">
        <v>9</v>
      </c>
      <c r="F240" s="62" t="s">
        <v>2041</v>
      </c>
      <c r="G240" s="62" t="s">
        <v>132</v>
      </c>
      <c r="H240" s="62" t="s">
        <v>2042</v>
      </c>
      <c r="I240" s="61" t="s">
        <v>1911</v>
      </c>
      <c r="J240" s="62" t="s">
        <v>1928</v>
      </c>
      <c r="K240" s="62">
        <v>2</v>
      </c>
      <c r="L240" s="134">
        <v>63002</v>
      </c>
      <c r="M240" s="71" t="s">
        <v>2254</v>
      </c>
      <c r="N240" s="64">
        <v>254726386129</v>
      </c>
    </row>
    <row r="241" spans="1:14" ht="22.5" x14ac:dyDescent="0.25">
      <c r="A241" s="67" t="s">
        <v>146</v>
      </c>
      <c r="B241" s="75">
        <v>2020971</v>
      </c>
      <c r="C241" s="66">
        <v>13630</v>
      </c>
      <c r="D241" s="68" t="s">
        <v>841</v>
      </c>
      <c r="E241" s="68">
        <v>64</v>
      </c>
      <c r="F241" s="68" t="s">
        <v>2043</v>
      </c>
      <c r="G241" s="68" t="s">
        <v>15</v>
      </c>
      <c r="H241" s="68" t="s">
        <v>2044</v>
      </c>
      <c r="I241" s="65" t="s">
        <v>1918</v>
      </c>
      <c r="J241" s="65" t="s">
        <v>1906</v>
      </c>
      <c r="K241" s="68">
        <v>2</v>
      </c>
      <c r="L241" s="136">
        <v>63985</v>
      </c>
      <c r="M241" s="76" t="s">
        <v>2254</v>
      </c>
      <c r="N241" s="70">
        <v>254717992592</v>
      </c>
    </row>
    <row r="242" spans="1:14" ht="33.75" x14ac:dyDescent="0.25">
      <c r="A242" s="61" t="s">
        <v>1575</v>
      </c>
      <c r="B242" s="60">
        <v>2023119</v>
      </c>
      <c r="C242" s="60">
        <v>54726</v>
      </c>
      <c r="D242" s="62" t="s">
        <v>2045</v>
      </c>
      <c r="E242" s="62">
        <v>58</v>
      </c>
      <c r="F242" s="62" t="s">
        <v>2046</v>
      </c>
      <c r="G242" s="62" t="s">
        <v>15</v>
      </c>
      <c r="H242" s="62" t="s">
        <v>2047</v>
      </c>
      <c r="I242" s="61" t="s">
        <v>1928</v>
      </c>
      <c r="J242" s="62" t="s">
        <v>2048</v>
      </c>
      <c r="K242" s="62">
        <v>3</v>
      </c>
      <c r="L242" s="134">
        <v>64450</v>
      </c>
      <c r="M242" s="71" t="s">
        <v>2254</v>
      </c>
      <c r="N242" s="64">
        <v>254717992592</v>
      </c>
    </row>
    <row r="243" spans="1:14" ht="22.5" x14ac:dyDescent="0.25">
      <c r="A243" s="68" t="s">
        <v>726</v>
      </c>
      <c r="B243" s="81">
        <v>2001033</v>
      </c>
      <c r="C243" s="66">
        <v>17150</v>
      </c>
      <c r="D243" s="66" t="s">
        <v>727</v>
      </c>
      <c r="E243" s="67">
        <v>86</v>
      </c>
      <c r="F243" s="67" t="s">
        <v>60</v>
      </c>
      <c r="G243" s="67" t="s">
        <v>22</v>
      </c>
      <c r="H243" s="67" t="s">
        <v>2049</v>
      </c>
      <c r="I243" s="68" t="s">
        <v>2050</v>
      </c>
      <c r="J243" s="67" t="s">
        <v>1922</v>
      </c>
      <c r="K243" s="67" t="s">
        <v>714</v>
      </c>
      <c r="L243" s="133">
        <v>65000</v>
      </c>
      <c r="M243" s="69" t="s">
        <v>2254</v>
      </c>
      <c r="N243" s="70">
        <v>254743419124</v>
      </c>
    </row>
    <row r="244" spans="1:14" ht="22.5" x14ac:dyDescent="0.25">
      <c r="A244" s="61" t="s">
        <v>1565</v>
      </c>
      <c r="B244" s="60">
        <v>20160971</v>
      </c>
      <c r="C244" s="60">
        <v>35049</v>
      </c>
      <c r="D244" s="62" t="s">
        <v>2051</v>
      </c>
      <c r="E244" s="62">
        <v>9</v>
      </c>
      <c r="F244" s="62" t="s">
        <v>49</v>
      </c>
      <c r="G244" s="62" t="s">
        <v>132</v>
      </c>
      <c r="H244" s="62" t="s">
        <v>2052</v>
      </c>
      <c r="I244" s="61" t="s">
        <v>1921</v>
      </c>
      <c r="J244" s="62" t="s">
        <v>2016</v>
      </c>
      <c r="K244" s="62">
        <v>2</v>
      </c>
      <c r="L244" s="134">
        <v>68562</v>
      </c>
      <c r="M244" s="71" t="s">
        <v>2254</v>
      </c>
      <c r="N244" s="64">
        <v>254707717806</v>
      </c>
    </row>
    <row r="245" spans="1:14" ht="22.5" x14ac:dyDescent="0.25">
      <c r="A245" s="68" t="s">
        <v>1672</v>
      </c>
      <c r="B245" s="66">
        <v>2406122</v>
      </c>
      <c r="C245" s="66">
        <v>94629</v>
      </c>
      <c r="D245" s="67" t="s">
        <v>2053</v>
      </c>
      <c r="E245" s="67">
        <v>5</v>
      </c>
      <c r="F245" s="67" t="s">
        <v>2054</v>
      </c>
      <c r="G245" s="67" t="s">
        <v>132</v>
      </c>
      <c r="H245" s="67" t="s">
        <v>2055</v>
      </c>
      <c r="I245" s="68" t="s">
        <v>1551</v>
      </c>
      <c r="J245" s="67" t="s">
        <v>1908</v>
      </c>
      <c r="K245" s="67">
        <v>3</v>
      </c>
      <c r="L245" s="133">
        <v>69954</v>
      </c>
      <c r="M245" s="69" t="s">
        <v>2254</v>
      </c>
      <c r="N245" s="70">
        <v>254720256563</v>
      </c>
    </row>
    <row r="246" spans="1:14" x14ac:dyDescent="0.25">
      <c r="A246" s="62" t="s">
        <v>146</v>
      </c>
      <c r="B246" s="60">
        <v>2021058</v>
      </c>
      <c r="C246" s="60">
        <v>58340</v>
      </c>
      <c r="D246" s="62" t="s">
        <v>2056</v>
      </c>
      <c r="E246" s="62">
        <v>60</v>
      </c>
      <c r="F246" s="62" t="s">
        <v>2057</v>
      </c>
      <c r="G246" s="62" t="s">
        <v>15</v>
      </c>
      <c r="H246" s="62" t="s">
        <v>2058</v>
      </c>
      <c r="I246" s="61" t="s">
        <v>1559</v>
      </c>
      <c r="J246" s="62" t="s">
        <v>1895</v>
      </c>
      <c r="K246" s="62">
        <v>4</v>
      </c>
      <c r="L246" s="134">
        <v>72744.02</v>
      </c>
      <c r="M246" s="71" t="s">
        <v>2254</v>
      </c>
      <c r="N246" s="64">
        <v>254790911593</v>
      </c>
    </row>
    <row r="247" spans="1:14" ht="45" x14ac:dyDescent="0.25">
      <c r="A247" s="65" t="s">
        <v>799</v>
      </c>
      <c r="B247" s="72">
        <v>2001510</v>
      </c>
      <c r="C247" s="66">
        <v>100023</v>
      </c>
      <c r="D247" s="65" t="s">
        <v>2059</v>
      </c>
      <c r="E247" s="65">
        <v>61</v>
      </c>
      <c r="F247" s="65" t="s">
        <v>60</v>
      </c>
      <c r="G247" s="65" t="s">
        <v>22</v>
      </c>
      <c r="H247" s="65" t="s">
        <v>2060</v>
      </c>
      <c r="I247" s="68" t="s">
        <v>1911</v>
      </c>
      <c r="J247" s="68" t="s">
        <v>1911</v>
      </c>
      <c r="K247" s="67" t="s">
        <v>788</v>
      </c>
      <c r="L247" s="135">
        <v>75000</v>
      </c>
      <c r="M247" s="73" t="s">
        <v>2254</v>
      </c>
      <c r="N247" s="70">
        <v>254705574637</v>
      </c>
    </row>
    <row r="248" spans="1:14" ht="22.5" x14ac:dyDescent="0.25">
      <c r="A248" s="61" t="s">
        <v>1585</v>
      </c>
      <c r="B248" s="74">
        <v>2007024</v>
      </c>
      <c r="C248" s="60">
        <v>18958</v>
      </c>
      <c r="D248" s="61" t="s">
        <v>2061</v>
      </c>
      <c r="E248" s="61">
        <v>63</v>
      </c>
      <c r="F248" s="61" t="s">
        <v>14</v>
      </c>
      <c r="G248" s="61" t="s">
        <v>15</v>
      </c>
      <c r="H248" s="61" t="s">
        <v>2062</v>
      </c>
      <c r="I248" s="61" t="s">
        <v>1911</v>
      </c>
      <c r="J248" s="61" t="s">
        <v>1911</v>
      </c>
      <c r="K248" s="62" t="s">
        <v>788</v>
      </c>
      <c r="L248" s="132">
        <v>75000</v>
      </c>
      <c r="M248" s="63" t="s">
        <v>2254</v>
      </c>
      <c r="N248" s="64">
        <v>254745871502</v>
      </c>
    </row>
    <row r="249" spans="1:14" x14ac:dyDescent="0.25">
      <c r="A249" s="67" t="s">
        <v>2063</v>
      </c>
      <c r="B249" s="66">
        <v>2014847</v>
      </c>
      <c r="C249" s="66">
        <v>19118</v>
      </c>
      <c r="D249" s="67" t="s">
        <v>2064</v>
      </c>
      <c r="E249" s="67">
        <v>17</v>
      </c>
      <c r="F249" s="67" t="s">
        <v>2065</v>
      </c>
      <c r="G249" s="67" t="s">
        <v>132</v>
      </c>
      <c r="H249" s="67" t="s">
        <v>2066</v>
      </c>
      <c r="I249" s="68" t="s">
        <v>1911</v>
      </c>
      <c r="J249" s="67" t="s">
        <v>1916</v>
      </c>
      <c r="K249" s="67">
        <v>2</v>
      </c>
      <c r="L249" s="133">
        <v>76305</v>
      </c>
      <c r="M249" s="69" t="s">
        <v>2254</v>
      </c>
      <c r="N249" s="70">
        <v>254727778715</v>
      </c>
    </row>
    <row r="250" spans="1:14" ht="22.5" x14ac:dyDescent="0.25">
      <c r="A250" s="61" t="s">
        <v>155</v>
      </c>
      <c r="B250" s="60">
        <v>2007480</v>
      </c>
      <c r="C250" s="60">
        <v>63926</v>
      </c>
      <c r="D250" s="62" t="s">
        <v>2067</v>
      </c>
      <c r="E250" s="62">
        <v>64</v>
      </c>
      <c r="F250" s="62" t="s">
        <v>473</v>
      </c>
      <c r="G250" s="62" t="s">
        <v>15</v>
      </c>
      <c r="H250" s="62" t="s">
        <v>2068</v>
      </c>
      <c r="I250" s="61" t="s">
        <v>1898</v>
      </c>
      <c r="J250" s="62" t="s">
        <v>1893</v>
      </c>
      <c r="K250" s="62">
        <v>2</v>
      </c>
      <c r="L250" s="134">
        <v>79945</v>
      </c>
      <c r="M250" s="71" t="s">
        <v>2254</v>
      </c>
      <c r="N250" s="64">
        <v>254715210274</v>
      </c>
    </row>
    <row r="251" spans="1:14" x14ac:dyDescent="0.25">
      <c r="A251" s="68" t="s">
        <v>1033</v>
      </c>
      <c r="B251" s="72">
        <v>2505080</v>
      </c>
      <c r="C251" s="66">
        <v>100854</v>
      </c>
      <c r="D251" s="65" t="s">
        <v>2069</v>
      </c>
      <c r="E251" s="65">
        <v>68</v>
      </c>
      <c r="F251" s="65" t="s">
        <v>126</v>
      </c>
      <c r="G251" s="65" t="s">
        <v>664</v>
      </c>
      <c r="H251" s="65" t="s">
        <v>2070</v>
      </c>
      <c r="I251" s="65" t="s">
        <v>1906</v>
      </c>
      <c r="J251" s="65" t="s">
        <v>1906</v>
      </c>
      <c r="K251" s="68" t="s">
        <v>1952</v>
      </c>
      <c r="L251" s="136">
        <v>80210</v>
      </c>
      <c r="M251" s="76" t="s">
        <v>2254</v>
      </c>
      <c r="N251" s="70">
        <v>254724442391</v>
      </c>
    </row>
    <row r="252" spans="1:14" ht="33.75" x14ac:dyDescent="0.25">
      <c r="A252" s="61" t="s">
        <v>1622</v>
      </c>
      <c r="B252" s="59">
        <v>2001287</v>
      </c>
      <c r="C252" s="60">
        <v>17202</v>
      </c>
      <c r="D252" s="58" t="s">
        <v>2071</v>
      </c>
      <c r="E252" s="58">
        <v>84</v>
      </c>
      <c r="F252" s="58" t="s">
        <v>2072</v>
      </c>
      <c r="G252" s="58" t="s">
        <v>22</v>
      </c>
      <c r="H252" s="58" t="s">
        <v>2073</v>
      </c>
      <c r="I252" s="58" t="s">
        <v>1895</v>
      </c>
      <c r="J252" s="58" t="s">
        <v>1906</v>
      </c>
      <c r="K252" s="58">
        <v>7</v>
      </c>
      <c r="L252" s="132">
        <v>81065</v>
      </c>
      <c r="M252" s="63" t="s">
        <v>2254</v>
      </c>
      <c r="N252" s="64">
        <v>7157332387</v>
      </c>
    </row>
    <row r="253" spans="1:14" ht="22.5" x14ac:dyDescent="0.25">
      <c r="A253" s="68" t="s">
        <v>2074</v>
      </c>
      <c r="B253" s="75">
        <v>2016650</v>
      </c>
      <c r="C253" s="66">
        <v>15315</v>
      </c>
      <c r="D253" s="68" t="s">
        <v>2075</v>
      </c>
      <c r="E253" s="68">
        <v>65</v>
      </c>
      <c r="F253" s="68" t="s">
        <v>2076</v>
      </c>
      <c r="G253" s="68" t="s">
        <v>15</v>
      </c>
      <c r="H253" s="68" t="s">
        <v>2077</v>
      </c>
      <c r="I253" s="68" t="s">
        <v>1916</v>
      </c>
      <c r="J253" s="68" t="s">
        <v>1898</v>
      </c>
      <c r="K253" s="68">
        <v>5</v>
      </c>
      <c r="L253" s="135">
        <v>81272</v>
      </c>
      <c r="M253" s="73" t="s">
        <v>2254</v>
      </c>
      <c r="N253" s="70">
        <v>254722480207</v>
      </c>
    </row>
    <row r="254" spans="1:14" ht="22.5" x14ac:dyDescent="0.25">
      <c r="A254" s="61" t="s">
        <v>1690</v>
      </c>
      <c r="B254" s="74">
        <v>2013720</v>
      </c>
      <c r="C254" s="60">
        <v>15793</v>
      </c>
      <c r="D254" s="61" t="s">
        <v>2078</v>
      </c>
      <c r="E254" s="61">
        <v>64</v>
      </c>
      <c r="F254" s="61" t="s">
        <v>2079</v>
      </c>
      <c r="G254" s="61" t="s">
        <v>22</v>
      </c>
      <c r="H254" s="61" t="s">
        <v>2080</v>
      </c>
      <c r="I254" s="58" t="s">
        <v>1898</v>
      </c>
      <c r="J254" s="58" t="s">
        <v>1906</v>
      </c>
      <c r="K254" s="61">
        <v>1</v>
      </c>
      <c r="L254" s="137">
        <v>81996</v>
      </c>
      <c r="M254" s="77" t="s">
        <v>2254</v>
      </c>
      <c r="N254" s="64">
        <v>254705864457</v>
      </c>
    </row>
    <row r="255" spans="1:14" ht="22.5" x14ac:dyDescent="0.25">
      <c r="A255" s="68" t="s">
        <v>1630</v>
      </c>
      <c r="B255" s="66">
        <v>2018681</v>
      </c>
      <c r="C255" s="66">
        <v>12804</v>
      </c>
      <c r="D255" s="67" t="s">
        <v>2081</v>
      </c>
      <c r="E255" s="67">
        <v>65</v>
      </c>
      <c r="F255" s="67" t="s">
        <v>2082</v>
      </c>
      <c r="G255" s="67" t="s">
        <v>22</v>
      </c>
      <c r="H255" s="67" t="s">
        <v>2083</v>
      </c>
      <c r="I255" s="68" t="s">
        <v>1543</v>
      </c>
      <c r="J255" s="67" t="s">
        <v>1908</v>
      </c>
      <c r="K255" s="67">
        <v>6</v>
      </c>
      <c r="L255" s="133">
        <v>83186</v>
      </c>
      <c r="M255" s="69" t="s">
        <v>2254</v>
      </c>
      <c r="N255" s="70">
        <v>254722624432</v>
      </c>
    </row>
    <row r="256" spans="1:14" x14ac:dyDescent="0.25">
      <c r="A256" s="62" t="s">
        <v>923</v>
      </c>
      <c r="B256" s="60">
        <v>2013329</v>
      </c>
      <c r="C256" s="60">
        <v>17480</v>
      </c>
      <c r="D256" s="62" t="s">
        <v>2084</v>
      </c>
      <c r="E256" s="62">
        <v>74</v>
      </c>
      <c r="F256" s="62" t="s">
        <v>14</v>
      </c>
      <c r="G256" s="62" t="s">
        <v>15</v>
      </c>
      <c r="H256" s="62" t="s">
        <v>2085</v>
      </c>
      <c r="I256" s="61" t="s">
        <v>2086</v>
      </c>
      <c r="J256" s="62" t="s">
        <v>1921</v>
      </c>
      <c r="K256" s="62" t="s">
        <v>1952</v>
      </c>
      <c r="L256" s="134">
        <v>84870</v>
      </c>
      <c r="M256" s="71" t="s">
        <v>2254</v>
      </c>
      <c r="N256" s="64">
        <v>254729575525</v>
      </c>
    </row>
    <row r="257" spans="1:14" ht="33.75" x14ac:dyDescent="0.25">
      <c r="A257" s="68" t="s">
        <v>72</v>
      </c>
      <c r="B257" s="75">
        <v>2012382</v>
      </c>
      <c r="C257" s="66">
        <v>52592</v>
      </c>
      <c r="D257" s="68" t="s">
        <v>2087</v>
      </c>
      <c r="E257" s="68">
        <v>64</v>
      </c>
      <c r="F257" s="68" t="s">
        <v>1752</v>
      </c>
      <c r="G257" s="68" t="s">
        <v>15</v>
      </c>
      <c r="H257" s="68" t="s">
        <v>2088</v>
      </c>
      <c r="I257" s="68" t="s">
        <v>2048</v>
      </c>
      <c r="J257" s="65" t="s">
        <v>1906</v>
      </c>
      <c r="K257" s="68">
        <v>4</v>
      </c>
      <c r="L257" s="135">
        <v>87198.399999999994</v>
      </c>
      <c r="M257" s="73" t="s">
        <v>2254</v>
      </c>
      <c r="N257" s="70">
        <v>254722579794</v>
      </c>
    </row>
    <row r="258" spans="1:14" ht="22.5" x14ac:dyDescent="0.25">
      <c r="A258" s="61" t="s">
        <v>1696</v>
      </c>
      <c r="B258" s="60">
        <v>2002022</v>
      </c>
      <c r="C258" s="60">
        <v>13047</v>
      </c>
      <c r="D258" s="62" t="s">
        <v>2089</v>
      </c>
      <c r="E258" s="62">
        <v>69</v>
      </c>
      <c r="F258" s="62" t="s">
        <v>2090</v>
      </c>
      <c r="G258" s="62" t="s">
        <v>22</v>
      </c>
      <c r="H258" s="62" t="s">
        <v>2091</v>
      </c>
      <c r="I258" s="61" t="s">
        <v>2048</v>
      </c>
      <c r="J258" s="62" t="s">
        <v>1921</v>
      </c>
      <c r="K258" s="62">
        <v>5</v>
      </c>
      <c r="L258" s="134">
        <v>87664</v>
      </c>
      <c r="M258" s="71" t="s">
        <v>2254</v>
      </c>
      <c r="N258" s="64">
        <v>724551041</v>
      </c>
    </row>
    <row r="259" spans="1:14" x14ac:dyDescent="0.25">
      <c r="A259" s="67" t="s">
        <v>249</v>
      </c>
      <c r="B259" s="66">
        <v>2001045</v>
      </c>
      <c r="C259" s="66">
        <v>17578</v>
      </c>
      <c r="D259" s="67" t="s">
        <v>2092</v>
      </c>
      <c r="E259" s="67">
        <v>80</v>
      </c>
      <c r="F259" s="67" t="s">
        <v>2093</v>
      </c>
      <c r="G259" s="67" t="s">
        <v>22</v>
      </c>
      <c r="H259" s="67" t="s">
        <v>2094</v>
      </c>
      <c r="I259" s="68" t="s">
        <v>1898</v>
      </c>
      <c r="J259" s="67" t="s">
        <v>2016</v>
      </c>
      <c r="K259" s="67">
        <v>2</v>
      </c>
      <c r="L259" s="133">
        <v>88097</v>
      </c>
      <c r="M259" s="69" t="s">
        <v>2254</v>
      </c>
      <c r="N259" s="70">
        <v>254720369501</v>
      </c>
    </row>
    <row r="260" spans="1:14" ht="22.5" x14ac:dyDescent="0.25">
      <c r="A260" s="61" t="s">
        <v>1565</v>
      </c>
      <c r="B260" s="60">
        <v>2018859</v>
      </c>
      <c r="C260" s="60">
        <v>59484</v>
      </c>
      <c r="D260" s="62" t="s">
        <v>2095</v>
      </c>
      <c r="E260" s="62">
        <v>59</v>
      </c>
      <c r="F260" s="62" t="s">
        <v>2096</v>
      </c>
      <c r="G260" s="62" t="s">
        <v>15</v>
      </c>
      <c r="H260" s="62" t="s">
        <v>2097</v>
      </c>
      <c r="I260" s="61" t="s">
        <v>1908</v>
      </c>
      <c r="J260" s="62" t="s">
        <v>1895</v>
      </c>
      <c r="K260" s="62">
        <v>2</v>
      </c>
      <c r="L260" s="134">
        <v>88735</v>
      </c>
      <c r="M260" s="71" t="s">
        <v>2254</v>
      </c>
      <c r="N260" s="64">
        <v>254716662512</v>
      </c>
    </row>
    <row r="261" spans="1:14" ht="22.5" x14ac:dyDescent="0.25">
      <c r="A261" s="68" t="s">
        <v>373</v>
      </c>
      <c r="B261" s="75">
        <v>2002838</v>
      </c>
      <c r="C261" s="66">
        <v>101225</v>
      </c>
      <c r="D261" s="68" t="s">
        <v>2098</v>
      </c>
      <c r="E261" s="68">
        <v>70</v>
      </c>
      <c r="F261" s="65" t="s">
        <v>126</v>
      </c>
      <c r="G261" s="65" t="s">
        <v>22</v>
      </c>
      <c r="H261" s="68" t="s">
        <v>445</v>
      </c>
      <c r="I261" s="65" t="s">
        <v>1918</v>
      </c>
      <c r="J261" s="65" t="s">
        <v>1918</v>
      </c>
      <c r="K261" s="67" t="s">
        <v>714</v>
      </c>
      <c r="L261" s="135">
        <v>89751</v>
      </c>
      <c r="M261" s="73" t="s">
        <v>2254</v>
      </c>
      <c r="N261" s="70">
        <v>254711301243</v>
      </c>
    </row>
    <row r="262" spans="1:14" x14ac:dyDescent="0.25">
      <c r="A262" s="61" t="s">
        <v>63</v>
      </c>
      <c r="B262" s="80">
        <v>2001843</v>
      </c>
      <c r="C262" s="60">
        <v>14127</v>
      </c>
      <c r="D262" s="60" t="s">
        <v>761</v>
      </c>
      <c r="E262" s="62">
        <v>66</v>
      </c>
      <c r="F262" s="62" t="s">
        <v>2099</v>
      </c>
      <c r="G262" s="62" t="s">
        <v>22</v>
      </c>
      <c r="H262" s="62" t="s">
        <v>737</v>
      </c>
      <c r="I262" s="61" t="s">
        <v>1922</v>
      </c>
      <c r="J262" s="62" t="s">
        <v>1922</v>
      </c>
      <c r="K262" s="62" t="s">
        <v>714</v>
      </c>
      <c r="L262" s="134">
        <v>91370</v>
      </c>
      <c r="M262" s="71" t="s">
        <v>2254</v>
      </c>
      <c r="N262" s="64">
        <v>254720453324</v>
      </c>
    </row>
    <row r="263" spans="1:14" x14ac:dyDescent="0.25">
      <c r="A263" s="68" t="s">
        <v>19</v>
      </c>
      <c r="B263" s="81">
        <v>2004334</v>
      </c>
      <c r="C263" s="66">
        <v>56626</v>
      </c>
      <c r="D263" s="66" t="s">
        <v>2100</v>
      </c>
      <c r="E263" s="67">
        <v>67</v>
      </c>
      <c r="F263" s="67" t="s">
        <v>2101</v>
      </c>
      <c r="G263" s="67" t="s">
        <v>22</v>
      </c>
      <c r="H263" s="67" t="s">
        <v>2102</v>
      </c>
      <c r="I263" s="68" t="s">
        <v>1906</v>
      </c>
      <c r="J263" s="67" t="s">
        <v>1922</v>
      </c>
      <c r="K263" s="67">
        <v>5</v>
      </c>
      <c r="L263" s="133">
        <v>93695</v>
      </c>
      <c r="M263" s="69" t="s">
        <v>2254</v>
      </c>
      <c r="N263" s="70">
        <v>254720453324</v>
      </c>
    </row>
    <row r="264" spans="1:14" ht="22.5" x14ac:dyDescent="0.25">
      <c r="A264" s="61" t="s">
        <v>1984</v>
      </c>
      <c r="B264" s="60">
        <v>2003072</v>
      </c>
      <c r="C264" s="60">
        <v>104118</v>
      </c>
      <c r="D264" s="62" t="s">
        <v>191</v>
      </c>
      <c r="E264" s="62">
        <v>65</v>
      </c>
      <c r="F264" s="62" t="s">
        <v>1432</v>
      </c>
      <c r="G264" s="62" t="s">
        <v>22</v>
      </c>
      <c r="H264" s="62" t="s">
        <v>2103</v>
      </c>
      <c r="I264" s="61" t="s">
        <v>2104</v>
      </c>
      <c r="J264" s="62" t="s">
        <v>1921</v>
      </c>
      <c r="K264" s="62">
        <v>3</v>
      </c>
      <c r="L264" s="134">
        <v>97284</v>
      </c>
      <c r="M264" s="71" t="s">
        <v>2254</v>
      </c>
      <c r="N264" s="64">
        <v>254721775077</v>
      </c>
    </row>
    <row r="265" spans="1:14" ht="33.75" x14ac:dyDescent="0.25">
      <c r="A265" s="68" t="s">
        <v>1565</v>
      </c>
      <c r="B265" s="75">
        <v>2023394</v>
      </c>
      <c r="C265" s="66">
        <v>57893</v>
      </c>
      <c r="D265" s="68" t="s">
        <v>2105</v>
      </c>
      <c r="E265" s="68">
        <v>4</v>
      </c>
      <c r="F265" s="68" t="s">
        <v>2106</v>
      </c>
      <c r="G265" s="68" t="s">
        <v>132</v>
      </c>
      <c r="H265" s="68" t="s">
        <v>2107</v>
      </c>
      <c r="I265" s="68" t="s">
        <v>2108</v>
      </c>
      <c r="J265" s="65" t="s">
        <v>1906</v>
      </c>
      <c r="K265" s="68">
        <v>4</v>
      </c>
      <c r="L265" s="135">
        <v>97837</v>
      </c>
      <c r="M265" s="73" t="s">
        <v>2254</v>
      </c>
      <c r="N265" s="70">
        <v>254723977077</v>
      </c>
    </row>
    <row r="266" spans="1:14" ht="33.75" x14ac:dyDescent="0.25">
      <c r="A266" s="61" t="s">
        <v>1575</v>
      </c>
      <c r="B266" s="59">
        <v>2402047</v>
      </c>
      <c r="C266" s="60">
        <v>20743</v>
      </c>
      <c r="D266" s="58" t="s">
        <v>2109</v>
      </c>
      <c r="E266" s="58">
        <v>70</v>
      </c>
      <c r="F266" s="58" t="s">
        <v>2110</v>
      </c>
      <c r="G266" s="58" t="s">
        <v>15</v>
      </c>
      <c r="H266" s="58" t="s">
        <v>2111</v>
      </c>
      <c r="I266" s="58" t="s">
        <v>1895</v>
      </c>
      <c r="J266" s="58" t="s">
        <v>1923</v>
      </c>
      <c r="K266" s="58">
        <v>5</v>
      </c>
      <c r="L266" s="137">
        <v>101320</v>
      </c>
      <c r="M266" s="77" t="s">
        <v>2254</v>
      </c>
      <c r="N266" s="64">
        <v>254721929930</v>
      </c>
    </row>
    <row r="267" spans="1:14" ht="22.5" x14ac:dyDescent="0.25">
      <c r="A267" s="68" t="s">
        <v>1768</v>
      </c>
      <c r="B267" s="66">
        <v>2004274</v>
      </c>
      <c r="C267" s="66">
        <v>12673</v>
      </c>
      <c r="D267" s="67" t="s">
        <v>2112</v>
      </c>
      <c r="E267" s="67">
        <v>68</v>
      </c>
      <c r="F267" s="67" t="s">
        <v>517</v>
      </c>
      <c r="G267" s="67" t="s">
        <v>22</v>
      </c>
      <c r="H267" s="67" t="s">
        <v>2113</v>
      </c>
      <c r="I267" s="68" t="s">
        <v>1567</v>
      </c>
      <c r="J267" s="67" t="s">
        <v>1908</v>
      </c>
      <c r="K267" s="67">
        <v>4</v>
      </c>
      <c r="L267" s="133">
        <v>107761</v>
      </c>
      <c r="M267" s="69" t="s">
        <v>2254</v>
      </c>
      <c r="N267" s="70">
        <v>254721929930</v>
      </c>
    </row>
    <row r="268" spans="1:14" ht="22.5" x14ac:dyDescent="0.25">
      <c r="A268" s="61" t="s">
        <v>1690</v>
      </c>
      <c r="B268" s="60">
        <v>2013818</v>
      </c>
      <c r="C268" s="60">
        <v>14250</v>
      </c>
      <c r="D268" s="62" t="s">
        <v>2114</v>
      </c>
      <c r="E268" s="62">
        <v>63</v>
      </c>
      <c r="F268" s="62" t="s">
        <v>14</v>
      </c>
      <c r="G268" s="62" t="s">
        <v>15</v>
      </c>
      <c r="H268" s="62" t="s">
        <v>2115</v>
      </c>
      <c r="I268" s="61" t="s">
        <v>1908</v>
      </c>
      <c r="J268" s="62" t="s">
        <v>1908</v>
      </c>
      <c r="K268" s="62" t="s">
        <v>556</v>
      </c>
      <c r="L268" s="134">
        <v>109445</v>
      </c>
      <c r="M268" s="71" t="s">
        <v>2254</v>
      </c>
      <c r="N268" s="64">
        <v>254724125679</v>
      </c>
    </row>
    <row r="269" spans="1:14" ht="22.5" x14ac:dyDescent="0.25">
      <c r="A269" s="68" t="s">
        <v>808</v>
      </c>
      <c r="B269" s="67">
        <v>2406012</v>
      </c>
      <c r="C269" s="67">
        <v>19127</v>
      </c>
      <c r="D269" s="67" t="s">
        <v>2116</v>
      </c>
      <c r="E269" s="67">
        <v>58</v>
      </c>
      <c r="F269" s="67" t="s">
        <v>60</v>
      </c>
      <c r="G269" s="67" t="s">
        <v>22</v>
      </c>
      <c r="H269" s="67" t="s">
        <v>793</v>
      </c>
      <c r="I269" s="68" t="s">
        <v>1895</v>
      </c>
      <c r="J269" s="67" t="s">
        <v>1895</v>
      </c>
      <c r="K269" s="67" t="s">
        <v>788</v>
      </c>
      <c r="L269" s="133">
        <v>110000</v>
      </c>
      <c r="M269" s="69" t="s">
        <v>2254</v>
      </c>
      <c r="N269" s="70">
        <v>254706490622</v>
      </c>
    </row>
    <row r="270" spans="1:14" ht="22.5" x14ac:dyDescent="0.25">
      <c r="A270" s="61" t="s">
        <v>808</v>
      </c>
      <c r="B270" s="62">
        <v>2009360</v>
      </c>
      <c r="C270" s="62">
        <v>17794</v>
      </c>
      <c r="D270" s="62" t="s">
        <v>2117</v>
      </c>
      <c r="E270" s="62">
        <v>66</v>
      </c>
      <c r="F270" s="62" t="s">
        <v>49</v>
      </c>
      <c r="G270" s="62" t="s">
        <v>15</v>
      </c>
      <c r="H270" s="62" t="s">
        <v>2118</v>
      </c>
      <c r="I270" s="61" t="s">
        <v>1913</v>
      </c>
      <c r="J270" s="62" t="s">
        <v>1913</v>
      </c>
      <c r="K270" s="62" t="s">
        <v>788</v>
      </c>
      <c r="L270" s="134">
        <v>110000</v>
      </c>
      <c r="M270" s="71" t="s">
        <v>2254</v>
      </c>
      <c r="N270" s="64">
        <v>254724601537</v>
      </c>
    </row>
    <row r="271" spans="1:14" ht="22.5" x14ac:dyDescent="0.25">
      <c r="A271" s="68" t="s">
        <v>808</v>
      </c>
      <c r="B271" s="67">
        <v>2007595</v>
      </c>
      <c r="C271" s="67">
        <v>17708</v>
      </c>
      <c r="D271" s="67" t="s">
        <v>2119</v>
      </c>
      <c r="E271" s="67"/>
      <c r="F271" s="67" t="s">
        <v>1499</v>
      </c>
      <c r="G271" s="67" t="s">
        <v>15</v>
      </c>
      <c r="H271" s="67" t="s">
        <v>791</v>
      </c>
      <c r="I271" s="68" t="s">
        <v>1922</v>
      </c>
      <c r="J271" s="67" t="s">
        <v>1922</v>
      </c>
      <c r="K271" s="67" t="s">
        <v>788</v>
      </c>
      <c r="L271" s="133">
        <v>110000</v>
      </c>
      <c r="M271" s="69" t="s">
        <v>2254</v>
      </c>
      <c r="N271" s="70">
        <v>254725200477</v>
      </c>
    </row>
    <row r="272" spans="1:14" ht="22.5" x14ac:dyDescent="0.25">
      <c r="A272" s="61" t="s">
        <v>1565</v>
      </c>
      <c r="B272" s="60">
        <v>2014079</v>
      </c>
      <c r="C272" s="60">
        <v>32310</v>
      </c>
      <c r="D272" s="62" t="s">
        <v>2120</v>
      </c>
      <c r="E272" s="62">
        <v>54</v>
      </c>
      <c r="F272" s="62" t="s">
        <v>2121</v>
      </c>
      <c r="G272" s="62" t="s">
        <v>15</v>
      </c>
      <c r="H272" s="62" t="s">
        <v>2122</v>
      </c>
      <c r="I272" s="61" t="s">
        <v>1908</v>
      </c>
      <c r="J272" s="62" t="s">
        <v>1895</v>
      </c>
      <c r="K272" s="62">
        <v>2</v>
      </c>
      <c r="L272" s="134">
        <v>114260</v>
      </c>
      <c r="M272" s="71" t="s">
        <v>2254</v>
      </c>
      <c r="N272" s="64">
        <v>254701537686</v>
      </c>
    </row>
    <row r="273" spans="1:14" x14ac:dyDescent="0.25">
      <c r="A273" s="65" t="s">
        <v>340</v>
      </c>
      <c r="B273" s="66">
        <v>2015275</v>
      </c>
      <c r="C273" s="66">
        <v>32066</v>
      </c>
      <c r="D273" s="67" t="s">
        <v>2123</v>
      </c>
      <c r="E273" s="67">
        <v>66</v>
      </c>
      <c r="F273" s="67" t="s">
        <v>2124</v>
      </c>
      <c r="G273" s="67" t="s">
        <v>22</v>
      </c>
      <c r="H273" s="67" t="s">
        <v>360</v>
      </c>
      <c r="I273" s="68" t="s">
        <v>1551</v>
      </c>
      <c r="J273" s="67" t="s">
        <v>1916</v>
      </c>
      <c r="K273" s="67">
        <v>6</v>
      </c>
      <c r="L273" s="133">
        <v>115137</v>
      </c>
      <c r="M273" s="69" t="s">
        <v>2254</v>
      </c>
      <c r="N273" s="70">
        <v>254720269792</v>
      </c>
    </row>
    <row r="274" spans="1:14" x14ac:dyDescent="0.25">
      <c r="A274" s="61" t="s">
        <v>354</v>
      </c>
      <c r="B274" s="60">
        <v>2508190</v>
      </c>
      <c r="C274" s="60">
        <v>21257</v>
      </c>
      <c r="D274" s="62" t="s">
        <v>1627</v>
      </c>
      <c r="E274" s="62">
        <v>55</v>
      </c>
      <c r="F274" s="62" t="s">
        <v>1628</v>
      </c>
      <c r="G274" s="62" t="s">
        <v>15</v>
      </c>
      <c r="H274" s="62" t="s">
        <v>2125</v>
      </c>
      <c r="I274" s="61" t="s">
        <v>1543</v>
      </c>
      <c r="J274" s="62" t="s">
        <v>1895</v>
      </c>
      <c r="K274" s="62">
        <v>7</v>
      </c>
      <c r="L274" s="134">
        <v>117625</v>
      </c>
      <c r="M274" s="71" t="s">
        <v>2254</v>
      </c>
      <c r="N274" s="64">
        <v>254721468007</v>
      </c>
    </row>
    <row r="275" spans="1:14" ht="22.5" x14ac:dyDescent="0.25">
      <c r="A275" s="68" t="s">
        <v>373</v>
      </c>
      <c r="B275" s="66">
        <v>2015319</v>
      </c>
      <c r="C275" s="66">
        <v>18635</v>
      </c>
      <c r="D275" s="67" t="s">
        <v>2126</v>
      </c>
      <c r="E275" s="67">
        <v>63</v>
      </c>
      <c r="F275" s="67" t="s">
        <v>60</v>
      </c>
      <c r="G275" s="67" t="s">
        <v>22</v>
      </c>
      <c r="H275" s="67" t="s">
        <v>2127</v>
      </c>
      <c r="I275" s="68" t="s">
        <v>1895</v>
      </c>
      <c r="J275" s="67" t="s">
        <v>1895</v>
      </c>
      <c r="K275" s="67" t="s">
        <v>714</v>
      </c>
      <c r="L275" s="133">
        <v>122824.43</v>
      </c>
      <c r="M275" s="69" t="s">
        <v>2254</v>
      </c>
      <c r="N275" s="70">
        <v>254707475757</v>
      </c>
    </row>
    <row r="276" spans="1:14" x14ac:dyDescent="0.25">
      <c r="A276" s="61" t="s">
        <v>1708</v>
      </c>
      <c r="B276" s="60">
        <v>2018024</v>
      </c>
      <c r="C276" s="60">
        <v>58041</v>
      </c>
      <c r="D276" s="62" t="s">
        <v>2128</v>
      </c>
      <c r="E276" s="62">
        <v>61</v>
      </c>
      <c r="F276" s="62" t="s">
        <v>2129</v>
      </c>
      <c r="G276" s="62" t="s">
        <v>22</v>
      </c>
      <c r="H276" s="62" t="s">
        <v>2130</v>
      </c>
      <c r="I276" s="61" t="s">
        <v>1543</v>
      </c>
      <c r="J276" s="62" t="s">
        <v>1908</v>
      </c>
      <c r="K276" s="62">
        <v>5</v>
      </c>
      <c r="L276" s="134">
        <v>132853.62</v>
      </c>
      <c r="M276" s="71" t="s">
        <v>2254</v>
      </c>
      <c r="N276" s="64">
        <v>254717451764</v>
      </c>
    </row>
    <row r="277" spans="1:14" ht="22.5" x14ac:dyDescent="0.25">
      <c r="A277" s="68" t="s">
        <v>53</v>
      </c>
      <c r="B277" s="66">
        <v>2019232</v>
      </c>
      <c r="C277" s="66">
        <v>104495</v>
      </c>
      <c r="D277" s="67" t="s">
        <v>2131</v>
      </c>
      <c r="E277" s="67">
        <v>64</v>
      </c>
      <c r="F277" s="67" t="s">
        <v>126</v>
      </c>
      <c r="G277" s="67" t="s">
        <v>664</v>
      </c>
      <c r="H277" s="67" t="s">
        <v>2132</v>
      </c>
      <c r="I277" s="68" t="s">
        <v>1921</v>
      </c>
      <c r="J277" s="67" t="s">
        <v>1921</v>
      </c>
      <c r="K277" s="67" t="s">
        <v>2133</v>
      </c>
      <c r="L277" s="133">
        <v>144353.44</v>
      </c>
      <c r="M277" s="69" t="s">
        <v>2254</v>
      </c>
      <c r="N277" s="70">
        <v>254719250639</v>
      </c>
    </row>
    <row r="278" spans="1:14" x14ac:dyDescent="0.25">
      <c r="A278" s="61" t="s">
        <v>354</v>
      </c>
      <c r="B278" s="80">
        <v>2507448</v>
      </c>
      <c r="C278" s="60">
        <v>81740</v>
      </c>
      <c r="D278" s="60" t="s">
        <v>2134</v>
      </c>
      <c r="E278" s="62">
        <v>42</v>
      </c>
      <c r="F278" s="62" t="s">
        <v>2135</v>
      </c>
      <c r="G278" s="62" t="s">
        <v>22</v>
      </c>
      <c r="H278" s="62" t="s">
        <v>2136</v>
      </c>
      <c r="I278" s="61" t="s">
        <v>1675</v>
      </c>
      <c r="J278" s="62" t="s">
        <v>1922</v>
      </c>
      <c r="K278" s="62">
        <v>16</v>
      </c>
      <c r="L278" s="134">
        <v>152675.9</v>
      </c>
      <c r="M278" s="71" t="s">
        <v>2254</v>
      </c>
      <c r="N278" s="64">
        <v>254722787610</v>
      </c>
    </row>
    <row r="279" spans="1:14" ht="22.5" x14ac:dyDescent="0.25">
      <c r="A279" s="68" t="s">
        <v>726</v>
      </c>
      <c r="B279" s="75">
        <v>2009023</v>
      </c>
      <c r="C279" s="66">
        <v>18240</v>
      </c>
      <c r="D279" s="68" t="s">
        <v>1191</v>
      </c>
      <c r="E279" s="68">
        <v>42</v>
      </c>
      <c r="F279" s="68" t="s">
        <v>14</v>
      </c>
      <c r="G279" s="68" t="s">
        <v>15</v>
      </c>
      <c r="H279" s="68" t="s">
        <v>2137</v>
      </c>
      <c r="I279" s="68" t="s">
        <v>1911</v>
      </c>
      <c r="J279" s="68" t="s">
        <v>1911</v>
      </c>
      <c r="K279" s="67" t="s">
        <v>714</v>
      </c>
      <c r="L279" s="135">
        <v>154500</v>
      </c>
      <c r="M279" s="73" t="s">
        <v>2254</v>
      </c>
      <c r="N279" s="70">
        <v>254724074168</v>
      </c>
    </row>
    <row r="280" spans="1:14" ht="22.5" x14ac:dyDescent="0.25">
      <c r="A280" s="61" t="s">
        <v>43</v>
      </c>
      <c r="B280" s="74">
        <v>2002558</v>
      </c>
      <c r="C280" s="60">
        <v>31385</v>
      </c>
      <c r="D280" s="61" t="s">
        <v>2138</v>
      </c>
      <c r="E280" s="61">
        <v>64</v>
      </c>
      <c r="F280" s="58" t="s">
        <v>126</v>
      </c>
      <c r="G280" s="58" t="s">
        <v>22</v>
      </c>
      <c r="H280" s="61" t="s">
        <v>2139</v>
      </c>
      <c r="I280" s="58" t="s">
        <v>1918</v>
      </c>
      <c r="J280" s="58" t="s">
        <v>1918</v>
      </c>
      <c r="K280" s="62" t="s">
        <v>556</v>
      </c>
      <c r="L280" s="132">
        <v>155876</v>
      </c>
      <c r="M280" s="63" t="s">
        <v>2254</v>
      </c>
      <c r="N280" s="64">
        <v>254726508593</v>
      </c>
    </row>
    <row r="281" spans="1:14" ht="22.5" x14ac:dyDescent="0.25">
      <c r="A281" s="68" t="s">
        <v>1656</v>
      </c>
      <c r="B281" s="66">
        <v>2502061</v>
      </c>
      <c r="C281" s="66">
        <v>87860</v>
      </c>
      <c r="D281" s="67" t="s">
        <v>2140</v>
      </c>
      <c r="E281" s="67">
        <v>1.5</v>
      </c>
      <c r="F281" s="67" t="s">
        <v>2141</v>
      </c>
      <c r="G281" s="67" t="s">
        <v>132</v>
      </c>
      <c r="H281" s="67" t="s">
        <v>2142</v>
      </c>
      <c r="I281" s="68" t="s">
        <v>2143</v>
      </c>
      <c r="J281" s="67" t="s">
        <v>1893</v>
      </c>
      <c r="K281" s="67">
        <v>7</v>
      </c>
      <c r="L281" s="133">
        <v>158505.45000000001</v>
      </c>
      <c r="M281" s="69" t="s">
        <v>2254</v>
      </c>
      <c r="N281" s="70">
        <v>254114750084</v>
      </c>
    </row>
    <row r="282" spans="1:14" ht="22.5" x14ac:dyDescent="0.25">
      <c r="A282" s="61" t="s">
        <v>1690</v>
      </c>
      <c r="B282" s="60">
        <v>2014982</v>
      </c>
      <c r="C282" s="60">
        <v>13660</v>
      </c>
      <c r="D282" s="62" t="s">
        <v>2144</v>
      </c>
      <c r="E282" s="62">
        <v>66</v>
      </c>
      <c r="F282" s="62" t="s">
        <v>1780</v>
      </c>
      <c r="G282" s="62" t="s">
        <v>22</v>
      </c>
      <c r="H282" s="62" t="s">
        <v>2145</v>
      </c>
      <c r="I282" s="61" t="s">
        <v>1916</v>
      </c>
      <c r="J282" s="62" t="s">
        <v>1916</v>
      </c>
      <c r="K282" s="62" t="s">
        <v>714</v>
      </c>
      <c r="L282" s="134">
        <v>160850</v>
      </c>
      <c r="M282" s="71" t="s">
        <v>2254</v>
      </c>
      <c r="N282" s="64">
        <v>721156854</v>
      </c>
    </row>
    <row r="283" spans="1:14" ht="22.5" x14ac:dyDescent="0.25">
      <c r="A283" s="68" t="s">
        <v>53</v>
      </c>
      <c r="B283" s="75">
        <v>2009790</v>
      </c>
      <c r="C283" s="66">
        <v>18258</v>
      </c>
      <c r="D283" s="68" t="s">
        <v>2146</v>
      </c>
      <c r="E283" s="68">
        <v>50</v>
      </c>
      <c r="F283" s="68" t="s">
        <v>2147</v>
      </c>
      <c r="G283" s="68" t="s">
        <v>15</v>
      </c>
      <c r="H283" s="68" t="s">
        <v>2148</v>
      </c>
      <c r="I283" s="68" t="s">
        <v>2048</v>
      </c>
      <c r="J283" s="65" t="s">
        <v>1906</v>
      </c>
      <c r="K283" s="68">
        <v>4</v>
      </c>
      <c r="L283" s="135">
        <v>161222</v>
      </c>
      <c r="M283" s="73" t="s">
        <v>2254</v>
      </c>
      <c r="N283" s="70">
        <v>254752316316</v>
      </c>
    </row>
    <row r="284" spans="1:14" x14ac:dyDescent="0.25">
      <c r="A284" s="61" t="s">
        <v>274</v>
      </c>
      <c r="B284" s="74">
        <v>2015924</v>
      </c>
      <c r="C284" s="60">
        <v>37303</v>
      </c>
      <c r="D284" s="61" t="s">
        <v>2149</v>
      </c>
      <c r="E284" s="61">
        <v>47</v>
      </c>
      <c r="F284" s="61" t="s">
        <v>2150</v>
      </c>
      <c r="G284" s="61" t="s">
        <v>22</v>
      </c>
      <c r="H284" s="61" t="s">
        <v>2151</v>
      </c>
      <c r="I284" s="61" t="s">
        <v>2152</v>
      </c>
      <c r="J284" s="61" t="s">
        <v>1928</v>
      </c>
      <c r="K284" s="61">
        <v>20</v>
      </c>
      <c r="L284" s="137">
        <v>166099.69</v>
      </c>
      <c r="M284" s="77" t="s">
        <v>2254</v>
      </c>
      <c r="N284" s="64">
        <v>254725560378</v>
      </c>
    </row>
    <row r="285" spans="1:14" ht="22.5" x14ac:dyDescent="0.25">
      <c r="A285" s="68" t="s">
        <v>53</v>
      </c>
      <c r="B285" s="66">
        <v>2012481</v>
      </c>
      <c r="C285" s="66">
        <v>10103</v>
      </c>
      <c r="D285" s="67" t="s">
        <v>1267</v>
      </c>
      <c r="E285" s="67">
        <v>65</v>
      </c>
      <c r="F285" s="67" t="s">
        <v>60</v>
      </c>
      <c r="G285" s="67" t="s">
        <v>22</v>
      </c>
      <c r="H285" s="67" t="s">
        <v>2153</v>
      </c>
      <c r="I285" s="68" t="s">
        <v>2154</v>
      </c>
      <c r="J285" s="67" t="s">
        <v>1913</v>
      </c>
      <c r="K285" s="67" t="s">
        <v>714</v>
      </c>
      <c r="L285" s="133">
        <v>167380</v>
      </c>
      <c r="M285" s="69" t="s">
        <v>2254</v>
      </c>
      <c r="N285" s="70">
        <v>254714417008</v>
      </c>
    </row>
    <row r="286" spans="1:14" ht="22.5" x14ac:dyDescent="0.25">
      <c r="A286" s="61" t="s">
        <v>1180</v>
      </c>
      <c r="B286" s="60">
        <v>2601095</v>
      </c>
      <c r="C286" s="60">
        <v>65384</v>
      </c>
      <c r="D286" s="62" t="s">
        <v>2155</v>
      </c>
      <c r="E286" s="62">
        <v>59</v>
      </c>
      <c r="F286" s="62" t="s">
        <v>60</v>
      </c>
      <c r="G286" s="62" t="s">
        <v>22</v>
      </c>
      <c r="H286" s="62" t="s">
        <v>1182</v>
      </c>
      <c r="I286" s="61" t="s">
        <v>2156</v>
      </c>
      <c r="J286" s="62" t="s">
        <v>1908</v>
      </c>
      <c r="K286" s="62" t="s">
        <v>788</v>
      </c>
      <c r="L286" s="134">
        <v>170000</v>
      </c>
      <c r="M286" s="71" t="s">
        <v>2254</v>
      </c>
      <c r="N286" s="64">
        <v>254707978001</v>
      </c>
    </row>
    <row r="287" spans="1:14" ht="22.5" x14ac:dyDescent="0.25">
      <c r="A287" s="68" t="s">
        <v>1180</v>
      </c>
      <c r="B287" s="72">
        <v>2001213</v>
      </c>
      <c r="C287" s="66">
        <v>20561</v>
      </c>
      <c r="D287" s="65" t="s">
        <v>2157</v>
      </c>
      <c r="E287" s="65">
        <v>71</v>
      </c>
      <c r="F287" s="65" t="s">
        <v>60</v>
      </c>
      <c r="G287" s="65" t="s">
        <v>22</v>
      </c>
      <c r="H287" s="65" t="s">
        <v>2158</v>
      </c>
      <c r="I287" s="65" t="s">
        <v>2159</v>
      </c>
      <c r="J287" s="65" t="s">
        <v>1911</v>
      </c>
      <c r="K287" s="65" t="s">
        <v>1957</v>
      </c>
      <c r="L287" s="135">
        <v>170516</v>
      </c>
      <c r="M287" s="73" t="s">
        <v>2254</v>
      </c>
      <c r="N287" s="70">
        <v>254720744613</v>
      </c>
    </row>
    <row r="288" spans="1:14" ht="22.5" x14ac:dyDescent="0.25">
      <c r="A288" s="61" t="s">
        <v>1690</v>
      </c>
      <c r="B288" s="60">
        <v>2001355</v>
      </c>
      <c r="C288" s="60">
        <v>4799</v>
      </c>
      <c r="D288" s="62" t="s">
        <v>2160</v>
      </c>
      <c r="E288" s="62">
        <v>78</v>
      </c>
      <c r="F288" s="62" t="s">
        <v>2161</v>
      </c>
      <c r="G288" s="62" t="s">
        <v>22</v>
      </c>
      <c r="H288" s="62" t="s">
        <v>2162</v>
      </c>
      <c r="I288" s="61" t="s">
        <v>1923</v>
      </c>
      <c r="J288" s="62" t="s">
        <v>1921</v>
      </c>
      <c r="K288" s="62">
        <v>4</v>
      </c>
      <c r="L288" s="134">
        <v>173509</v>
      </c>
      <c r="M288" s="71" t="s">
        <v>2254</v>
      </c>
      <c r="N288" s="64">
        <v>254722301464</v>
      </c>
    </row>
    <row r="289" spans="1:14" x14ac:dyDescent="0.25">
      <c r="A289" s="68" t="s">
        <v>422</v>
      </c>
      <c r="B289" s="66">
        <v>2002424</v>
      </c>
      <c r="C289" s="66">
        <v>11091</v>
      </c>
      <c r="D289" s="67" t="s">
        <v>2163</v>
      </c>
      <c r="E289" s="67">
        <v>69</v>
      </c>
      <c r="F289" s="67" t="s">
        <v>2164</v>
      </c>
      <c r="G289" s="67" t="s">
        <v>22</v>
      </c>
      <c r="H289" s="67" t="s">
        <v>737</v>
      </c>
      <c r="I289" s="68" t="s">
        <v>1928</v>
      </c>
      <c r="J289" s="67" t="s">
        <v>1928</v>
      </c>
      <c r="K289" s="67" t="s">
        <v>714</v>
      </c>
      <c r="L289" s="133">
        <v>179591</v>
      </c>
      <c r="M289" s="69" t="s">
        <v>2254</v>
      </c>
      <c r="N289" s="70">
        <v>254712372982</v>
      </c>
    </row>
    <row r="290" spans="1:14" ht="33.75" x14ac:dyDescent="0.25">
      <c r="A290" s="61" t="s">
        <v>2165</v>
      </c>
      <c r="B290" s="74">
        <v>2006498</v>
      </c>
      <c r="C290" s="60">
        <v>11078</v>
      </c>
      <c r="D290" s="61" t="s">
        <v>2166</v>
      </c>
      <c r="E290" s="61">
        <v>50</v>
      </c>
      <c r="F290" s="61" t="s">
        <v>2167</v>
      </c>
      <c r="G290" s="61" t="s">
        <v>15</v>
      </c>
      <c r="H290" s="61" t="s">
        <v>2168</v>
      </c>
      <c r="I290" s="61" t="s">
        <v>1908</v>
      </c>
      <c r="J290" s="61" t="s">
        <v>1898</v>
      </c>
      <c r="K290" s="61">
        <v>9</v>
      </c>
      <c r="L290" s="137">
        <v>180100</v>
      </c>
      <c r="M290" s="77" t="s">
        <v>2254</v>
      </c>
      <c r="N290" s="64">
        <v>254720367477</v>
      </c>
    </row>
    <row r="291" spans="1:14" ht="22.5" x14ac:dyDescent="0.25">
      <c r="A291" s="68" t="s">
        <v>1565</v>
      </c>
      <c r="B291" s="66">
        <v>2018550</v>
      </c>
      <c r="C291" s="66">
        <v>32301</v>
      </c>
      <c r="D291" s="67" t="s">
        <v>2169</v>
      </c>
      <c r="E291" s="67">
        <v>62</v>
      </c>
      <c r="F291" s="67" t="s">
        <v>2170</v>
      </c>
      <c r="G291" s="67" t="s">
        <v>22</v>
      </c>
      <c r="H291" s="67" t="s">
        <v>2171</v>
      </c>
      <c r="I291" s="68" t="s">
        <v>1908</v>
      </c>
      <c r="J291" s="67" t="s">
        <v>1895</v>
      </c>
      <c r="K291" s="67">
        <v>3</v>
      </c>
      <c r="L291" s="133">
        <v>184467</v>
      </c>
      <c r="M291" s="69" t="s">
        <v>2254</v>
      </c>
      <c r="N291" s="70">
        <v>254721421817</v>
      </c>
    </row>
    <row r="292" spans="1:14" x14ac:dyDescent="0.25">
      <c r="A292" s="62" t="s">
        <v>1250</v>
      </c>
      <c r="B292" s="60">
        <v>2017891</v>
      </c>
      <c r="C292" s="60">
        <v>15761</v>
      </c>
      <c r="D292" s="62" t="s">
        <v>2172</v>
      </c>
      <c r="E292" s="62">
        <v>40</v>
      </c>
      <c r="F292" s="62" t="s">
        <v>49</v>
      </c>
      <c r="G292" s="62" t="s">
        <v>15</v>
      </c>
      <c r="H292" s="62" t="s">
        <v>2173</v>
      </c>
      <c r="I292" s="61" t="s">
        <v>1559</v>
      </c>
      <c r="J292" s="62" t="s">
        <v>1895</v>
      </c>
      <c r="K292" s="62">
        <v>4</v>
      </c>
      <c r="L292" s="134">
        <v>186343</v>
      </c>
      <c r="M292" s="71" t="s">
        <v>2254</v>
      </c>
      <c r="N292" s="64">
        <v>254721421817</v>
      </c>
    </row>
    <row r="293" spans="1:14" ht="33.75" x14ac:dyDescent="0.25">
      <c r="A293" s="68" t="s">
        <v>43</v>
      </c>
      <c r="B293" s="72">
        <v>2001990</v>
      </c>
      <c r="C293" s="66">
        <v>14236</v>
      </c>
      <c r="D293" s="65" t="s">
        <v>2174</v>
      </c>
      <c r="E293" s="65">
        <v>70</v>
      </c>
      <c r="F293" s="65" t="s">
        <v>2175</v>
      </c>
      <c r="G293" s="65" t="s">
        <v>22</v>
      </c>
      <c r="H293" s="65" t="s">
        <v>2176</v>
      </c>
      <c r="I293" s="65" t="s">
        <v>1895</v>
      </c>
      <c r="J293" s="65" t="s">
        <v>1918</v>
      </c>
      <c r="K293" s="65">
        <v>6</v>
      </c>
      <c r="L293" s="135">
        <v>191357</v>
      </c>
      <c r="M293" s="73" t="s">
        <v>2254</v>
      </c>
      <c r="N293" s="70">
        <v>254721681450</v>
      </c>
    </row>
    <row r="294" spans="1:14" ht="22.5" x14ac:dyDescent="0.25">
      <c r="A294" s="61" t="s">
        <v>1738</v>
      </c>
      <c r="B294" s="74">
        <v>2505041</v>
      </c>
      <c r="C294" s="60">
        <v>61001</v>
      </c>
      <c r="D294" s="61" t="s">
        <v>1739</v>
      </c>
      <c r="E294" s="61">
        <v>62</v>
      </c>
      <c r="F294" s="61" t="s">
        <v>1740</v>
      </c>
      <c r="G294" s="61" t="s">
        <v>22</v>
      </c>
      <c r="H294" s="61" t="s">
        <v>2177</v>
      </c>
      <c r="I294" s="61" t="s">
        <v>1928</v>
      </c>
      <c r="J294" s="58" t="s">
        <v>1918</v>
      </c>
      <c r="K294" s="61">
        <v>5</v>
      </c>
      <c r="L294" s="132">
        <v>193725</v>
      </c>
      <c r="M294" s="63" t="s">
        <v>2254</v>
      </c>
      <c r="N294" s="64">
        <v>254720242011</v>
      </c>
    </row>
    <row r="295" spans="1:14" ht="22.5" x14ac:dyDescent="0.25">
      <c r="A295" s="68" t="s">
        <v>117</v>
      </c>
      <c r="B295" s="66">
        <v>2019370</v>
      </c>
      <c r="C295" s="66">
        <v>60236</v>
      </c>
      <c r="D295" s="67" t="s">
        <v>2178</v>
      </c>
      <c r="E295" s="67">
        <v>60</v>
      </c>
      <c r="F295" s="67" t="s">
        <v>2179</v>
      </c>
      <c r="G295" s="67" t="s">
        <v>22</v>
      </c>
      <c r="H295" s="67" t="s">
        <v>227</v>
      </c>
      <c r="I295" s="68" t="s">
        <v>1543</v>
      </c>
      <c r="J295" s="67" t="s">
        <v>1928</v>
      </c>
      <c r="K295" s="67">
        <v>8</v>
      </c>
      <c r="L295" s="133">
        <v>197385</v>
      </c>
      <c r="M295" s="69" t="s">
        <v>2254</v>
      </c>
      <c r="N295" s="70">
        <v>254720242011</v>
      </c>
    </row>
    <row r="296" spans="1:14" ht="22.5" x14ac:dyDescent="0.25">
      <c r="A296" s="61" t="s">
        <v>1653</v>
      </c>
      <c r="B296" s="80">
        <v>2019694</v>
      </c>
      <c r="C296" s="60">
        <v>130106</v>
      </c>
      <c r="D296" s="60" t="s">
        <v>2180</v>
      </c>
      <c r="E296" s="62">
        <v>42</v>
      </c>
      <c r="F296" s="62" t="s">
        <v>49</v>
      </c>
      <c r="G296" s="62" t="s">
        <v>15</v>
      </c>
      <c r="H296" s="62" t="s">
        <v>2181</v>
      </c>
      <c r="I296" s="61" t="s">
        <v>1922</v>
      </c>
      <c r="J296" s="62" t="s">
        <v>1922</v>
      </c>
      <c r="K296" s="62" t="s">
        <v>556</v>
      </c>
      <c r="L296" s="134">
        <v>203228</v>
      </c>
      <c r="M296" s="71" t="s">
        <v>2254</v>
      </c>
      <c r="N296" s="64">
        <v>254720242011</v>
      </c>
    </row>
    <row r="297" spans="1:14" x14ac:dyDescent="0.25">
      <c r="A297" s="67" t="s">
        <v>228</v>
      </c>
      <c r="B297" s="66">
        <v>2501066</v>
      </c>
      <c r="C297" s="66">
        <v>93352</v>
      </c>
      <c r="D297" s="67" t="s">
        <v>2182</v>
      </c>
      <c r="E297" s="67">
        <v>38</v>
      </c>
      <c r="F297" s="67" t="s">
        <v>2183</v>
      </c>
      <c r="G297" s="67" t="s">
        <v>22</v>
      </c>
      <c r="H297" s="67" t="s">
        <v>471</v>
      </c>
      <c r="I297" s="68" t="s">
        <v>1542</v>
      </c>
      <c r="J297" s="67" t="s">
        <v>1895</v>
      </c>
      <c r="K297" s="67">
        <v>14</v>
      </c>
      <c r="L297" s="133">
        <v>207033.3</v>
      </c>
      <c r="M297" s="69" t="s">
        <v>2254</v>
      </c>
      <c r="N297" s="70">
        <v>254711864528</v>
      </c>
    </row>
    <row r="298" spans="1:14" x14ac:dyDescent="0.25">
      <c r="A298" s="61" t="s">
        <v>63</v>
      </c>
      <c r="B298" s="80">
        <v>2006989</v>
      </c>
      <c r="C298" s="60">
        <v>31311</v>
      </c>
      <c r="D298" s="60" t="s">
        <v>2184</v>
      </c>
      <c r="E298" s="62">
        <v>63</v>
      </c>
      <c r="F298" s="62" t="s">
        <v>2185</v>
      </c>
      <c r="G298" s="62" t="s">
        <v>15</v>
      </c>
      <c r="H298" s="62" t="s">
        <v>2186</v>
      </c>
      <c r="I298" s="61" t="s">
        <v>2016</v>
      </c>
      <c r="J298" s="62" t="s">
        <v>1922</v>
      </c>
      <c r="K298" s="62">
        <v>2</v>
      </c>
      <c r="L298" s="134">
        <v>207831</v>
      </c>
      <c r="M298" s="71" t="s">
        <v>2254</v>
      </c>
      <c r="N298" s="64">
        <v>254722955242</v>
      </c>
    </row>
    <row r="299" spans="1:14" ht="22.5" x14ac:dyDescent="0.25">
      <c r="A299" s="68" t="s">
        <v>53</v>
      </c>
      <c r="B299" s="66">
        <v>2000084</v>
      </c>
      <c r="C299" s="66">
        <v>17767</v>
      </c>
      <c r="D299" s="67" t="s">
        <v>2187</v>
      </c>
      <c r="E299" s="67">
        <v>69</v>
      </c>
      <c r="F299" s="67" t="s">
        <v>1935</v>
      </c>
      <c r="G299" s="67" t="s">
        <v>22</v>
      </c>
      <c r="H299" s="67" t="s">
        <v>2188</v>
      </c>
      <c r="I299" s="68" t="s">
        <v>2189</v>
      </c>
      <c r="J299" s="67" t="s">
        <v>1921</v>
      </c>
      <c r="K299" s="67">
        <v>2</v>
      </c>
      <c r="L299" s="133">
        <v>223578</v>
      </c>
      <c r="M299" s="69" t="s">
        <v>2254</v>
      </c>
      <c r="N299" s="70">
        <v>254725361028</v>
      </c>
    </row>
    <row r="300" spans="1:14" x14ac:dyDescent="0.25">
      <c r="A300" s="61" t="s">
        <v>72</v>
      </c>
      <c r="B300" s="74">
        <v>2015079</v>
      </c>
      <c r="C300" s="60">
        <v>14150</v>
      </c>
      <c r="D300" s="61" t="s">
        <v>2190</v>
      </c>
      <c r="E300" s="61">
        <v>68</v>
      </c>
      <c r="F300" s="58" t="s">
        <v>126</v>
      </c>
      <c r="G300" s="58" t="s">
        <v>22</v>
      </c>
      <c r="H300" s="61" t="s">
        <v>445</v>
      </c>
      <c r="I300" s="58" t="s">
        <v>1918</v>
      </c>
      <c r="J300" s="58" t="s">
        <v>1918</v>
      </c>
      <c r="K300" s="62" t="s">
        <v>714</v>
      </c>
      <c r="L300" s="132">
        <v>224296</v>
      </c>
      <c r="M300" s="63" t="s">
        <v>2254</v>
      </c>
      <c r="N300" s="64">
        <v>254722946435</v>
      </c>
    </row>
    <row r="301" spans="1:14" ht="33.75" x14ac:dyDescent="0.25">
      <c r="A301" s="68" t="s">
        <v>354</v>
      </c>
      <c r="B301" s="75">
        <v>2001529</v>
      </c>
      <c r="C301" s="66">
        <v>4598</v>
      </c>
      <c r="D301" s="68" t="s">
        <v>2191</v>
      </c>
      <c r="E301" s="68">
        <v>72</v>
      </c>
      <c r="F301" s="68" t="s">
        <v>2192</v>
      </c>
      <c r="G301" s="68" t="s">
        <v>22</v>
      </c>
      <c r="H301" s="68" t="s">
        <v>2193</v>
      </c>
      <c r="I301" s="68" t="s">
        <v>1567</v>
      </c>
      <c r="J301" s="65" t="s">
        <v>1906</v>
      </c>
      <c r="K301" s="65">
        <v>14</v>
      </c>
      <c r="L301" s="135">
        <v>224510.89</v>
      </c>
      <c r="M301" s="73" t="s">
        <v>2254</v>
      </c>
      <c r="N301" s="70">
        <v>254722975509</v>
      </c>
    </row>
    <row r="302" spans="1:14" x14ac:dyDescent="0.25">
      <c r="A302" s="61" t="s">
        <v>63</v>
      </c>
      <c r="B302" s="60">
        <v>2014910</v>
      </c>
      <c r="C302" s="60">
        <v>31110</v>
      </c>
      <c r="D302" s="62" t="s">
        <v>1536</v>
      </c>
      <c r="E302" s="62">
        <v>59</v>
      </c>
      <c r="F302" s="62" t="s">
        <v>2194</v>
      </c>
      <c r="G302" s="62" t="s">
        <v>15</v>
      </c>
      <c r="H302" s="62" t="s">
        <v>2195</v>
      </c>
      <c r="I302" s="61" t="s">
        <v>1911</v>
      </c>
      <c r="J302" s="62" t="s">
        <v>1928</v>
      </c>
      <c r="K302" s="62">
        <v>2</v>
      </c>
      <c r="L302" s="134">
        <v>228856</v>
      </c>
      <c r="M302" s="71" t="s">
        <v>2254</v>
      </c>
      <c r="N302" s="64">
        <v>254710202545</v>
      </c>
    </row>
    <row r="303" spans="1:14" x14ac:dyDescent="0.25">
      <c r="A303" s="68" t="s">
        <v>63</v>
      </c>
      <c r="B303" s="66">
        <v>2407508</v>
      </c>
      <c r="C303" s="66">
        <v>57704</v>
      </c>
      <c r="D303" s="67" t="s">
        <v>2196</v>
      </c>
      <c r="E303" s="67">
        <v>61</v>
      </c>
      <c r="F303" s="67" t="s">
        <v>226</v>
      </c>
      <c r="G303" s="67" t="s">
        <v>22</v>
      </c>
      <c r="H303" s="67" t="s">
        <v>2197</v>
      </c>
      <c r="I303" s="68" t="s">
        <v>1928</v>
      </c>
      <c r="J303" s="67" t="s">
        <v>1928</v>
      </c>
      <c r="K303" s="67" t="s">
        <v>556</v>
      </c>
      <c r="L303" s="133">
        <v>238482</v>
      </c>
      <c r="M303" s="69" t="s">
        <v>2254</v>
      </c>
      <c r="N303" s="70">
        <v>254726788384</v>
      </c>
    </row>
    <row r="304" spans="1:14" x14ac:dyDescent="0.25">
      <c r="A304" s="61" t="s">
        <v>785</v>
      </c>
      <c r="B304" s="74">
        <v>2002518</v>
      </c>
      <c r="C304" s="60">
        <v>33078</v>
      </c>
      <c r="D304" s="61" t="s">
        <v>1747</v>
      </c>
      <c r="E304" s="61">
        <v>56</v>
      </c>
      <c r="F304" s="58" t="s">
        <v>126</v>
      </c>
      <c r="G304" s="58" t="s">
        <v>22</v>
      </c>
      <c r="H304" s="61" t="s">
        <v>1312</v>
      </c>
      <c r="I304" s="58" t="s">
        <v>1918</v>
      </c>
      <c r="J304" s="58" t="s">
        <v>1918</v>
      </c>
      <c r="K304" s="62" t="s">
        <v>788</v>
      </c>
      <c r="L304" s="132">
        <v>240000</v>
      </c>
      <c r="M304" s="63" t="s">
        <v>2254</v>
      </c>
      <c r="N304" s="64">
        <v>254720659401</v>
      </c>
    </row>
    <row r="305" spans="1:14" ht="33.75" x14ac:dyDescent="0.25">
      <c r="A305" s="68" t="s">
        <v>373</v>
      </c>
      <c r="B305" s="75">
        <v>2009449</v>
      </c>
      <c r="C305" s="66">
        <v>17555</v>
      </c>
      <c r="D305" s="68" t="s">
        <v>2198</v>
      </c>
      <c r="E305" s="68">
        <v>67</v>
      </c>
      <c r="F305" s="68" t="s">
        <v>2199</v>
      </c>
      <c r="G305" s="68" t="s">
        <v>15</v>
      </c>
      <c r="H305" s="68" t="s">
        <v>2200</v>
      </c>
      <c r="I305" s="68" t="s">
        <v>1923</v>
      </c>
      <c r="J305" s="65" t="s">
        <v>1906</v>
      </c>
      <c r="K305" s="68">
        <v>3</v>
      </c>
      <c r="L305" s="135">
        <v>248222.88</v>
      </c>
      <c r="M305" s="73" t="s">
        <v>2254</v>
      </c>
      <c r="N305" s="70">
        <v>254720659401</v>
      </c>
    </row>
    <row r="306" spans="1:14" ht="22.5" x14ac:dyDescent="0.25">
      <c r="A306" s="61" t="s">
        <v>544</v>
      </c>
      <c r="B306" s="80">
        <v>2003908</v>
      </c>
      <c r="C306" s="60">
        <v>15158</v>
      </c>
      <c r="D306" s="60" t="s">
        <v>693</v>
      </c>
      <c r="E306" s="62">
        <v>65</v>
      </c>
      <c r="F306" s="62" t="s">
        <v>60</v>
      </c>
      <c r="G306" s="62" t="s">
        <v>22</v>
      </c>
      <c r="H306" s="62" t="s">
        <v>514</v>
      </c>
      <c r="I306" s="61" t="s">
        <v>2050</v>
      </c>
      <c r="J306" s="62" t="s">
        <v>1922</v>
      </c>
      <c r="K306" s="62" t="s">
        <v>623</v>
      </c>
      <c r="L306" s="134">
        <v>268400</v>
      </c>
      <c r="M306" s="71" t="s">
        <v>2254</v>
      </c>
      <c r="N306" s="64">
        <v>254720659401</v>
      </c>
    </row>
    <row r="307" spans="1:14" x14ac:dyDescent="0.25">
      <c r="A307" s="68" t="s">
        <v>515</v>
      </c>
      <c r="B307" s="66">
        <v>2018647</v>
      </c>
      <c r="C307" s="66">
        <v>103352</v>
      </c>
      <c r="D307" s="67" t="s">
        <v>2201</v>
      </c>
      <c r="E307" s="67">
        <v>53</v>
      </c>
      <c r="F307" s="67" t="s">
        <v>2202</v>
      </c>
      <c r="G307" s="67" t="s">
        <v>15</v>
      </c>
      <c r="H307" s="67" t="s">
        <v>2203</v>
      </c>
      <c r="I307" s="68" t="s">
        <v>1906</v>
      </c>
      <c r="J307" s="67" t="s">
        <v>2016</v>
      </c>
      <c r="K307" s="67">
        <v>1</v>
      </c>
      <c r="L307" s="133">
        <v>272059</v>
      </c>
      <c r="M307" s="69" t="s">
        <v>2254</v>
      </c>
      <c r="N307" s="70">
        <v>254713738247</v>
      </c>
    </row>
    <row r="308" spans="1:14" ht="22.5" x14ac:dyDescent="0.25">
      <c r="A308" s="61" t="s">
        <v>1768</v>
      </c>
      <c r="B308" s="60">
        <v>2409018</v>
      </c>
      <c r="C308" s="60">
        <v>58233</v>
      </c>
      <c r="D308" s="62" t="s">
        <v>2204</v>
      </c>
      <c r="E308" s="62">
        <v>62</v>
      </c>
      <c r="F308" s="62" t="s">
        <v>2205</v>
      </c>
      <c r="G308" s="62" t="s">
        <v>22</v>
      </c>
      <c r="H308" s="62" t="s">
        <v>2206</v>
      </c>
      <c r="I308" s="61" t="s">
        <v>1906</v>
      </c>
      <c r="J308" s="62" t="s">
        <v>1913</v>
      </c>
      <c r="K308" s="62">
        <v>4</v>
      </c>
      <c r="L308" s="134">
        <v>280000</v>
      </c>
      <c r="M308" s="71" t="s">
        <v>2254</v>
      </c>
      <c r="N308" s="64">
        <v>254710209301</v>
      </c>
    </row>
    <row r="309" spans="1:14" ht="22.5" x14ac:dyDescent="0.25">
      <c r="A309" s="68" t="s">
        <v>373</v>
      </c>
      <c r="B309" s="66">
        <v>2012299</v>
      </c>
      <c r="C309" s="66">
        <v>16739</v>
      </c>
      <c r="D309" s="67" t="s">
        <v>2207</v>
      </c>
      <c r="E309" s="67">
        <v>65</v>
      </c>
      <c r="F309" s="67" t="s">
        <v>60</v>
      </c>
      <c r="G309" s="67" t="s">
        <v>22</v>
      </c>
      <c r="H309" s="67" t="s">
        <v>2208</v>
      </c>
      <c r="I309" s="68" t="s">
        <v>1913</v>
      </c>
      <c r="J309" s="67" t="s">
        <v>1913</v>
      </c>
      <c r="K309" s="67" t="s">
        <v>714</v>
      </c>
      <c r="L309" s="133">
        <v>300655.8</v>
      </c>
      <c r="M309" s="69" t="s">
        <v>2254</v>
      </c>
      <c r="N309" s="70">
        <v>254704150060</v>
      </c>
    </row>
    <row r="310" spans="1:14" x14ac:dyDescent="0.25">
      <c r="A310" s="61" t="s">
        <v>354</v>
      </c>
      <c r="B310" s="60">
        <v>2003903</v>
      </c>
      <c r="C310" s="60">
        <v>12834</v>
      </c>
      <c r="D310" s="62" t="s">
        <v>2209</v>
      </c>
      <c r="E310" s="62">
        <v>67</v>
      </c>
      <c r="F310" s="62" t="s">
        <v>265</v>
      </c>
      <c r="G310" s="62" t="s">
        <v>664</v>
      </c>
      <c r="H310" s="62" t="s">
        <v>2210</v>
      </c>
      <c r="I310" s="61" t="s">
        <v>2211</v>
      </c>
      <c r="J310" s="62" t="s">
        <v>1913</v>
      </c>
      <c r="K310" s="62">
        <v>22</v>
      </c>
      <c r="L310" s="134">
        <v>339785.02</v>
      </c>
      <c r="M310" s="71" t="s">
        <v>2254</v>
      </c>
      <c r="N310" s="64">
        <v>254722505895</v>
      </c>
    </row>
    <row r="311" spans="1:14" ht="22.5" x14ac:dyDescent="0.25">
      <c r="A311" s="68" t="s">
        <v>19</v>
      </c>
      <c r="B311" s="75">
        <v>2004334</v>
      </c>
      <c r="C311" s="66">
        <v>56626</v>
      </c>
      <c r="D311" s="68" t="s">
        <v>2100</v>
      </c>
      <c r="E311" s="68">
        <v>67</v>
      </c>
      <c r="F311" s="68" t="s">
        <v>2101</v>
      </c>
      <c r="G311" s="68" t="s">
        <v>22</v>
      </c>
      <c r="H311" s="68" t="s">
        <v>2212</v>
      </c>
      <c r="I311" s="68" t="s">
        <v>1572</v>
      </c>
      <c r="J311" s="68" t="s">
        <v>1911</v>
      </c>
      <c r="K311" s="65">
        <v>8</v>
      </c>
      <c r="L311" s="135">
        <v>358925</v>
      </c>
      <c r="M311" s="73" t="s">
        <v>2254</v>
      </c>
      <c r="N311" s="70">
        <v>254715565766</v>
      </c>
    </row>
    <row r="312" spans="1:14" ht="22.5" x14ac:dyDescent="0.25">
      <c r="A312" s="61" t="s">
        <v>373</v>
      </c>
      <c r="B312" s="74">
        <v>2004761</v>
      </c>
      <c r="C312" s="60">
        <v>31664</v>
      </c>
      <c r="D312" s="61" t="s">
        <v>2213</v>
      </c>
      <c r="E312" s="61">
        <v>54</v>
      </c>
      <c r="F312" s="61" t="s">
        <v>187</v>
      </c>
      <c r="G312" s="61" t="s">
        <v>15</v>
      </c>
      <c r="H312" s="61" t="s">
        <v>2214</v>
      </c>
      <c r="I312" s="61" t="s">
        <v>1908</v>
      </c>
      <c r="J312" s="61" t="s">
        <v>1911</v>
      </c>
      <c r="K312" s="58">
        <v>1</v>
      </c>
      <c r="L312" s="132">
        <v>363005</v>
      </c>
      <c r="M312" s="63" t="s">
        <v>2254</v>
      </c>
      <c r="N312" s="64">
        <v>254722679315</v>
      </c>
    </row>
    <row r="313" spans="1:14" ht="22.5" x14ac:dyDescent="0.25">
      <c r="A313" s="68" t="s">
        <v>53</v>
      </c>
      <c r="B313" s="75">
        <v>2007795</v>
      </c>
      <c r="C313" s="66">
        <v>15404</v>
      </c>
      <c r="D313" s="68" t="s">
        <v>2215</v>
      </c>
      <c r="E313" s="68">
        <v>68</v>
      </c>
      <c r="F313" s="65" t="s">
        <v>60</v>
      </c>
      <c r="G313" s="68" t="s">
        <v>15</v>
      </c>
      <c r="H313" s="68" t="s">
        <v>2216</v>
      </c>
      <c r="I313" s="65" t="s">
        <v>1898</v>
      </c>
      <c r="J313" s="65" t="s">
        <v>1898</v>
      </c>
      <c r="K313" s="68" t="s">
        <v>714</v>
      </c>
      <c r="L313" s="136">
        <v>364587.62</v>
      </c>
      <c r="M313" s="76" t="s">
        <v>2254</v>
      </c>
      <c r="N313" s="70">
        <v>254720766049</v>
      </c>
    </row>
    <row r="314" spans="1:14" ht="56.25" x14ac:dyDescent="0.25">
      <c r="A314" s="61" t="s">
        <v>1856</v>
      </c>
      <c r="B314" s="74">
        <v>2013452</v>
      </c>
      <c r="C314" s="60">
        <v>102717</v>
      </c>
      <c r="D314" s="61" t="s">
        <v>2217</v>
      </c>
      <c r="E314" s="61">
        <v>67</v>
      </c>
      <c r="F314" s="61" t="s">
        <v>2218</v>
      </c>
      <c r="G314" s="61" t="s">
        <v>15</v>
      </c>
      <c r="H314" s="61" t="s">
        <v>2219</v>
      </c>
      <c r="I314" s="61" t="s">
        <v>1928</v>
      </c>
      <c r="J314" s="61" t="s">
        <v>1918</v>
      </c>
      <c r="K314" s="61">
        <v>5</v>
      </c>
      <c r="L314" s="132">
        <v>378474</v>
      </c>
      <c r="M314" s="63" t="s">
        <v>2254</v>
      </c>
      <c r="N314" s="64">
        <v>254710918163</v>
      </c>
    </row>
    <row r="315" spans="1:14" ht="22.5" x14ac:dyDescent="0.25">
      <c r="A315" s="68" t="s">
        <v>1690</v>
      </c>
      <c r="B315" s="75">
        <v>2001981</v>
      </c>
      <c r="C315" s="66">
        <v>101191</v>
      </c>
      <c r="D315" s="68" t="s">
        <v>2220</v>
      </c>
      <c r="E315" s="68">
        <v>73</v>
      </c>
      <c r="F315" s="68" t="s">
        <v>2221</v>
      </c>
      <c r="G315" s="68" t="s">
        <v>22</v>
      </c>
      <c r="H315" s="68" t="s">
        <v>2222</v>
      </c>
      <c r="I315" s="68" t="s">
        <v>1543</v>
      </c>
      <c r="J315" s="68" t="s">
        <v>1911</v>
      </c>
      <c r="K315" s="68">
        <v>6</v>
      </c>
      <c r="L315" s="136">
        <v>410408</v>
      </c>
      <c r="M315" s="76" t="s">
        <v>2254</v>
      </c>
      <c r="N315" s="70">
        <v>254721369143</v>
      </c>
    </row>
    <row r="316" spans="1:14" x14ac:dyDescent="0.25">
      <c r="A316" s="61" t="s">
        <v>72</v>
      </c>
      <c r="B316" s="60">
        <v>2002534</v>
      </c>
      <c r="C316" s="60">
        <v>9231</v>
      </c>
      <c r="D316" s="62" t="s">
        <v>2223</v>
      </c>
      <c r="E316" s="62">
        <v>69</v>
      </c>
      <c r="F316" s="62" t="s">
        <v>1442</v>
      </c>
      <c r="G316" s="62" t="s">
        <v>22</v>
      </c>
      <c r="H316" s="62" t="s">
        <v>2224</v>
      </c>
      <c r="I316" s="61" t="s">
        <v>1562</v>
      </c>
      <c r="J316" s="62" t="s">
        <v>1908</v>
      </c>
      <c r="K316" s="62">
        <v>14</v>
      </c>
      <c r="L316" s="134">
        <v>413618.4</v>
      </c>
      <c r="M316" s="71" t="s">
        <v>2254</v>
      </c>
      <c r="N316" s="64">
        <v>254759231438</v>
      </c>
    </row>
    <row r="317" spans="1:14" ht="22.5" x14ac:dyDescent="0.25">
      <c r="A317" s="68" t="s">
        <v>274</v>
      </c>
      <c r="B317" s="72">
        <v>2020064</v>
      </c>
      <c r="C317" s="66">
        <v>55459</v>
      </c>
      <c r="D317" s="65" t="s">
        <v>2225</v>
      </c>
      <c r="E317" s="65">
        <v>62</v>
      </c>
      <c r="F317" s="65" t="s">
        <v>2226</v>
      </c>
      <c r="G317" s="65" t="s">
        <v>15</v>
      </c>
      <c r="H317" s="65" t="s">
        <v>2227</v>
      </c>
      <c r="I317" s="65" t="s">
        <v>919</v>
      </c>
      <c r="J317" s="68" t="s">
        <v>1911</v>
      </c>
      <c r="K317" s="65">
        <v>30</v>
      </c>
      <c r="L317" s="135">
        <v>426456</v>
      </c>
      <c r="M317" s="73" t="s">
        <v>2254</v>
      </c>
      <c r="N317" s="70">
        <v>254759231438</v>
      </c>
    </row>
    <row r="318" spans="1:14" ht="33.75" x14ac:dyDescent="0.25">
      <c r="A318" s="61" t="s">
        <v>1708</v>
      </c>
      <c r="B318" s="74">
        <v>2023538</v>
      </c>
      <c r="C318" s="60">
        <v>65299</v>
      </c>
      <c r="D318" s="61" t="s">
        <v>2228</v>
      </c>
      <c r="E318" s="61">
        <v>58</v>
      </c>
      <c r="F318" s="61" t="s">
        <v>2229</v>
      </c>
      <c r="G318" s="61" t="s">
        <v>22</v>
      </c>
      <c r="H318" s="61" t="s">
        <v>2230</v>
      </c>
      <c r="I318" s="61" t="s">
        <v>1589</v>
      </c>
      <c r="J318" s="61" t="s">
        <v>1911</v>
      </c>
      <c r="K318" s="61">
        <v>7</v>
      </c>
      <c r="L318" s="137">
        <v>504320</v>
      </c>
      <c r="M318" s="77" t="s">
        <v>2254</v>
      </c>
      <c r="N318" s="64">
        <v>254759231438</v>
      </c>
    </row>
    <row r="319" spans="1:14" ht="22.5" x14ac:dyDescent="0.25">
      <c r="A319" s="68" t="s">
        <v>1690</v>
      </c>
      <c r="B319" s="75">
        <v>2407114</v>
      </c>
      <c r="C319" s="66">
        <v>67490</v>
      </c>
      <c r="D319" s="68" t="s">
        <v>1832</v>
      </c>
      <c r="E319" s="68">
        <v>58</v>
      </c>
      <c r="F319" s="68" t="s">
        <v>1833</v>
      </c>
      <c r="G319" s="68" t="s">
        <v>22</v>
      </c>
      <c r="H319" s="68" t="s">
        <v>2231</v>
      </c>
      <c r="I319" s="68" t="s">
        <v>1551</v>
      </c>
      <c r="J319" s="65" t="s">
        <v>1911</v>
      </c>
      <c r="K319" s="68">
        <v>4</v>
      </c>
      <c r="L319" s="136">
        <v>596571</v>
      </c>
      <c r="M319" s="76" t="s">
        <v>2254</v>
      </c>
      <c r="N319" s="70">
        <v>254759231438</v>
      </c>
    </row>
    <row r="320" spans="1:14" ht="22.5" x14ac:dyDescent="0.25">
      <c r="A320" s="61" t="s">
        <v>515</v>
      </c>
      <c r="B320" s="80">
        <v>2014304</v>
      </c>
      <c r="C320" s="60">
        <v>55303</v>
      </c>
      <c r="D320" s="60" t="s">
        <v>1106</v>
      </c>
      <c r="E320" s="62">
        <v>14</v>
      </c>
      <c r="F320" s="62" t="s">
        <v>2232</v>
      </c>
      <c r="G320" s="62" t="s">
        <v>88</v>
      </c>
      <c r="H320" s="62" t="s">
        <v>2233</v>
      </c>
      <c r="I320" s="61" t="s">
        <v>2234</v>
      </c>
      <c r="J320" s="62" t="s">
        <v>1922</v>
      </c>
      <c r="K320" s="62">
        <v>27</v>
      </c>
      <c r="L320" s="134">
        <v>626634</v>
      </c>
      <c r="M320" s="71" t="s">
        <v>2254</v>
      </c>
      <c r="N320" s="64">
        <v>722582038</v>
      </c>
    </row>
    <row r="321" spans="1:14" x14ac:dyDescent="0.25">
      <c r="A321" s="68" t="s">
        <v>1504</v>
      </c>
      <c r="B321" s="72">
        <v>2017620</v>
      </c>
      <c r="C321" s="66">
        <v>54137</v>
      </c>
      <c r="D321" s="65" t="s">
        <v>1387</v>
      </c>
      <c r="E321" s="65">
        <v>17</v>
      </c>
      <c r="F321" s="65" t="s">
        <v>470</v>
      </c>
      <c r="G321" s="65" t="s">
        <v>88</v>
      </c>
      <c r="H321" s="68" t="s">
        <v>471</v>
      </c>
      <c r="I321" s="65" t="s">
        <v>57</v>
      </c>
      <c r="J321" s="68" t="s">
        <v>1918</v>
      </c>
      <c r="K321" s="65">
        <v>76</v>
      </c>
      <c r="L321" s="135">
        <v>667761.6</v>
      </c>
      <c r="M321" s="73" t="s">
        <v>2254</v>
      </c>
      <c r="N321" s="70">
        <v>254722348407</v>
      </c>
    </row>
    <row r="322" spans="1:14" ht="22.5" x14ac:dyDescent="0.25">
      <c r="A322" s="61" t="s">
        <v>856</v>
      </c>
      <c r="B322" s="60">
        <v>2002987</v>
      </c>
      <c r="C322" s="60">
        <v>60750</v>
      </c>
      <c r="D322" s="62" t="s">
        <v>1066</v>
      </c>
      <c r="E322" s="62">
        <v>56</v>
      </c>
      <c r="F322" s="62" t="s">
        <v>1067</v>
      </c>
      <c r="G322" s="62" t="s">
        <v>22</v>
      </c>
      <c r="H322" s="62" t="s">
        <v>1891</v>
      </c>
      <c r="I322" s="61" t="s">
        <v>1895</v>
      </c>
      <c r="J322" s="62" t="s">
        <v>1893</v>
      </c>
      <c r="K322" s="62">
        <v>9</v>
      </c>
      <c r="L322" s="134">
        <v>699263.64</v>
      </c>
      <c r="M322" s="71" t="s">
        <v>2254</v>
      </c>
      <c r="N322" s="64">
        <v>254703352923</v>
      </c>
    </row>
    <row r="323" spans="1:14" ht="78.75" x14ac:dyDescent="0.25">
      <c r="A323" s="68" t="s">
        <v>1033</v>
      </c>
      <c r="B323" s="75">
        <v>2005082</v>
      </c>
      <c r="C323" s="66">
        <v>101741</v>
      </c>
      <c r="D323" s="68" t="s">
        <v>76</v>
      </c>
      <c r="E323" s="68">
        <v>69</v>
      </c>
      <c r="F323" s="68" t="s">
        <v>2235</v>
      </c>
      <c r="G323" s="68" t="s">
        <v>15</v>
      </c>
      <c r="H323" s="68" t="s">
        <v>2236</v>
      </c>
      <c r="I323" s="68" t="s">
        <v>2237</v>
      </c>
      <c r="J323" s="65" t="s">
        <v>1923</v>
      </c>
      <c r="K323" s="68">
        <v>48</v>
      </c>
      <c r="L323" s="136">
        <v>722695</v>
      </c>
      <c r="M323" s="76" t="s">
        <v>2254</v>
      </c>
      <c r="N323" s="70">
        <v>254722828789</v>
      </c>
    </row>
    <row r="324" spans="1:14" ht="22.5" x14ac:dyDescent="0.25">
      <c r="A324" s="61" t="s">
        <v>53</v>
      </c>
      <c r="B324" s="60">
        <v>2001006</v>
      </c>
      <c r="C324" s="60">
        <v>18347</v>
      </c>
      <c r="D324" s="62" t="s">
        <v>607</v>
      </c>
      <c r="E324" s="62">
        <v>69</v>
      </c>
      <c r="F324" s="62" t="s">
        <v>520</v>
      </c>
      <c r="G324" s="62" t="s">
        <v>22</v>
      </c>
      <c r="H324" s="62" t="s">
        <v>2238</v>
      </c>
      <c r="I324" s="61" t="s">
        <v>2239</v>
      </c>
      <c r="J324" s="62" t="s">
        <v>1913</v>
      </c>
      <c r="K324" s="62">
        <v>14</v>
      </c>
      <c r="L324" s="134">
        <v>757994</v>
      </c>
      <c r="M324" s="71" t="s">
        <v>2254</v>
      </c>
      <c r="N324" s="64">
        <v>254722828789</v>
      </c>
    </row>
    <row r="325" spans="1:14" ht="56.25" x14ac:dyDescent="0.25">
      <c r="A325" s="68" t="s">
        <v>373</v>
      </c>
      <c r="B325" s="75">
        <v>2010107</v>
      </c>
      <c r="C325" s="66">
        <v>18913</v>
      </c>
      <c r="D325" s="68" t="s">
        <v>2240</v>
      </c>
      <c r="E325" s="68">
        <v>50</v>
      </c>
      <c r="F325" s="68" t="s">
        <v>2241</v>
      </c>
      <c r="G325" s="68" t="s">
        <v>15</v>
      </c>
      <c r="H325" s="68" t="s">
        <v>2242</v>
      </c>
      <c r="I325" s="68" t="s">
        <v>1675</v>
      </c>
      <c r="J325" s="68" t="s">
        <v>1923</v>
      </c>
      <c r="K325" s="68">
        <v>8</v>
      </c>
      <c r="L325" s="135">
        <v>761234</v>
      </c>
      <c r="M325" s="73" t="s">
        <v>2254</v>
      </c>
      <c r="N325" s="70">
        <v>254722828789</v>
      </c>
    </row>
    <row r="326" spans="1:14" x14ac:dyDescent="0.25">
      <c r="A326" s="61" t="s">
        <v>354</v>
      </c>
      <c r="B326" s="60">
        <v>2004007</v>
      </c>
      <c r="C326" s="60">
        <v>31602</v>
      </c>
      <c r="D326" s="62" t="s">
        <v>2243</v>
      </c>
      <c r="E326" s="62">
        <v>67</v>
      </c>
      <c r="F326" s="62" t="s">
        <v>2244</v>
      </c>
      <c r="G326" s="62" t="s">
        <v>22</v>
      </c>
      <c r="H326" s="62" t="s">
        <v>2245</v>
      </c>
      <c r="I326" s="61" t="s">
        <v>85</v>
      </c>
      <c r="J326" s="62" t="s">
        <v>1928</v>
      </c>
      <c r="K326" s="62">
        <v>49</v>
      </c>
      <c r="L326" s="134">
        <v>841975.53</v>
      </c>
      <c r="M326" s="71" t="s">
        <v>2254</v>
      </c>
      <c r="N326" s="64">
        <v>254720133344</v>
      </c>
    </row>
    <row r="327" spans="1:14" ht="33.75" x14ac:dyDescent="0.25">
      <c r="A327" s="68" t="s">
        <v>354</v>
      </c>
      <c r="B327" s="72">
        <v>2002495</v>
      </c>
      <c r="C327" s="66">
        <v>18530</v>
      </c>
      <c r="D327" s="65" t="s">
        <v>2246</v>
      </c>
      <c r="E327" s="65">
        <v>65</v>
      </c>
      <c r="F327" s="65" t="s">
        <v>2247</v>
      </c>
      <c r="G327" s="68" t="s">
        <v>22</v>
      </c>
      <c r="H327" s="68" t="s">
        <v>2248</v>
      </c>
      <c r="I327" s="65" t="s">
        <v>2249</v>
      </c>
      <c r="J327" s="65" t="s">
        <v>1911</v>
      </c>
      <c r="K327" s="65">
        <v>75</v>
      </c>
      <c r="L327" s="136">
        <v>1151634.9099999999</v>
      </c>
      <c r="M327" s="76" t="s">
        <v>2254</v>
      </c>
      <c r="N327" s="70">
        <v>254720133344</v>
      </c>
    </row>
    <row r="328" spans="1:14" ht="33.75" x14ac:dyDescent="0.25">
      <c r="A328" s="61" t="s">
        <v>544</v>
      </c>
      <c r="B328" s="60">
        <v>2009652</v>
      </c>
      <c r="C328" s="60">
        <v>10110</v>
      </c>
      <c r="D328" s="62" t="s">
        <v>2250</v>
      </c>
      <c r="E328" s="62">
        <v>56</v>
      </c>
      <c r="F328" s="62" t="s">
        <v>2251</v>
      </c>
      <c r="G328" s="62" t="s">
        <v>15</v>
      </c>
      <c r="H328" s="62" t="s">
        <v>2252</v>
      </c>
      <c r="I328" s="61" t="s">
        <v>2253</v>
      </c>
      <c r="J328" s="62" t="s">
        <v>2016</v>
      </c>
      <c r="K328" s="62">
        <v>21</v>
      </c>
      <c r="L328" s="134">
        <v>2000000</v>
      </c>
      <c r="M328" s="71" t="s">
        <v>2254</v>
      </c>
      <c r="N328" s="64">
        <v>254721872105</v>
      </c>
    </row>
  </sheetData>
  <conditionalFormatting sqref="B303 B2:B173">
    <cfRule type="duplicateValues" dxfId="10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A973-353E-4997-B575-9CE8450F21F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9238-3984-4657-96D7-784C2CE4E52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28743-C188-49D6-92A5-B97A739FFCBD}">
  <dimension ref="A3:I46"/>
  <sheetViews>
    <sheetView topLeftCell="A9" workbookViewId="0">
      <selection activeCell="D12" sqref="D12"/>
    </sheetView>
  </sheetViews>
  <sheetFormatPr defaultRowHeight="15" x14ac:dyDescent="0.25"/>
  <cols>
    <col min="1" max="1" width="5.140625" style="213" bestFit="1" customWidth="1"/>
    <col min="2" max="2" width="45.28515625" style="213" bestFit="1" customWidth="1"/>
    <col min="3" max="3" width="19.42578125" style="217" bestFit="1" customWidth="1"/>
    <col min="4" max="4" width="18" style="213" bestFit="1" customWidth="1"/>
    <col min="5" max="5" width="19.85546875" style="213" bestFit="1" customWidth="1"/>
    <col min="6" max="6" width="17.28515625" style="213" bestFit="1" customWidth="1"/>
    <col min="7" max="7" width="20.42578125" style="213" bestFit="1" customWidth="1"/>
    <col min="8" max="8" width="10" style="213" bestFit="1" customWidth="1"/>
    <col min="9" max="9" width="13.28515625" style="213" bestFit="1" customWidth="1"/>
    <col min="10" max="10" width="7" style="213" bestFit="1" customWidth="1"/>
    <col min="11" max="11" width="10.5703125" style="213" bestFit="1" customWidth="1"/>
    <col min="12" max="12" width="10" style="213" bestFit="1" customWidth="1"/>
    <col min="13" max="13" width="10.5703125" style="213" bestFit="1" customWidth="1"/>
    <col min="14" max="14" width="8" style="213" bestFit="1" customWidth="1"/>
    <col min="15" max="15" width="11.5703125" style="213" bestFit="1" customWidth="1"/>
    <col min="16" max="16" width="9" style="213" bestFit="1" customWidth="1"/>
    <col min="17" max="17" width="11" style="213" bestFit="1" customWidth="1"/>
    <col min="18" max="18" width="10" style="213" bestFit="1" customWidth="1"/>
    <col min="19" max="20" width="10.5703125" style="213" bestFit="1" customWidth="1"/>
    <col min="21" max="21" width="7" style="213" bestFit="1" customWidth="1"/>
    <col min="22" max="23" width="6" style="213" bestFit="1" customWidth="1"/>
    <col min="24" max="24" width="11.5703125" style="213" bestFit="1" customWidth="1"/>
    <col min="25" max="26" width="7" style="213" bestFit="1" customWidth="1"/>
    <col min="27" max="28" width="9" style="213" bestFit="1" customWidth="1"/>
    <col min="29" max="30" width="11.5703125" style="213" bestFit="1" customWidth="1"/>
    <col min="31" max="31" width="7" style="213" bestFit="1" customWidth="1"/>
    <col min="32" max="32" width="11.5703125" style="213" bestFit="1" customWidth="1"/>
    <col min="33" max="33" width="8" style="213" bestFit="1" customWidth="1"/>
    <col min="34" max="34" width="11" style="213" bestFit="1" customWidth="1"/>
    <col min="35" max="36" width="7" style="213" bestFit="1" customWidth="1"/>
    <col min="37" max="37" width="11.5703125" style="213" bestFit="1" customWidth="1"/>
    <col min="38" max="38" width="7" style="213" bestFit="1" customWidth="1"/>
    <col min="39" max="40" width="11.5703125" style="213" bestFit="1" customWidth="1"/>
    <col min="41" max="41" width="8" style="213" bestFit="1" customWidth="1"/>
    <col min="42" max="42" width="11.5703125" style="213" bestFit="1" customWidth="1"/>
    <col min="43" max="43" width="10.5703125" style="213" bestFit="1" customWidth="1"/>
    <col min="44" max="44" width="11" style="213" bestFit="1" customWidth="1"/>
    <col min="45" max="45" width="10" style="213" bestFit="1" customWidth="1"/>
    <col min="46" max="49" width="11.5703125" style="213" bestFit="1" customWidth="1"/>
    <col min="50" max="50" width="11" style="213" bestFit="1" customWidth="1"/>
    <col min="51" max="54" width="11.5703125" style="213" bestFit="1" customWidth="1"/>
    <col min="55" max="55" width="12" style="213" bestFit="1" customWidth="1"/>
    <col min="56" max="57" width="11.5703125" style="213" bestFit="1" customWidth="1"/>
    <col min="58" max="58" width="11" style="213" bestFit="1" customWidth="1"/>
    <col min="59" max="59" width="11.5703125" style="213" bestFit="1" customWidth="1"/>
    <col min="60" max="60" width="10" style="213" bestFit="1" customWidth="1"/>
    <col min="61" max="61" width="11.5703125" style="213" bestFit="1" customWidth="1"/>
    <col min="62" max="62" width="11" style="213" bestFit="1" customWidth="1"/>
    <col min="63" max="63" width="11.5703125" style="213" bestFit="1" customWidth="1"/>
    <col min="64" max="64" width="11" style="213" bestFit="1" customWidth="1"/>
    <col min="65" max="65" width="7" style="213" bestFit="1" customWidth="1"/>
    <col min="66" max="66" width="8" style="213" bestFit="1" customWidth="1"/>
    <col min="67" max="67" width="7" style="213" bestFit="1" customWidth="1"/>
    <col min="68" max="68" width="10.5703125" style="213" bestFit="1" customWidth="1"/>
    <col min="69" max="69" width="13.28515625" style="213" bestFit="1" customWidth="1"/>
    <col min="70" max="70" width="11.5703125" style="213" bestFit="1" customWidth="1"/>
    <col min="71" max="71" width="6" style="213" bestFit="1" customWidth="1"/>
    <col min="72" max="72" width="7" style="213" bestFit="1" customWidth="1"/>
    <col min="73" max="73" width="11" style="213" bestFit="1" customWidth="1"/>
    <col min="74" max="74" width="6" style="213" bestFit="1" customWidth="1"/>
    <col min="75" max="75" width="7" style="213" bestFit="1" customWidth="1"/>
    <col min="76" max="76" width="11.5703125" style="213" bestFit="1" customWidth="1"/>
    <col min="77" max="77" width="9" style="213" bestFit="1" customWidth="1"/>
    <col min="78" max="78" width="13.28515625" style="213" bestFit="1" customWidth="1"/>
    <col min="79" max="16384" width="9.140625" style="213"/>
  </cols>
  <sheetData>
    <row r="3" spans="2:7" hidden="1" x14ac:dyDescent="0.25">
      <c r="B3" s="212" t="s">
        <v>2536</v>
      </c>
      <c r="C3" s="212" t="s">
        <v>2540</v>
      </c>
    </row>
    <row r="4" spans="2:7" x14ac:dyDescent="0.25">
      <c r="B4" s="214" t="s">
        <v>2547</v>
      </c>
      <c r="C4" s="215" t="s">
        <v>2542</v>
      </c>
      <c r="D4" s="215" t="s">
        <v>2543</v>
      </c>
      <c r="E4" s="215" t="s">
        <v>2544</v>
      </c>
      <c r="F4" s="215" t="s">
        <v>2545</v>
      </c>
      <c r="G4" s="215" t="s">
        <v>2535</v>
      </c>
    </row>
    <row r="5" spans="2:7" x14ac:dyDescent="0.25">
      <c r="B5" s="216" t="s">
        <v>2270</v>
      </c>
      <c r="C5" s="215">
        <v>1919238.3</v>
      </c>
      <c r="D5" s="215">
        <v>1068742.8</v>
      </c>
      <c r="E5" s="215">
        <v>23731065.000000007</v>
      </c>
      <c r="F5" s="215">
        <v>649241</v>
      </c>
      <c r="G5" s="215">
        <v>27368287.100000009</v>
      </c>
    </row>
    <row r="6" spans="2:7" x14ac:dyDescent="0.25">
      <c r="B6" s="216" t="s">
        <v>2275</v>
      </c>
      <c r="C6" s="215">
        <v>298952.53000000003</v>
      </c>
      <c r="D6" s="215">
        <v>1248862</v>
      </c>
      <c r="E6" s="215">
        <v>20809839.260000002</v>
      </c>
      <c r="F6" s="215"/>
      <c r="G6" s="215">
        <v>22357653.790000003</v>
      </c>
    </row>
    <row r="7" spans="2:7" x14ac:dyDescent="0.25">
      <c r="B7" s="216" t="s">
        <v>2295</v>
      </c>
      <c r="C7" s="215">
        <v>470720.01</v>
      </c>
      <c r="D7" s="215">
        <v>2292532.2400000002</v>
      </c>
      <c r="E7" s="215">
        <v>15230421.68</v>
      </c>
      <c r="F7" s="215">
        <v>81065</v>
      </c>
      <c r="G7" s="215">
        <v>18074738.93</v>
      </c>
    </row>
    <row r="8" spans="2:7" x14ac:dyDescent="0.25">
      <c r="B8" s="216" t="s">
        <v>2288</v>
      </c>
      <c r="C8" s="215">
        <v>673432.91</v>
      </c>
      <c r="D8" s="215">
        <v>1987550.51</v>
      </c>
      <c r="E8" s="215">
        <v>10630768.609999999</v>
      </c>
      <c r="F8" s="215">
        <v>1991716.34</v>
      </c>
      <c r="G8" s="215">
        <v>15283468.369999999</v>
      </c>
    </row>
    <row r="9" spans="2:7" x14ac:dyDescent="0.25">
      <c r="B9" s="216" t="s">
        <v>2328</v>
      </c>
      <c r="C9" s="215">
        <v>984999</v>
      </c>
      <c r="D9" s="215">
        <v>770377</v>
      </c>
      <c r="E9" s="215">
        <v>11495831.849999998</v>
      </c>
      <c r="F9" s="215"/>
      <c r="G9" s="215">
        <v>13251207.849999998</v>
      </c>
    </row>
    <row r="10" spans="2:7" x14ac:dyDescent="0.25">
      <c r="B10" s="216" t="s">
        <v>2546</v>
      </c>
      <c r="C10" s="215">
        <v>2259587.4900000002</v>
      </c>
      <c r="D10" s="215">
        <v>1218222.98</v>
      </c>
      <c r="E10" s="215">
        <v>8778153.7300000004</v>
      </c>
      <c r="F10" s="215"/>
      <c r="G10" s="215">
        <v>12255964.200000001</v>
      </c>
    </row>
    <row r="11" spans="2:7" x14ac:dyDescent="0.25">
      <c r="B11" s="216" t="s">
        <v>2311</v>
      </c>
      <c r="C11" s="215">
        <v>827085</v>
      </c>
      <c r="D11" s="215">
        <v>1074392.9500000002</v>
      </c>
      <c r="E11" s="215">
        <v>6079743.5800000001</v>
      </c>
      <c r="F11" s="215"/>
      <c r="G11" s="215">
        <v>7981221.5300000003</v>
      </c>
    </row>
    <row r="12" spans="2:7" x14ac:dyDescent="0.25">
      <c r="B12" s="216" t="s">
        <v>2304</v>
      </c>
      <c r="C12" s="215">
        <v>327210.34999999998</v>
      </c>
      <c r="D12" s="215">
        <v>618173</v>
      </c>
      <c r="E12" s="215">
        <v>5932829.2599999998</v>
      </c>
      <c r="F12" s="215"/>
      <c r="G12" s="215">
        <v>6878212.6099999994</v>
      </c>
    </row>
    <row r="13" spans="2:7" x14ac:dyDescent="0.25">
      <c r="B13" s="216" t="s">
        <v>2314</v>
      </c>
      <c r="C13" s="215">
        <v>981316.26</v>
      </c>
      <c r="D13" s="215">
        <v>405896.15</v>
      </c>
      <c r="E13" s="215">
        <v>3545029.76</v>
      </c>
      <c r="F13" s="215"/>
      <c r="G13" s="215">
        <v>4932242.17</v>
      </c>
    </row>
    <row r="14" spans="2:7" x14ac:dyDescent="0.25">
      <c r="B14" s="216" t="s">
        <v>2283</v>
      </c>
      <c r="C14" s="215">
        <v>391702.7</v>
      </c>
      <c r="D14" s="215">
        <v>694101.87</v>
      </c>
      <c r="E14" s="215">
        <v>3192896.93</v>
      </c>
      <c r="F14" s="215">
        <v>465833.84</v>
      </c>
      <c r="G14" s="215">
        <v>4744535.34</v>
      </c>
    </row>
    <row r="15" spans="2:7" x14ac:dyDescent="0.25">
      <c r="B15" s="216" t="s">
        <v>2322</v>
      </c>
      <c r="C15" s="215">
        <v>1284642.32</v>
      </c>
      <c r="D15" s="215">
        <v>258825</v>
      </c>
      <c r="E15" s="215">
        <v>2195695.29</v>
      </c>
      <c r="F15" s="215"/>
      <c r="G15" s="215">
        <v>3739162.6100000003</v>
      </c>
    </row>
    <row r="16" spans="2:7" x14ac:dyDescent="0.25">
      <c r="B16" s="216" t="s">
        <v>2310</v>
      </c>
      <c r="C16" s="215">
        <v>180550</v>
      </c>
      <c r="D16" s="215">
        <v>600434.79</v>
      </c>
      <c r="E16" s="215">
        <v>2684178.6800000002</v>
      </c>
      <c r="F16" s="215"/>
      <c r="G16" s="215">
        <v>3465163.47</v>
      </c>
    </row>
    <row r="17" spans="1:9" x14ac:dyDescent="0.25">
      <c r="B17" s="216" t="s">
        <v>2422</v>
      </c>
      <c r="C17" s="215"/>
      <c r="D17" s="215"/>
      <c r="E17" s="215">
        <v>875388.09</v>
      </c>
      <c r="F17" s="215"/>
      <c r="G17" s="215">
        <v>875388.09</v>
      </c>
    </row>
    <row r="18" spans="1:9" x14ac:dyDescent="0.25">
      <c r="B18" s="216" t="s">
        <v>2421</v>
      </c>
      <c r="C18" s="215"/>
      <c r="D18" s="215"/>
      <c r="E18" s="215">
        <v>328856</v>
      </c>
      <c r="F18" s="215"/>
      <c r="G18" s="215">
        <v>328856</v>
      </c>
    </row>
    <row r="19" spans="1:9" x14ac:dyDescent="0.25">
      <c r="B19" s="216" t="s">
        <v>2539</v>
      </c>
      <c r="C19" s="215"/>
      <c r="D19" s="215"/>
      <c r="E19" s="215">
        <v>148005</v>
      </c>
      <c r="F19" s="215"/>
      <c r="G19" s="215">
        <v>148005</v>
      </c>
    </row>
    <row r="20" spans="1:9" x14ac:dyDescent="0.25">
      <c r="B20" s="216" t="s">
        <v>2388</v>
      </c>
      <c r="C20" s="215"/>
      <c r="D20" s="215"/>
      <c r="E20" s="215">
        <v>117500</v>
      </c>
      <c r="F20" s="215"/>
      <c r="G20" s="215">
        <v>117500</v>
      </c>
    </row>
    <row r="21" spans="1:9" x14ac:dyDescent="0.25">
      <c r="B21" s="216" t="s">
        <v>2527</v>
      </c>
      <c r="C21" s="215"/>
      <c r="D21" s="215"/>
      <c r="E21" s="215">
        <v>95262</v>
      </c>
      <c r="F21" s="215"/>
      <c r="G21" s="215">
        <v>95262</v>
      </c>
    </row>
    <row r="22" spans="1:9" hidden="1" x14ac:dyDescent="0.25">
      <c r="B22" s="216" t="s">
        <v>2534</v>
      </c>
      <c r="C22" s="215"/>
      <c r="D22" s="215"/>
      <c r="E22" s="215"/>
      <c r="F22" s="215"/>
      <c r="G22" s="215"/>
    </row>
    <row r="23" spans="1:9" x14ac:dyDescent="0.25">
      <c r="B23" s="216" t="s">
        <v>2535</v>
      </c>
      <c r="C23" s="215">
        <v>10599436.870000001</v>
      </c>
      <c r="D23" s="215">
        <v>12238111.290000001</v>
      </c>
      <c r="E23" s="215">
        <v>115871464.72000004</v>
      </c>
      <c r="F23" s="215">
        <v>3187856.1799999997</v>
      </c>
      <c r="G23" s="215">
        <v>141896869.06</v>
      </c>
    </row>
    <row r="24" spans="1:9" x14ac:dyDescent="0.25">
      <c r="B24"/>
      <c r="C24"/>
      <c r="D24"/>
      <c r="E24"/>
      <c r="F24"/>
      <c r="G24"/>
    </row>
    <row r="25" spans="1:9" x14ac:dyDescent="0.25">
      <c r="B25"/>
      <c r="C25"/>
      <c r="D25"/>
      <c r="E25"/>
      <c r="F25"/>
      <c r="G25"/>
    </row>
    <row r="26" spans="1:9" x14ac:dyDescent="0.25">
      <c r="A26" s="223" t="s">
        <v>2557</v>
      </c>
      <c r="B26" s="223"/>
      <c r="C26" s="223"/>
      <c r="D26" s="223"/>
      <c r="E26" s="223"/>
      <c r="F26" s="223"/>
      <c r="G26" s="223"/>
      <c r="I26"/>
    </row>
    <row r="27" spans="1:9" x14ac:dyDescent="0.25">
      <c r="A27" s="220" t="s">
        <v>2549</v>
      </c>
      <c r="B27" s="220" t="s">
        <v>2548</v>
      </c>
      <c r="C27" s="220" t="s">
        <v>2542</v>
      </c>
      <c r="D27" s="220" t="s">
        <v>2543</v>
      </c>
      <c r="E27" s="220" t="s">
        <v>2544</v>
      </c>
      <c r="F27" s="220" t="s">
        <v>2545</v>
      </c>
      <c r="G27" s="220" t="s">
        <v>2535</v>
      </c>
    </row>
    <row r="28" spans="1:9" x14ac:dyDescent="0.25">
      <c r="A28" s="220" t="s">
        <v>2550</v>
      </c>
      <c r="B28" s="220" t="s">
        <v>2551</v>
      </c>
      <c r="C28" s="220" t="s">
        <v>2552</v>
      </c>
      <c r="D28" s="220" t="s">
        <v>2553</v>
      </c>
      <c r="E28" s="220" t="s">
        <v>2554</v>
      </c>
      <c r="F28" s="220" t="s">
        <v>2555</v>
      </c>
      <c r="G28" s="220" t="s">
        <v>2556</v>
      </c>
    </row>
    <row r="29" spans="1:9" x14ac:dyDescent="0.25">
      <c r="A29" s="218">
        <v>1</v>
      </c>
      <c r="B29" s="218" t="s">
        <v>2270</v>
      </c>
      <c r="C29" s="219">
        <v>1919238.3</v>
      </c>
      <c r="D29" s="219">
        <v>1068742.8</v>
      </c>
      <c r="E29" s="219">
        <v>23731065.000000007</v>
      </c>
      <c r="F29" s="219">
        <v>649241</v>
      </c>
      <c r="G29" s="219">
        <v>27368287.100000009</v>
      </c>
    </row>
    <row r="30" spans="1:9" x14ac:dyDescent="0.25">
      <c r="A30" s="218">
        <v>2</v>
      </c>
      <c r="B30" s="218" t="s">
        <v>2275</v>
      </c>
      <c r="C30" s="219">
        <v>298952.53000000003</v>
      </c>
      <c r="D30" s="219">
        <v>1248862</v>
      </c>
      <c r="E30" s="219">
        <v>20809839.260000002</v>
      </c>
      <c r="F30" s="219"/>
      <c r="G30" s="219">
        <v>22357653.790000003</v>
      </c>
    </row>
    <row r="31" spans="1:9" x14ac:dyDescent="0.25">
      <c r="A31" s="218">
        <v>3</v>
      </c>
      <c r="B31" s="218" t="s">
        <v>2295</v>
      </c>
      <c r="C31" s="219">
        <v>470720.01</v>
      </c>
      <c r="D31" s="219">
        <v>2292532.2400000002</v>
      </c>
      <c r="E31" s="219">
        <v>15230421.68</v>
      </c>
      <c r="F31" s="219">
        <v>81065</v>
      </c>
      <c r="G31" s="219">
        <v>18074738.93</v>
      </c>
    </row>
    <row r="32" spans="1:9" x14ac:dyDescent="0.25">
      <c r="A32" s="218">
        <v>4</v>
      </c>
      <c r="B32" s="218" t="s">
        <v>2288</v>
      </c>
      <c r="C32" s="219">
        <v>673432.91</v>
      </c>
      <c r="D32" s="219">
        <v>1987550.51</v>
      </c>
      <c r="E32" s="219">
        <v>10630768.609999999</v>
      </c>
      <c r="F32" s="219">
        <v>1991716.34</v>
      </c>
      <c r="G32" s="219">
        <v>15283468.369999999</v>
      </c>
    </row>
    <row r="33" spans="1:7" x14ac:dyDescent="0.25">
      <c r="A33" s="218">
        <v>5</v>
      </c>
      <c r="B33" s="218" t="s">
        <v>2328</v>
      </c>
      <c r="C33" s="219">
        <v>984999</v>
      </c>
      <c r="D33" s="219">
        <v>770377</v>
      </c>
      <c r="E33" s="219">
        <v>11495831.849999998</v>
      </c>
      <c r="F33" s="219"/>
      <c r="G33" s="219">
        <v>13251207.849999998</v>
      </c>
    </row>
    <row r="34" spans="1:7" x14ac:dyDescent="0.25">
      <c r="A34" s="218">
        <v>6</v>
      </c>
      <c r="B34" s="218" t="s">
        <v>2546</v>
      </c>
      <c r="C34" s="219">
        <v>2259587.4900000002</v>
      </c>
      <c r="D34" s="219">
        <v>1218222.98</v>
      </c>
      <c r="E34" s="219">
        <v>8778153.7300000004</v>
      </c>
      <c r="F34" s="219"/>
      <c r="G34" s="219">
        <v>12255964.200000001</v>
      </c>
    </row>
    <row r="35" spans="1:7" x14ac:dyDescent="0.25">
      <c r="A35" s="218">
        <v>7</v>
      </c>
      <c r="B35" s="218" t="s">
        <v>2311</v>
      </c>
      <c r="C35" s="219">
        <v>827085</v>
      </c>
      <c r="D35" s="219">
        <v>1074392.9500000002</v>
      </c>
      <c r="E35" s="219">
        <v>6079743.5800000001</v>
      </c>
      <c r="F35" s="219"/>
      <c r="G35" s="219">
        <v>7981221.5300000003</v>
      </c>
    </row>
    <row r="36" spans="1:7" x14ac:dyDescent="0.25">
      <c r="A36" s="218">
        <v>8</v>
      </c>
      <c r="B36" s="218" t="s">
        <v>2304</v>
      </c>
      <c r="C36" s="219">
        <v>327210.34999999998</v>
      </c>
      <c r="D36" s="219">
        <v>618173</v>
      </c>
      <c r="E36" s="219">
        <v>5932829.2599999998</v>
      </c>
      <c r="F36" s="219"/>
      <c r="G36" s="219">
        <v>6878212.6099999994</v>
      </c>
    </row>
    <row r="37" spans="1:7" x14ac:dyDescent="0.25">
      <c r="A37" s="218">
        <v>9</v>
      </c>
      <c r="B37" s="218" t="s">
        <v>2314</v>
      </c>
      <c r="C37" s="219">
        <v>981316.26</v>
      </c>
      <c r="D37" s="219">
        <v>405896.15</v>
      </c>
      <c r="E37" s="219">
        <v>3545029.76</v>
      </c>
      <c r="F37" s="219"/>
      <c r="G37" s="219">
        <v>4932242.17</v>
      </c>
    </row>
    <row r="38" spans="1:7" x14ac:dyDescent="0.25">
      <c r="A38" s="218">
        <v>10</v>
      </c>
      <c r="B38" s="218" t="s">
        <v>2283</v>
      </c>
      <c r="C38" s="219">
        <v>391702.7</v>
      </c>
      <c r="D38" s="219">
        <v>694101.87</v>
      </c>
      <c r="E38" s="219">
        <v>3192896.93</v>
      </c>
      <c r="F38" s="219">
        <v>465833.84</v>
      </c>
      <c r="G38" s="219">
        <v>4744535.34</v>
      </c>
    </row>
    <row r="39" spans="1:7" x14ac:dyDescent="0.25">
      <c r="A39" s="218">
        <v>11</v>
      </c>
      <c r="B39" s="218" t="s">
        <v>2322</v>
      </c>
      <c r="C39" s="219">
        <v>1284642.32</v>
      </c>
      <c r="D39" s="219">
        <v>258825</v>
      </c>
      <c r="E39" s="219">
        <v>2195695.29</v>
      </c>
      <c r="F39" s="219"/>
      <c r="G39" s="219">
        <v>3739162.6100000003</v>
      </c>
    </row>
    <row r="40" spans="1:7" x14ac:dyDescent="0.25">
      <c r="A40" s="218">
        <v>12</v>
      </c>
      <c r="B40" s="218" t="s">
        <v>2310</v>
      </c>
      <c r="C40" s="219">
        <v>180550</v>
      </c>
      <c r="D40" s="219">
        <v>600434.79</v>
      </c>
      <c r="E40" s="219">
        <v>2684178.6800000002</v>
      </c>
      <c r="F40" s="219"/>
      <c r="G40" s="219">
        <v>3465163.47</v>
      </c>
    </row>
    <row r="41" spans="1:7" x14ac:dyDescent="0.25">
      <c r="A41" s="218">
        <v>13</v>
      </c>
      <c r="B41" s="218" t="s">
        <v>2422</v>
      </c>
      <c r="C41" s="219"/>
      <c r="D41" s="219"/>
      <c r="E41" s="219">
        <v>875388.09</v>
      </c>
      <c r="F41" s="219"/>
      <c r="G41" s="219">
        <v>875388.09</v>
      </c>
    </row>
    <row r="42" spans="1:7" x14ac:dyDescent="0.25">
      <c r="A42" s="218">
        <v>14</v>
      </c>
      <c r="B42" s="218" t="s">
        <v>2421</v>
      </c>
      <c r="C42" s="219"/>
      <c r="D42" s="219"/>
      <c r="E42" s="219">
        <v>328856</v>
      </c>
      <c r="F42" s="219"/>
      <c r="G42" s="219">
        <v>328856</v>
      </c>
    </row>
    <row r="43" spans="1:7" x14ac:dyDescent="0.25">
      <c r="A43" s="218">
        <v>15</v>
      </c>
      <c r="B43" s="218" t="s">
        <v>2539</v>
      </c>
      <c r="C43" s="219"/>
      <c r="D43" s="219"/>
      <c r="E43" s="219">
        <v>148005</v>
      </c>
      <c r="F43" s="219"/>
      <c r="G43" s="219">
        <v>148005</v>
      </c>
    </row>
    <row r="44" spans="1:7" x14ac:dyDescent="0.25">
      <c r="A44" s="218">
        <v>16</v>
      </c>
      <c r="B44" s="218" t="s">
        <v>2388</v>
      </c>
      <c r="C44" s="219"/>
      <c r="D44" s="219"/>
      <c r="E44" s="219">
        <v>117500</v>
      </c>
      <c r="F44" s="219"/>
      <c r="G44" s="219">
        <v>117500</v>
      </c>
    </row>
    <row r="45" spans="1:7" x14ac:dyDescent="0.25">
      <c r="A45" s="218">
        <v>17</v>
      </c>
      <c r="B45" s="218" t="s">
        <v>2527</v>
      </c>
      <c r="C45" s="219"/>
      <c r="D45" s="219"/>
      <c r="E45" s="219">
        <v>95262</v>
      </c>
      <c r="F45" s="219"/>
      <c r="G45" s="219">
        <v>95262</v>
      </c>
    </row>
    <row r="46" spans="1:7" x14ac:dyDescent="0.25">
      <c r="A46" s="218"/>
      <c r="B46" s="221" t="s">
        <v>2535</v>
      </c>
      <c r="C46" s="222">
        <v>10599436.870000001</v>
      </c>
      <c r="D46" s="222">
        <v>12238111.290000001</v>
      </c>
      <c r="E46" s="222">
        <v>115871464.72000004</v>
      </c>
      <c r="F46" s="222">
        <v>3187856.1799999997</v>
      </c>
      <c r="G46" s="222">
        <v>141896869.06</v>
      </c>
    </row>
  </sheetData>
  <mergeCells count="1">
    <mergeCell ref="A26:G26"/>
  </mergeCell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25BD4-9C3F-49F2-A208-C32F770C03FE}">
  <dimension ref="A1:Q1003"/>
  <sheetViews>
    <sheetView topLeftCell="B547" workbookViewId="0">
      <selection activeCell="K983" sqref="K983:L983"/>
    </sheetView>
  </sheetViews>
  <sheetFormatPr defaultColWidth="30.7109375" defaultRowHeight="11.25" x14ac:dyDescent="0.2"/>
  <cols>
    <col min="1" max="1" width="21.28515625" style="154" customWidth="1"/>
    <col min="2" max="2" width="7.85546875" style="154" bestFit="1" customWidth="1"/>
    <col min="3" max="3" width="9.140625" style="154" bestFit="1" customWidth="1"/>
    <col min="4" max="4" width="16.140625" style="154" customWidth="1"/>
    <col min="5" max="6" width="12.85546875" style="154" customWidth="1"/>
    <col min="7" max="7" width="14.5703125" style="154" customWidth="1"/>
    <col min="8" max="8" width="10.42578125" style="154" bestFit="1" customWidth="1"/>
    <col min="9" max="9" width="40.5703125" style="154" customWidth="1"/>
    <col min="10" max="10" width="38.85546875" style="154" customWidth="1"/>
    <col min="11" max="11" width="17.5703125" style="154" customWidth="1"/>
    <col min="12" max="12" width="9" style="154" bestFit="1" customWidth="1"/>
    <col min="13" max="13" width="14.28515625" style="181" customWidth="1"/>
    <col min="14" max="14" width="17.28515625" style="130" bestFit="1" customWidth="1"/>
    <col min="15" max="15" width="12.28515625" style="154" bestFit="1" customWidth="1"/>
    <col min="16" max="16" width="11.28515625" style="154" bestFit="1" customWidth="1"/>
    <col min="17" max="16384" width="30.7109375" style="154"/>
  </cols>
  <sheetData>
    <row r="1" spans="1:17" ht="21" x14ac:dyDescent="0.2">
      <c r="A1" s="148" t="s">
        <v>0</v>
      </c>
      <c r="B1" s="149" t="s">
        <v>1</v>
      </c>
      <c r="C1" s="153" t="s">
        <v>2</v>
      </c>
      <c r="D1" s="149" t="s">
        <v>3</v>
      </c>
      <c r="E1" s="149" t="s">
        <v>4</v>
      </c>
      <c r="F1" s="149" t="s">
        <v>2541</v>
      </c>
      <c r="G1" s="149" t="s">
        <v>2255</v>
      </c>
      <c r="H1" s="149" t="s">
        <v>5</v>
      </c>
      <c r="I1" s="149" t="s">
        <v>6</v>
      </c>
      <c r="J1" s="149" t="s">
        <v>2358</v>
      </c>
      <c r="K1" s="149" t="s">
        <v>7</v>
      </c>
      <c r="L1" s="149" t="s">
        <v>8</v>
      </c>
      <c r="M1" s="149" t="s">
        <v>9</v>
      </c>
      <c r="N1" s="150" t="s">
        <v>10</v>
      </c>
      <c r="O1" s="169" t="s">
        <v>11</v>
      </c>
      <c r="P1" s="169" t="s">
        <v>2256</v>
      </c>
      <c r="Q1" s="154" t="s">
        <v>2538</v>
      </c>
    </row>
    <row r="2" spans="1:17" x14ac:dyDescent="0.2">
      <c r="A2" s="139" t="s">
        <v>53</v>
      </c>
      <c r="B2" s="113">
        <v>2006382</v>
      </c>
      <c r="C2" s="113">
        <v>100900</v>
      </c>
      <c r="D2" s="114" t="s">
        <v>54</v>
      </c>
      <c r="E2" s="113">
        <v>69</v>
      </c>
      <c r="F2" s="113" t="str">
        <f>IF(E2&lt;=20,"0-19",
IF(E2&lt;=50,"20-49",
IF(E2&lt;=80,"50-79","80+")))</f>
        <v>50-79</v>
      </c>
      <c r="G2" s="113" t="s">
        <v>55</v>
      </c>
      <c r="H2" s="113" t="s">
        <v>15</v>
      </c>
      <c r="I2" s="114" t="s">
        <v>56</v>
      </c>
      <c r="J2" s="114" t="s">
        <v>2275</v>
      </c>
      <c r="K2" s="114" t="s">
        <v>25</v>
      </c>
      <c r="L2" s="113" t="s">
        <v>57</v>
      </c>
      <c r="M2" s="114">
        <v>1</v>
      </c>
      <c r="N2" s="115">
        <v>194820.47</v>
      </c>
      <c r="O2" s="87" t="s">
        <v>18</v>
      </c>
      <c r="P2" s="171"/>
      <c r="Q2" s="210"/>
    </row>
    <row r="3" spans="1:17" x14ac:dyDescent="0.2">
      <c r="A3" s="139" t="s">
        <v>68</v>
      </c>
      <c r="B3" s="82">
        <v>2002126</v>
      </c>
      <c r="C3" s="82">
        <v>10331</v>
      </c>
      <c r="D3" s="82" t="s">
        <v>440</v>
      </c>
      <c r="E3" s="82">
        <v>69</v>
      </c>
      <c r="F3" s="82" t="str">
        <f>IF(E3&lt;=20,"0-19",
IF(E3&lt;=50,"20-49",
IF(E3&lt;=80,"50-79","80+")))</f>
        <v>50-79</v>
      </c>
      <c r="G3" s="82" t="s">
        <v>60</v>
      </c>
      <c r="H3" s="82" t="s">
        <v>22</v>
      </c>
      <c r="I3" s="92" t="s">
        <v>829</v>
      </c>
      <c r="J3" s="92" t="s">
        <v>2275</v>
      </c>
      <c r="K3" s="92" t="s">
        <v>830</v>
      </c>
      <c r="L3" s="82" t="s">
        <v>831</v>
      </c>
      <c r="M3" s="82">
        <v>1</v>
      </c>
      <c r="N3" s="84">
        <v>130867</v>
      </c>
      <c r="O3" s="82" t="s">
        <v>832</v>
      </c>
      <c r="P3" s="171"/>
      <c r="Q3" s="210"/>
    </row>
    <row r="4" spans="1:17" x14ac:dyDescent="0.2">
      <c r="A4" s="139" t="s">
        <v>53</v>
      </c>
      <c r="B4" s="82">
        <v>2004100</v>
      </c>
      <c r="C4" s="82">
        <v>100573</v>
      </c>
      <c r="D4" s="82" t="s">
        <v>83</v>
      </c>
      <c r="E4" s="92">
        <v>68</v>
      </c>
      <c r="F4" s="92" t="str">
        <f>IF(E4&lt;=20,"0-19",
IF(E4&lt;=50,"20-49",
IF(E4&lt;=80,"50-79","80+")))</f>
        <v>50-79</v>
      </c>
      <c r="G4" s="82" t="s">
        <v>60</v>
      </c>
      <c r="H4" s="82" t="s">
        <v>22</v>
      </c>
      <c r="I4" s="82" t="s">
        <v>84</v>
      </c>
      <c r="J4" s="82" t="s">
        <v>2275</v>
      </c>
      <c r="K4" s="92" t="s">
        <v>85</v>
      </c>
      <c r="L4" s="92" t="s">
        <v>85</v>
      </c>
      <c r="M4" s="82">
        <v>1</v>
      </c>
      <c r="N4" s="101">
        <v>30394</v>
      </c>
      <c r="O4" s="82" t="s">
        <v>18</v>
      </c>
      <c r="P4" s="170"/>
      <c r="Q4" s="210"/>
    </row>
    <row r="5" spans="1:17" x14ac:dyDescent="0.2">
      <c r="A5" s="105" t="s">
        <v>53</v>
      </c>
      <c r="B5" s="82">
        <v>2009724</v>
      </c>
      <c r="C5" s="82">
        <v>14672</v>
      </c>
      <c r="D5" s="82" t="s">
        <v>2020</v>
      </c>
      <c r="E5" s="82">
        <v>65</v>
      </c>
      <c r="F5" s="82" t="str">
        <f>IF(E5&lt;=20,"0-19",
IF(E5&lt;=50,"20-49",
IF(E5&lt;=80,"50-79","80+")))</f>
        <v>50-79</v>
      </c>
      <c r="G5" s="82" t="s">
        <v>2021</v>
      </c>
      <c r="H5" s="82" t="s">
        <v>15</v>
      </c>
      <c r="I5" s="82" t="s">
        <v>2022</v>
      </c>
      <c r="J5" s="82" t="s">
        <v>2275</v>
      </c>
      <c r="K5" s="92" t="s">
        <v>1911</v>
      </c>
      <c r="L5" s="82" t="s">
        <v>1895</v>
      </c>
      <c r="M5" s="82">
        <v>1</v>
      </c>
      <c r="N5" s="151">
        <v>53066.17</v>
      </c>
      <c r="O5" s="151" t="s">
        <v>2254</v>
      </c>
      <c r="P5" s="152">
        <v>254715397690</v>
      </c>
      <c r="Q5" s="210"/>
    </row>
    <row r="6" spans="1:17" x14ac:dyDescent="0.2">
      <c r="A6" s="139" t="s">
        <v>32</v>
      </c>
      <c r="B6" s="113">
        <v>2013527</v>
      </c>
      <c r="C6" s="113">
        <v>65367</v>
      </c>
      <c r="D6" s="114" t="s">
        <v>33</v>
      </c>
      <c r="E6" s="113">
        <v>62</v>
      </c>
      <c r="F6" s="113" t="str">
        <f>IF(E6&lt;=20,"0-19",
IF(E6&lt;=50,"20-49",
IF(E6&lt;=80,"50-79","80+")))</f>
        <v>50-79</v>
      </c>
      <c r="G6" s="113" t="s">
        <v>34</v>
      </c>
      <c r="H6" s="113" t="s">
        <v>22</v>
      </c>
      <c r="I6" s="114" t="s">
        <v>35</v>
      </c>
      <c r="J6" s="114" t="s">
        <v>2304</v>
      </c>
      <c r="K6" s="114" t="s">
        <v>36</v>
      </c>
      <c r="L6" s="113" t="s">
        <v>37</v>
      </c>
      <c r="M6" s="114">
        <v>1</v>
      </c>
      <c r="N6" s="115">
        <v>35943</v>
      </c>
      <c r="O6" s="87" t="s">
        <v>18</v>
      </c>
      <c r="P6" s="171"/>
      <c r="Q6" s="210"/>
    </row>
    <row r="7" spans="1:17" x14ac:dyDescent="0.2">
      <c r="A7" s="139" t="s">
        <v>1503</v>
      </c>
      <c r="B7" s="82">
        <v>2407209</v>
      </c>
      <c r="C7" s="82">
        <v>58921</v>
      </c>
      <c r="D7" s="82" t="s">
        <v>864</v>
      </c>
      <c r="E7" s="82">
        <v>44</v>
      </c>
      <c r="F7" s="82" t="str">
        <f>IF(E7&lt;=20,"0-19",
IF(E7&lt;=50,"20-49",
IF(E7&lt;=80,"50-79","80+")))</f>
        <v>20-49</v>
      </c>
      <c r="G7" s="82" t="s">
        <v>49</v>
      </c>
      <c r="H7" s="82" t="s">
        <v>15</v>
      </c>
      <c r="I7" s="82" t="s">
        <v>865</v>
      </c>
      <c r="J7" s="82" t="s">
        <v>2304</v>
      </c>
      <c r="K7" s="92" t="s">
        <v>860</v>
      </c>
      <c r="L7" s="92" t="s">
        <v>860</v>
      </c>
      <c r="M7" s="82">
        <v>1</v>
      </c>
      <c r="N7" s="84">
        <v>108021</v>
      </c>
      <c r="O7" s="82" t="s">
        <v>832</v>
      </c>
      <c r="P7" s="170"/>
      <c r="Q7" s="210"/>
    </row>
    <row r="8" spans="1:17" x14ac:dyDescent="0.2">
      <c r="A8" s="139" t="s">
        <v>63</v>
      </c>
      <c r="B8" s="92">
        <v>2018512</v>
      </c>
      <c r="C8" s="82">
        <v>34312</v>
      </c>
      <c r="D8" s="92" t="s">
        <v>1390</v>
      </c>
      <c r="E8" s="92">
        <v>17</v>
      </c>
      <c r="F8" s="92" t="str">
        <f>IF(E8&lt;=20,"0-19",
IF(E8&lt;=50,"20-49",
IF(E8&lt;=80,"50-79","80+")))</f>
        <v>0-19</v>
      </c>
      <c r="G8" s="92" t="s">
        <v>126</v>
      </c>
      <c r="H8" s="92" t="s">
        <v>132</v>
      </c>
      <c r="I8" s="92" t="s">
        <v>1391</v>
      </c>
      <c r="J8" s="114" t="s">
        <v>2304</v>
      </c>
      <c r="K8" s="92" t="s">
        <v>1236</v>
      </c>
      <c r="L8" s="93" t="s">
        <v>1260</v>
      </c>
      <c r="M8" s="93">
        <v>1</v>
      </c>
      <c r="N8" s="94">
        <v>236288</v>
      </c>
      <c r="O8" s="82" t="s">
        <v>832</v>
      </c>
      <c r="P8" s="171"/>
      <c r="Q8" s="210"/>
    </row>
    <row r="9" spans="1:17" x14ac:dyDescent="0.2">
      <c r="A9" s="105" t="s">
        <v>856</v>
      </c>
      <c r="B9" s="82">
        <v>2501067</v>
      </c>
      <c r="C9" s="82">
        <v>83002</v>
      </c>
      <c r="D9" s="82" t="s">
        <v>1791</v>
      </c>
      <c r="E9" s="82">
        <v>44</v>
      </c>
      <c r="F9" s="82" t="str">
        <f>IF(E9&lt;=20,"0-19",
IF(E9&lt;=50,"20-49",
IF(E9&lt;=80,"50-79","80+")))</f>
        <v>20-49</v>
      </c>
      <c r="G9" s="82" t="s">
        <v>1792</v>
      </c>
      <c r="H9" s="82" t="s">
        <v>22</v>
      </c>
      <c r="I9" s="92" t="s">
        <v>29</v>
      </c>
      <c r="J9" s="92" t="s">
        <v>2288</v>
      </c>
      <c r="K9" s="82" t="s">
        <v>1567</v>
      </c>
      <c r="L9" s="82" t="s">
        <v>1675</v>
      </c>
      <c r="M9" s="82">
        <v>1</v>
      </c>
      <c r="N9" s="151">
        <v>253014.01</v>
      </c>
      <c r="O9" s="151" t="s">
        <v>2254</v>
      </c>
      <c r="P9" s="152">
        <v>254712884054</v>
      </c>
      <c r="Q9" s="210"/>
    </row>
    <row r="10" spans="1:17" x14ac:dyDescent="0.2">
      <c r="A10" s="103" t="s">
        <v>26</v>
      </c>
      <c r="B10" s="82">
        <v>2007413</v>
      </c>
      <c r="C10" s="82">
        <v>20881</v>
      </c>
      <c r="D10" s="82" t="s">
        <v>27</v>
      </c>
      <c r="E10" s="92">
        <v>64</v>
      </c>
      <c r="F10" s="92" t="str">
        <f>IF(E10&lt;=20,"0-19",
IF(E10&lt;=50,"20-49",
IF(E10&lt;=80,"50-79","80+")))</f>
        <v>50-79</v>
      </c>
      <c r="G10" s="82" t="s">
        <v>28</v>
      </c>
      <c r="H10" s="82" t="s">
        <v>15</v>
      </c>
      <c r="I10" s="82" t="s">
        <v>29</v>
      </c>
      <c r="J10" s="82" t="s">
        <v>2288</v>
      </c>
      <c r="K10" s="92" t="s">
        <v>30</v>
      </c>
      <c r="L10" s="92" t="s">
        <v>31</v>
      </c>
      <c r="M10" s="82">
        <v>1</v>
      </c>
      <c r="N10" s="101">
        <v>92025</v>
      </c>
      <c r="O10" s="82" t="s">
        <v>18</v>
      </c>
      <c r="P10" s="170"/>
      <c r="Q10" s="210"/>
    </row>
    <row r="11" spans="1:17" x14ac:dyDescent="0.2">
      <c r="A11" s="139" t="s">
        <v>847</v>
      </c>
      <c r="B11" s="82">
        <v>2019609</v>
      </c>
      <c r="C11" s="82">
        <v>61525</v>
      </c>
      <c r="D11" s="82" t="s">
        <v>848</v>
      </c>
      <c r="E11" s="82">
        <v>48</v>
      </c>
      <c r="F11" s="82" t="str">
        <f>IF(E11&lt;=20,"0-19",
IF(E11&lt;=50,"20-49",
IF(E11&lt;=80,"50-79","80+")))</f>
        <v>20-49</v>
      </c>
      <c r="G11" s="82" t="s">
        <v>49</v>
      </c>
      <c r="H11" s="82" t="s">
        <v>15</v>
      </c>
      <c r="I11" s="92" t="s">
        <v>849</v>
      </c>
      <c r="J11" s="92" t="s">
        <v>2288</v>
      </c>
      <c r="K11" s="92" t="s">
        <v>850</v>
      </c>
      <c r="L11" s="82" t="s">
        <v>851</v>
      </c>
      <c r="M11" s="82">
        <v>1</v>
      </c>
      <c r="N11" s="84">
        <v>359993</v>
      </c>
      <c r="O11" s="82" t="s">
        <v>832</v>
      </c>
      <c r="P11" s="170"/>
      <c r="Q11" s="210"/>
    </row>
    <row r="12" spans="1:17" x14ac:dyDescent="0.2">
      <c r="A12" s="139" t="s">
        <v>19</v>
      </c>
      <c r="B12" s="82">
        <v>2011543</v>
      </c>
      <c r="C12" s="82">
        <v>9552</v>
      </c>
      <c r="D12" s="82" t="s">
        <v>844</v>
      </c>
      <c r="E12" s="82">
        <v>20</v>
      </c>
      <c r="F12" s="82" t="str">
        <f>IF(E12&lt;=20,"0-19",
IF(E12&lt;=50,"20-49",
IF(E12&lt;=80,"50-79","80+")))</f>
        <v>0-19</v>
      </c>
      <c r="G12" s="82" t="s">
        <v>60</v>
      </c>
      <c r="H12" s="82" t="s">
        <v>88</v>
      </c>
      <c r="I12" s="92" t="s">
        <v>845</v>
      </c>
      <c r="J12" s="92" t="s">
        <v>2288</v>
      </c>
      <c r="K12" s="92" t="s">
        <v>843</v>
      </c>
      <c r="L12" s="82" t="s">
        <v>846</v>
      </c>
      <c r="M12" s="82">
        <v>1</v>
      </c>
      <c r="N12" s="84">
        <v>62290</v>
      </c>
      <c r="O12" s="82" t="s">
        <v>832</v>
      </c>
      <c r="P12" s="171"/>
      <c r="Q12" s="210"/>
    </row>
    <row r="13" spans="1:17" ht="21" x14ac:dyDescent="0.2">
      <c r="A13" s="104" t="s">
        <v>856</v>
      </c>
      <c r="B13" s="86">
        <v>2005441</v>
      </c>
      <c r="C13" s="87">
        <v>13962</v>
      </c>
      <c r="D13" s="86" t="s">
        <v>2003</v>
      </c>
      <c r="E13" s="86">
        <v>65</v>
      </c>
      <c r="F13" s="86" t="str">
        <f>IF(E13&lt;=20,"0-19",
IF(E13&lt;=50,"20-49",
IF(E13&lt;=80,"50-79","80+")))</f>
        <v>50-79</v>
      </c>
      <c r="G13" s="86" t="s">
        <v>2004</v>
      </c>
      <c r="H13" s="86" t="s">
        <v>15</v>
      </c>
      <c r="I13" s="86" t="s">
        <v>1605</v>
      </c>
      <c r="J13" s="92" t="s">
        <v>2288</v>
      </c>
      <c r="K13" s="88" t="s">
        <v>1898</v>
      </c>
      <c r="L13" s="88" t="s">
        <v>1906</v>
      </c>
      <c r="M13" s="86">
        <v>1</v>
      </c>
      <c r="N13" s="164">
        <v>43757.85</v>
      </c>
      <c r="O13" s="164" t="s">
        <v>2254</v>
      </c>
      <c r="P13" s="168">
        <v>254722459249</v>
      </c>
      <c r="Q13" s="210"/>
    </row>
    <row r="14" spans="1:17" ht="21" x14ac:dyDescent="0.2">
      <c r="A14" s="105" t="s">
        <v>274</v>
      </c>
      <c r="B14" s="82">
        <v>2013704</v>
      </c>
      <c r="C14" s="82">
        <v>12933</v>
      </c>
      <c r="D14" s="82" t="s">
        <v>1899</v>
      </c>
      <c r="E14" s="82">
        <v>11</v>
      </c>
      <c r="F14" s="82" t="str">
        <f>IF(E14&lt;=20,"0-19",
IF(E14&lt;=50,"20-49",
IF(E14&lt;=80,"50-79","80+")))</f>
        <v>0-19</v>
      </c>
      <c r="G14" s="82" t="s">
        <v>1900</v>
      </c>
      <c r="H14" s="82" t="s">
        <v>132</v>
      </c>
      <c r="I14" s="82" t="s">
        <v>1901</v>
      </c>
      <c r="J14" s="82" t="s">
        <v>2295</v>
      </c>
      <c r="K14" s="92" t="s">
        <v>1902</v>
      </c>
      <c r="L14" s="82" t="s">
        <v>1893</v>
      </c>
      <c r="M14" s="82">
        <v>1</v>
      </c>
      <c r="N14" s="151">
        <v>8739</v>
      </c>
      <c r="O14" s="151" t="s">
        <v>2254</v>
      </c>
      <c r="P14" s="152">
        <v>254729953155</v>
      </c>
      <c r="Q14" s="210"/>
    </row>
    <row r="15" spans="1:17" x14ac:dyDescent="0.2">
      <c r="A15" s="103" t="s">
        <v>58</v>
      </c>
      <c r="B15" s="82">
        <v>2003111</v>
      </c>
      <c r="C15" s="82">
        <v>53272</v>
      </c>
      <c r="D15" s="82" t="s">
        <v>59</v>
      </c>
      <c r="E15" s="92">
        <v>67</v>
      </c>
      <c r="F15" s="92" t="str">
        <f>IF(E15&lt;=20,"0-19",
IF(E15&lt;=50,"20-49",
IF(E15&lt;=80,"50-79","80+")))</f>
        <v>50-79</v>
      </c>
      <c r="G15" s="82" t="s">
        <v>60</v>
      </c>
      <c r="H15" s="82" t="s">
        <v>22</v>
      </c>
      <c r="I15" s="82" t="s">
        <v>61</v>
      </c>
      <c r="J15" s="82" t="s">
        <v>2295</v>
      </c>
      <c r="K15" s="92" t="s">
        <v>62</v>
      </c>
      <c r="L15" s="92" t="s">
        <v>30</v>
      </c>
      <c r="M15" s="82">
        <v>1</v>
      </c>
      <c r="N15" s="101">
        <v>68575</v>
      </c>
      <c r="O15" s="82" t="s">
        <v>18</v>
      </c>
      <c r="P15" s="170"/>
      <c r="Q15" s="210"/>
    </row>
    <row r="16" spans="1:17" x14ac:dyDescent="0.2">
      <c r="A16" s="139" t="s">
        <v>1502</v>
      </c>
      <c r="B16" s="93">
        <v>2003444</v>
      </c>
      <c r="C16" s="82">
        <v>18642</v>
      </c>
      <c r="D16" s="93" t="s">
        <v>680</v>
      </c>
      <c r="E16" s="93">
        <v>64</v>
      </c>
      <c r="F16" s="93" t="str">
        <f>IF(E16&lt;=20,"0-19",
IF(E16&lt;=50,"20-49",
IF(E16&lt;=80,"50-79","80+")))</f>
        <v>50-79</v>
      </c>
      <c r="G16" s="93" t="s">
        <v>60</v>
      </c>
      <c r="H16" s="93" t="s">
        <v>22</v>
      </c>
      <c r="I16" s="93" t="s">
        <v>833</v>
      </c>
      <c r="J16" s="93" t="s">
        <v>2295</v>
      </c>
      <c r="K16" s="93" t="s">
        <v>834</v>
      </c>
      <c r="L16" s="93" t="s">
        <v>835</v>
      </c>
      <c r="M16" s="93">
        <v>1</v>
      </c>
      <c r="N16" s="94">
        <v>82225</v>
      </c>
      <c r="O16" s="82" t="s">
        <v>832</v>
      </c>
      <c r="P16" s="171"/>
      <c r="Q16" s="210"/>
    </row>
    <row r="17" spans="1:17" x14ac:dyDescent="0.2">
      <c r="A17" s="139" t="s">
        <v>68</v>
      </c>
      <c r="B17" s="113">
        <v>2021242</v>
      </c>
      <c r="C17" s="113">
        <v>60266</v>
      </c>
      <c r="D17" s="114" t="s">
        <v>69</v>
      </c>
      <c r="E17" s="113">
        <v>61</v>
      </c>
      <c r="F17" s="113" t="str">
        <f>IF(E17&lt;=20,"0-19",
IF(E17&lt;=50,"20-49",
IF(E17&lt;=80,"50-79","80+")))</f>
        <v>50-79</v>
      </c>
      <c r="G17" s="113" t="s">
        <v>60</v>
      </c>
      <c r="H17" s="113" t="s">
        <v>22</v>
      </c>
      <c r="I17" s="114" t="s">
        <v>70</v>
      </c>
      <c r="J17" s="114" t="s">
        <v>2295</v>
      </c>
      <c r="K17" s="114" t="s">
        <v>51</v>
      </c>
      <c r="L17" s="113" t="s">
        <v>71</v>
      </c>
      <c r="M17" s="114">
        <v>1</v>
      </c>
      <c r="N17" s="115">
        <v>64286</v>
      </c>
      <c r="O17" s="82" t="s">
        <v>18</v>
      </c>
      <c r="P17" s="170"/>
      <c r="Q17" s="210"/>
    </row>
    <row r="18" spans="1:17" x14ac:dyDescent="0.2">
      <c r="A18" s="139" t="s">
        <v>155</v>
      </c>
      <c r="B18" s="82">
        <v>2006586</v>
      </c>
      <c r="C18" s="82">
        <v>9088</v>
      </c>
      <c r="D18" s="82" t="s">
        <v>1422</v>
      </c>
      <c r="E18" s="82">
        <v>70</v>
      </c>
      <c r="F18" s="82" t="str">
        <f>IF(E18&lt;=20,"0-19",
IF(E18&lt;=50,"20-49",
IF(E18&lt;=80,"50-79","80+")))</f>
        <v>50-79</v>
      </c>
      <c r="G18" s="82" t="s">
        <v>1423</v>
      </c>
      <c r="H18" s="82" t="s">
        <v>15</v>
      </c>
      <c r="I18" s="82" t="s">
        <v>1424</v>
      </c>
      <c r="J18" s="82" t="s">
        <v>2295</v>
      </c>
      <c r="K18" s="82" t="s">
        <v>1241</v>
      </c>
      <c r="L18" s="82" t="s">
        <v>1288</v>
      </c>
      <c r="M18" s="82">
        <v>1</v>
      </c>
      <c r="N18" s="84">
        <v>215893</v>
      </c>
      <c r="O18" s="82" t="s">
        <v>832</v>
      </c>
      <c r="P18" s="171"/>
      <c r="Q18" s="210"/>
    </row>
    <row r="19" spans="1:17" x14ac:dyDescent="0.2">
      <c r="A19" s="139" t="s">
        <v>1371</v>
      </c>
      <c r="B19" s="82">
        <v>2016894</v>
      </c>
      <c r="C19" s="82">
        <v>57521</v>
      </c>
      <c r="D19" s="82" t="s">
        <v>1372</v>
      </c>
      <c r="E19" s="82">
        <v>65</v>
      </c>
      <c r="F19" s="82" t="str">
        <f>IF(E19&lt;=20,"0-19",
IF(E19&lt;=50,"20-49",
IF(E19&lt;=80,"50-79","80+")))</f>
        <v>50-79</v>
      </c>
      <c r="G19" s="82" t="s">
        <v>49</v>
      </c>
      <c r="H19" s="82" t="s">
        <v>15</v>
      </c>
      <c r="I19" s="82" t="s">
        <v>1373</v>
      </c>
      <c r="J19" s="82" t="s">
        <v>2295</v>
      </c>
      <c r="K19" s="82" t="s">
        <v>1249</v>
      </c>
      <c r="L19" s="82" t="s">
        <v>1288</v>
      </c>
      <c r="M19" s="82">
        <v>1</v>
      </c>
      <c r="N19" s="84">
        <v>296910</v>
      </c>
      <c r="O19" s="82" t="s">
        <v>832</v>
      </c>
      <c r="P19" s="171"/>
      <c r="Q19" s="210"/>
    </row>
    <row r="20" spans="1:17" x14ac:dyDescent="0.2">
      <c r="A20" s="139" t="s">
        <v>68</v>
      </c>
      <c r="B20" s="82">
        <v>2002171</v>
      </c>
      <c r="C20" s="82">
        <v>15126</v>
      </c>
      <c r="D20" s="82" t="s">
        <v>1406</v>
      </c>
      <c r="E20" s="82">
        <v>68</v>
      </c>
      <c r="F20" s="82" t="str">
        <f>IF(E20&lt;=20,"0-19",
IF(E20&lt;=50,"20-49",
IF(E20&lt;=80,"50-79","80+")))</f>
        <v>50-79</v>
      </c>
      <c r="G20" s="82" t="s">
        <v>60</v>
      </c>
      <c r="H20" s="82" t="s">
        <v>22</v>
      </c>
      <c r="I20" s="82" t="s">
        <v>1407</v>
      </c>
      <c r="J20" s="82" t="s">
        <v>2295</v>
      </c>
      <c r="K20" s="82" t="s">
        <v>1249</v>
      </c>
      <c r="L20" s="82" t="s">
        <v>1366</v>
      </c>
      <c r="M20" s="82">
        <v>1</v>
      </c>
      <c r="N20" s="84">
        <v>188955</v>
      </c>
      <c r="O20" s="82" t="s">
        <v>832</v>
      </c>
      <c r="P20" s="171"/>
      <c r="Q20" s="210"/>
    </row>
    <row r="21" spans="1:17" ht="21" x14ac:dyDescent="0.2">
      <c r="A21" s="108" t="s">
        <v>75</v>
      </c>
      <c r="B21" s="87">
        <v>2022978</v>
      </c>
      <c r="C21" s="87">
        <v>61074</v>
      </c>
      <c r="D21" s="87" t="s">
        <v>80</v>
      </c>
      <c r="E21" s="86">
        <v>62</v>
      </c>
      <c r="F21" s="86" t="str">
        <f>IF(E21&lt;=20,"0-19",
IF(E21&lt;=50,"20-49",
IF(E21&lt;=80,"50-79","80+")))</f>
        <v>50-79</v>
      </c>
      <c r="G21" s="87" t="s">
        <v>60</v>
      </c>
      <c r="H21" s="87" t="s">
        <v>22</v>
      </c>
      <c r="I21" s="87" t="s">
        <v>81</v>
      </c>
      <c r="J21" s="87" t="s">
        <v>2295</v>
      </c>
      <c r="K21" s="86" t="s">
        <v>82</v>
      </c>
      <c r="L21" s="86" t="s">
        <v>66</v>
      </c>
      <c r="M21" s="87">
        <v>1</v>
      </c>
      <c r="N21" s="97">
        <v>110559.54</v>
      </c>
      <c r="O21" s="87" t="s">
        <v>18</v>
      </c>
      <c r="P21" s="171"/>
      <c r="Q21" s="210"/>
    </row>
    <row r="22" spans="1:17" x14ac:dyDescent="0.2">
      <c r="A22" s="139" t="s">
        <v>1482</v>
      </c>
      <c r="B22" s="82">
        <v>2022978</v>
      </c>
      <c r="C22" s="82">
        <v>61074</v>
      </c>
      <c r="D22" s="82" t="s">
        <v>861</v>
      </c>
      <c r="E22" s="82">
        <v>62</v>
      </c>
      <c r="F22" s="82" t="str">
        <f>IF(E22&lt;=20,"0-19",
IF(E22&lt;=50,"20-49",
IF(E22&lt;=80,"50-79","80+")))</f>
        <v>50-79</v>
      </c>
      <c r="G22" s="82" t="s">
        <v>862</v>
      </c>
      <c r="H22" s="82" t="s">
        <v>22</v>
      </c>
      <c r="I22" s="92" t="s">
        <v>863</v>
      </c>
      <c r="J22" s="92" t="s">
        <v>2295</v>
      </c>
      <c r="K22" s="92" t="s">
        <v>851</v>
      </c>
      <c r="L22" s="82" t="s">
        <v>855</v>
      </c>
      <c r="M22" s="82">
        <v>1</v>
      </c>
      <c r="N22" s="84">
        <v>30621.32</v>
      </c>
      <c r="O22" s="82" t="s">
        <v>832</v>
      </c>
      <c r="P22" s="171"/>
      <c r="Q22" s="210"/>
    </row>
    <row r="23" spans="1:17" x14ac:dyDescent="0.2">
      <c r="A23" s="104" t="s">
        <v>515</v>
      </c>
      <c r="B23" s="87">
        <v>2018647</v>
      </c>
      <c r="C23" s="87">
        <v>103352</v>
      </c>
      <c r="D23" s="87" t="s">
        <v>2201</v>
      </c>
      <c r="E23" s="87">
        <v>53</v>
      </c>
      <c r="F23" s="87" t="str">
        <f>IF(E23&lt;=20,"0-19",
IF(E23&lt;=50,"20-49",
IF(E23&lt;=80,"50-79","80+")))</f>
        <v>50-79</v>
      </c>
      <c r="G23" s="87" t="s">
        <v>2202</v>
      </c>
      <c r="H23" s="87" t="s">
        <v>15</v>
      </c>
      <c r="I23" s="87" t="s">
        <v>2203</v>
      </c>
      <c r="J23" s="114" t="s">
        <v>2546</v>
      </c>
      <c r="K23" s="86" t="s">
        <v>1906</v>
      </c>
      <c r="L23" s="87" t="s">
        <v>2016</v>
      </c>
      <c r="M23" s="87">
        <v>1</v>
      </c>
      <c r="N23" s="161">
        <v>272059</v>
      </c>
      <c r="O23" s="161" t="s">
        <v>2254</v>
      </c>
      <c r="P23" s="168">
        <v>254713738247</v>
      </c>
      <c r="Q23" s="210"/>
    </row>
    <row r="24" spans="1:17" x14ac:dyDescent="0.2">
      <c r="A24" s="139" t="s">
        <v>63</v>
      </c>
      <c r="B24" s="82">
        <v>2004684</v>
      </c>
      <c r="C24" s="82">
        <v>34706</v>
      </c>
      <c r="D24" s="82" t="s">
        <v>1395</v>
      </c>
      <c r="E24" s="82">
        <v>12</v>
      </c>
      <c r="F24" s="82" t="str">
        <f>IF(E24&lt;=20,"0-19",
IF(E24&lt;=50,"20-49",
IF(E24&lt;=80,"50-79","80+")))</f>
        <v>0-19</v>
      </c>
      <c r="G24" s="82" t="s">
        <v>1396</v>
      </c>
      <c r="H24" s="82" t="s">
        <v>132</v>
      </c>
      <c r="I24" s="82" t="s">
        <v>1397</v>
      </c>
      <c r="J24" s="114" t="s">
        <v>2546</v>
      </c>
      <c r="K24" s="82" t="s">
        <v>1398</v>
      </c>
      <c r="L24" s="82" t="s">
        <v>1288</v>
      </c>
      <c r="M24" s="82">
        <v>1</v>
      </c>
      <c r="N24" s="84">
        <v>76377</v>
      </c>
      <c r="O24" s="82" t="s">
        <v>832</v>
      </c>
      <c r="P24" s="171"/>
      <c r="Q24" s="210"/>
    </row>
    <row r="25" spans="1:17" x14ac:dyDescent="0.2">
      <c r="A25" s="105" t="s">
        <v>63</v>
      </c>
      <c r="B25" s="82">
        <v>2002229</v>
      </c>
      <c r="C25" s="82">
        <v>32460</v>
      </c>
      <c r="D25" s="82" t="s">
        <v>1759</v>
      </c>
      <c r="E25" s="82">
        <v>52</v>
      </c>
      <c r="F25" s="82" t="str">
        <f>IF(E25&lt;=20,"0-19",
IF(E25&lt;=50,"20-49",
IF(E25&lt;=80,"50-79","80+")))</f>
        <v>50-79</v>
      </c>
      <c r="G25" s="82" t="s">
        <v>1760</v>
      </c>
      <c r="H25" s="82" t="s">
        <v>22</v>
      </c>
      <c r="I25" s="92" t="s">
        <v>1761</v>
      </c>
      <c r="J25" s="92" t="s">
        <v>2310</v>
      </c>
      <c r="K25" s="82" t="s">
        <v>1572</v>
      </c>
      <c r="L25" s="82" t="s">
        <v>1589</v>
      </c>
      <c r="M25" s="82">
        <v>1</v>
      </c>
      <c r="N25" s="151">
        <v>180178</v>
      </c>
      <c r="O25" s="151" t="s">
        <v>2254</v>
      </c>
      <c r="P25" s="152">
        <v>254721570563</v>
      </c>
      <c r="Q25" s="210"/>
    </row>
    <row r="26" spans="1:17" ht="21" x14ac:dyDescent="0.2">
      <c r="A26" s="139" t="s">
        <v>1331</v>
      </c>
      <c r="B26" s="92">
        <v>2006672</v>
      </c>
      <c r="C26" s="82">
        <v>59575</v>
      </c>
      <c r="D26" s="92" t="s">
        <v>1332</v>
      </c>
      <c r="E26" s="92">
        <v>15</v>
      </c>
      <c r="F26" s="92" t="str">
        <f>IF(E26&lt;=20,"0-19",
IF(E26&lt;=50,"20-49",
IF(E26&lt;=80,"50-79","80+")))</f>
        <v>0-19</v>
      </c>
      <c r="G26" s="92" t="s">
        <v>1333</v>
      </c>
      <c r="H26" s="92" t="s">
        <v>132</v>
      </c>
      <c r="I26" s="92" t="s">
        <v>1334</v>
      </c>
      <c r="J26" s="92" t="s">
        <v>2310</v>
      </c>
      <c r="K26" s="92" t="s">
        <v>1225</v>
      </c>
      <c r="L26" s="93" t="s">
        <v>1264</v>
      </c>
      <c r="M26" s="92">
        <v>1</v>
      </c>
      <c r="N26" s="101">
        <v>180550</v>
      </c>
      <c r="O26" s="82" t="s">
        <v>832</v>
      </c>
      <c r="P26" s="170"/>
      <c r="Q26" s="210"/>
    </row>
    <row r="27" spans="1:17" x14ac:dyDescent="0.2">
      <c r="A27" s="139" t="s">
        <v>38</v>
      </c>
      <c r="B27" s="113">
        <v>2505152</v>
      </c>
      <c r="C27" s="113">
        <v>67191</v>
      </c>
      <c r="D27" s="114" t="s">
        <v>39</v>
      </c>
      <c r="E27" s="113">
        <v>57</v>
      </c>
      <c r="F27" s="113" t="str">
        <f>IF(E27&lt;=20,"0-19",
IF(E27&lt;=50,"20-49",
IF(E27&lt;=80,"50-79","80+")))</f>
        <v>50-79</v>
      </c>
      <c r="G27" s="113" t="s">
        <v>40</v>
      </c>
      <c r="H27" s="113" t="s">
        <v>22</v>
      </c>
      <c r="I27" s="114" t="s">
        <v>41</v>
      </c>
      <c r="J27" s="114" t="s">
        <v>2311</v>
      </c>
      <c r="K27" s="114" t="s">
        <v>37</v>
      </c>
      <c r="L27" s="113" t="s">
        <v>42</v>
      </c>
      <c r="M27" s="114">
        <v>1</v>
      </c>
      <c r="N27" s="115">
        <v>67985</v>
      </c>
      <c r="O27" s="82" t="s">
        <v>18</v>
      </c>
      <c r="P27" s="170"/>
      <c r="Q27" s="210"/>
    </row>
    <row r="28" spans="1:17" x14ac:dyDescent="0.2">
      <c r="A28" s="139" t="s">
        <v>155</v>
      </c>
      <c r="B28" s="82">
        <v>2020509</v>
      </c>
      <c r="C28" s="82">
        <v>104396</v>
      </c>
      <c r="D28" s="82" t="s">
        <v>852</v>
      </c>
      <c r="E28" s="82">
        <v>57</v>
      </c>
      <c r="F28" s="82" t="str">
        <f>IF(E28&lt;=20,"0-19",
IF(E28&lt;=50,"20-49",
IF(E28&lt;=80,"50-79","80+")))</f>
        <v>50-79</v>
      </c>
      <c r="G28" s="82" t="s">
        <v>853</v>
      </c>
      <c r="H28" s="82" t="s">
        <v>15</v>
      </c>
      <c r="I28" s="92" t="s">
        <v>854</v>
      </c>
      <c r="J28" s="92" t="s">
        <v>2328</v>
      </c>
      <c r="K28" s="92" t="s">
        <v>851</v>
      </c>
      <c r="L28" s="82" t="s">
        <v>855</v>
      </c>
      <c r="M28" s="82">
        <v>1</v>
      </c>
      <c r="N28" s="84">
        <v>44068</v>
      </c>
      <c r="O28" s="82" t="s">
        <v>832</v>
      </c>
      <c r="P28" s="171"/>
      <c r="Q28" s="210"/>
    </row>
    <row r="29" spans="1:17" x14ac:dyDescent="0.2">
      <c r="A29" s="139" t="s">
        <v>63</v>
      </c>
      <c r="B29" s="87">
        <v>2017577</v>
      </c>
      <c r="C29" s="87">
        <v>37153</v>
      </c>
      <c r="D29" s="87" t="s">
        <v>64</v>
      </c>
      <c r="E29" s="86">
        <v>48</v>
      </c>
      <c r="F29" s="86" t="str">
        <f>IF(E29&lt;=20,"0-19",
IF(E29&lt;=50,"20-49",
IF(E29&lt;=80,"50-79","80+")))</f>
        <v>20-49</v>
      </c>
      <c r="G29" s="87" t="s">
        <v>49</v>
      </c>
      <c r="H29" s="87" t="s">
        <v>15</v>
      </c>
      <c r="I29" s="87" t="s">
        <v>65</v>
      </c>
      <c r="J29" s="87" t="s">
        <v>2328</v>
      </c>
      <c r="K29" s="86" t="s">
        <v>66</v>
      </c>
      <c r="L29" s="86" t="s">
        <v>67</v>
      </c>
      <c r="M29" s="87">
        <v>1</v>
      </c>
      <c r="N29" s="97">
        <v>127109</v>
      </c>
      <c r="O29" s="87" t="s">
        <v>18</v>
      </c>
      <c r="P29" s="171"/>
      <c r="Q29" s="210"/>
    </row>
    <row r="30" spans="1:17" x14ac:dyDescent="0.2">
      <c r="A30" s="139" t="s">
        <v>836</v>
      </c>
      <c r="B30" s="82">
        <v>2005700</v>
      </c>
      <c r="C30" s="82">
        <v>60742</v>
      </c>
      <c r="D30" s="82" t="s">
        <v>837</v>
      </c>
      <c r="E30" s="82">
        <v>19</v>
      </c>
      <c r="F30" s="82" t="str">
        <f>IF(E30&lt;=20,"0-19",
IF(E30&lt;=50,"20-49",
IF(E30&lt;=80,"50-79","80+")))</f>
        <v>0-19</v>
      </c>
      <c r="G30" s="82" t="s">
        <v>838</v>
      </c>
      <c r="H30" s="82" t="s">
        <v>132</v>
      </c>
      <c r="I30" s="92" t="s">
        <v>839</v>
      </c>
      <c r="J30" s="92" t="s">
        <v>2314</v>
      </c>
      <c r="K30" s="92" t="s">
        <v>835</v>
      </c>
      <c r="L30" s="82" t="s">
        <v>834</v>
      </c>
      <c r="M30" s="82">
        <v>1</v>
      </c>
      <c r="N30" s="84">
        <v>75416.800000000003</v>
      </c>
      <c r="O30" s="82" t="s">
        <v>832</v>
      </c>
      <c r="P30" s="170"/>
      <c r="Q30" s="210"/>
    </row>
    <row r="31" spans="1:17" x14ac:dyDescent="0.2">
      <c r="A31" s="138" t="s">
        <v>43</v>
      </c>
      <c r="B31" s="111">
        <v>2018815</v>
      </c>
      <c r="C31" s="111">
        <v>43293</v>
      </c>
      <c r="D31" s="111" t="s">
        <v>44</v>
      </c>
      <c r="E31" s="111">
        <v>60</v>
      </c>
      <c r="F31" s="111" t="str">
        <f>IF(E31&lt;=20,"0-19",
IF(E31&lt;=50,"20-49",
IF(E31&lt;=80,"50-79","80+")))</f>
        <v>50-79</v>
      </c>
      <c r="G31" s="111" t="s">
        <v>14</v>
      </c>
      <c r="H31" s="111" t="s">
        <v>15</v>
      </c>
      <c r="I31" s="111" t="s">
        <v>45</v>
      </c>
      <c r="J31" s="111" t="s">
        <v>2314</v>
      </c>
      <c r="K31" s="111" t="s">
        <v>46</v>
      </c>
      <c r="L31" s="111" t="s">
        <v>46</v>
      </c>
      <c r="M31" s="111">
        <v>1</v>
      </c>
      <c r="N31" s="112">
        <v>147677.49</v>
      </c>
      <c r="O31" s="87" t="s">
        <v>18</v>
      </c>
      <c r="P31" s="171"/>
      <c r="Q31" s="210"/>
    </row>
    <row r="32" spans="1:17" x14ac:dyDescent="0.2">
      <c r="A32" s="104" t="s">
        <v>72</v>
      </c>
      <c r="B32" s="114">
        <v>2005052</v>
      </c>
      <c r="C32" s="114">
        <v>3711</v>
      </c>
      <c r="D32" s="114" t="s">
        <v>73</v>
      </c>
      <c r="E32" s="114">
        <v>58</v>
      </c>
      <c r="F32" s="114" t="str">
        <f>IF(E32&lt;=20,"0-19",
IF(E32&lt;=50,"20-49",
IF(E32&lt;=80,"50-79","80+")))</f>
        <v>50-79</v>
      </c>
      <c r="G32" s="114" t="s">
        <v>14</v>
      </c>
      <c r="H32" s="114" t="s">
        <v>15</v>
      </c>
      <c r="I32" s="114" t="s">
        <v>74</v>
      </c>
      <c r="J32" s="82" t="s">
        <v>2270</v>
      </c>
      <c r="K32" s="114" t="s">
        <v>17</v>
      </c>
      <c r="L32" s="114" t="s">
        <v>17</v>
      </c>
      <c r="M32" s="114">
        <v>1</v>
      </c>
      <c r="N32" s="116">
        <v>53583</v>
      </c>
      <c r="O32" s="87" t="s">
        <v>18</v>
      </c>
      <c r="P32" s="171"/>
      <c r="Q32" s="210"/>
    </row>
    <row r="33" spans="1:17" x14ac:dyDescent="0.2">
      <c r="A33" s="103" t="s">
        <v>75</v>
      </c>
      <c r="B33" s="82">
        <v>2005082</v>
      </c>
      <c r="C33" s="82">
        <v>101741</v>
      </c>
      <c r="D33" s="82" t="s">
        <v>76</v>
      </c>
      <c r="E33" s="92">
        <v>69</v>
      </c>
      <c r="F33" s="92" t="str">
        <f>IF(E33&lt;=20,"0-19",
IF(E33&lt;=50,"20-49",
IF(E33&lt;=80,"50-79","80+")))</f>
        <v>50-79</v>
      </c>
      <c r="G33" s="82" t="s">
        <v>49</v>
      </c>
      <c r="H33" s="82" t="s">
        <v>15</v>
      </c>
      <c r="I33" s="82" t="s">
        <v>77</v>
      </c>
      <c r="J33" s="82" t="s">
        <v>2270</v>
      </c>
      <c r="K33" s="92" t="s">
        <v>78</v>
      </c>
      <c r="L33" s="92" t="s">
        <v>79</v>
      </c>
      <c r="M33" s="82">
        <v>1</v>
      </c>
      <c r="N33" s="101">
        <v>17875</v>
      </c>
      <c r="O33" s="82" t="s">
        <v>18</v>
      </c>
      <c r="P33" s="170"/>
      <c r="Q33" s="210"/>
    </row>
    <row r="34" spans="1:17" ht="21" x14ac:dyDescent="0.2">
      <c r="A34" s="105" t="s">
        <v>373</v>
      </c>
      <c r="B34" s="92">
        <v>2004761</v>
      </c>
      <c r="C34" s="82">
        <v>31664</v>
      </c>
      <c r="D34" s="92" t="s">
        <v>2213</v>
      </c>
      <c r="E34" s="92">
        <v>54</v>
      </c>
      <c r="F34" s="92" t="str">
        <f>IF(E34&lt;=20,"0-19",
IF(E34&lt;=50,"20-49",
IF(E34&lt;=80,"50-79","80+")))</f>
        <v>50-79</v>
      </c>
      <c r="G34" s="92" t="s">
        <v>187</v>
      </c>
      <c r="H34" s="92" t="s">
        <v>15</v>
      </c>
      <c r="I34" s="92" t="s">
        <v>2214</v>
      </c>
      <c r="J34" s="92" t="s">
        <v>2270</v>
      </c>
      <c r="K34" s="92" t="s">
        <v>1908</v>
      </c>
      <c r="L34" s="92" t="s">
        <v>1911</v>
      </c>
      <c r="M34" s="93">
        <v>1</v>
      </c>
      <c r="N34" s="159">
        <v>363005</v>
      </c>
      <c r="O34" s="159" t="s">
        <v>2254</v>
      </c>
      <c r="P34" s="152">
        <v>254722679315</v>
      </c>
      <c r="Q34" s="210"/>
    </row>
    <row r="35" spans="1:17" x14ac:dyDescent="0.2">
      <c r="A35" s="139" t="s">
        <v>544</v>
      </c>
      <c r="B35" s="82">
        <v>2009023</v>
      </c>
      <c r="C35" s="82">
        <v>18240</v>
      </c>
      <c r="D35" s="82" t="s">
        <v>1191</v>
      </c>
      <c r="E35" s="82">
        <v>42</v>
      </c>
      <c r="F35" s="82" t="str">
        <f>IF(E35&lt;=20,"0-19",
IF(E35&lt;=50,"20-49",
IF(E35&lt;=80,"50-79","80+")))</f>
        <v>20-49</v>
      </c>
      <c r="G35" s="82" t="s">
        <v>14</v>
      </c>
      <c r="H35" s="82" t="s">
        <v>15</v>
      </c>
      <c r="I35" s="92" t="s">
        <v>1465</v>
      </c>
      <c r="J35" s="92" t="s">
        <v>2270</v>
      </c>
      <c r="K35" s="92" t="s">
        <v>1238</v>
      </c>
      <c r="L35" s="92" t="s">
        <v>1241</v>
      </c>
      <c r="M35" s="82">
        <v>1</v>
      </c>
      <c r="N35" s="84">
        <v>311709.8</v>
      </c>
      <c r="O35" s="82" t="s">
        <v>832</v>
      </c>
      <c r="P35" s="170"/>
      <c r="Q35" s="210"/>
    </row>
    <row r="36" spans="1:17" x14ac:dyDescent="0.2">
      <c r="A36" s="139" t="s">
        <v>19</v>
      </c>
      <c r="B36" s="113">
        <v>2001971</v>
      </c>
      <c r="C36" s="113">
        <v>12324</v>
      </c>
      <c r="D36" s="114" t="s">
        <v>20</v>
      </c>
      <c r="E36" s="113">
        <v>67</v>
      </c>
      <c r="F36" s="113" t="str">
        <f>IF(E36&lt;=20,"0-19",
IF(E36&lt;=50,"20-49",
IF(E36&lt;=80,"50-79","80+")))</f>
        <v>50-79</v>
      </c>
      <c r="G36" s="113" t="s">
        <v>21</v>
      </c>
      <c r="H36" s="113" t="s">
        <v>22</v>
      </c>
      <c r="I36" s="114" t="s">
        <v>23</v>
      </c>
      <c r="J36" s="111" t="s">
        <v>2270</v>
      </c>
      <c r="K36" s="114" t="s">
        <v>24</v>
      </c>
      <c r="L36" s="113" t="s">
        <v>25</v>
      </c>
      <c r="M36" s="114">
        <v>1</v>
      </c>
      <c r="N36" s="115">
        <v>98666</v>
      </c>
      <c r="O36" s="87" t="s">
        <v>18</v>
      </c>
      <c r="P36" s="171"/>
      <c r="Q36" s="210"/>
    </row>
    <row r="37" spans="1:17" x14ac:dyDescent="0.2">
      <c r="A37" s="138" t="s">
        <v>12</v>
      </c>
      <c r="B37" s="111">
        <v>2022001</v>
      </c>
      <c r="C37" s="111">
        <v>16631</v>
      </c>
      <c r="D37" s="111" t="s">
        <v>13</v>
      </c>
      <c r="E37" s="111">
        <v>58</v>
      </c>
      <c r="F37" s="111" t="str">
        <f>IF(E37&lt;=20,"0-19",
IF(E37&lt;=50,"20-49",
IF(E37&lt;=80,"50-79","80+")))</f>
        <v>50-79</v>
      </c>
      <c r="G37" s="111" t="s">
        <v>14</v>
      </c>
      <c r="H37" s="111" t="s">
        <v>15</v>
      </c>
      <c r="I37" s="111" t="s">
        <v>16</v>
      </c>
      <c r="J37" s="111" t="s">
        <v>2270</v>
      </c>
      <c r="K37" s="111" t="s">
        <v>17</v>
      </c>
      <c r="L37" s="111" t="s">
        <v>17</v>
      </c>
      <c r="M37" s="111">
        <v>1</v>
      </c>
      <c r="N37" s="112">
        <v>30745.25</v>
      </c>
      <c r="O37" s="82" t="s">
        <v>18</v>
      </c>
      <c r="P37" s="170"/>
      <c r="Q37" s="210"/>
    </row>
    <row r="38" spans="1:17" x14ac:dyDescent="0.2">
      <c r="A38" s="139" t="s">
        <v>1503</v>
      </c>
      <c r="B38" s="82">
        <v>2010955</v>
      </c>
      <c r="C38" s="82">
        <v>9590</v>
      </c>
      <c r="D38" s="82" t="s">
        <v>841</v>
      </c>
      <c r="E38" s="82">
        <v>70</v>
      </c>
      <c r="F38" s="82" t="str">
        <f>IF(E38&lt;=20,"0-19",
IF(E38&lt;=50,"20-49",
IF(E38&lt;=80,"50-79","80+")))</f>
        <v>50-79</v>
      </c>
      <c r="G38" s="82" t="s">
        <v>14</v>
      </c>
      <c r="H38" s="82" t="s">
        <v>15</v>
      </c>
      <c r="I38" s="92" t="s">
        <v>842</v>
      </c>
      <c r="J38" s="114" t="s">
        <v>2328</v>
      </c>
      <c r="K38" s="92" t="s">
        <v>843</v>
      </c>
      <c r="L38" s="82" t="s">
        <v>831</v>
      </c>
      <c r="M38" s="82">
        <v>1</v>
      </c>
      <c r="N38" s="84">
        <v>72104</v>
      </c>
      <c r="O38" s="82" t="s">
        <v>832</v>
      </c>
      <c r="P38" s="171"/>
      <c r="Q38" s="210"/>
    </row>
    <row r="39" spans="1:17" ht="21" x14ac:dyDescent="0.2">
      <c r="A39" s="139" t="s">
        <v>1509</v>
      </c>
      <c r="B39" s="93">
        <v>2408158</v>
      </c>
      <c r="C39" s="82">
        <v>67453</v>
      </c>
      <c r="D39" s="93" t="s">
        <v>1513</v>
      </c>
      <c r="E39" s="93">
        <v>63</v>
      </c>
      <c r="F39" s="93" t="str">
        <f>IF(E39&lt;=20,"0-19",
IF(E39&lt;=50,"20-49",
IF(E39&lt;=80,"50-79","80+")))</f>
        <v>50-79</v>
      </c>
      <c r="G39" s="93" t="s">
        <v>49</v>
      </c>
      <c r="H39" s="93" t="s">
        <v>15</v>
      </c>
      <c r="I39" s="93" t="s">
        <v>1514</v>
      </c>
      <c r="J39" s="93" t="s">
        <v>2322</v>
      </c>
      <c r="K39" s="93" t="s">
        <v>1515</v>
      </c>
      <c r="L39" s="93" t="s">
        <v>1254</v>
      </c>
      <c r="M39" s="93">
        <v>1</v>
      </c>
      <c r="N39" s="101">
        <v>10546.8</v>
      </c>
      <c r="O39" s="82" t="s">
        <v>832</v>
      </c>
      <c r="P39" s="170"/>
      <c r="Q39" s="210"/>
    </row>
    <row r="40" spans="1:17" x14ac:dyDescent="0.2">
      <c r="A40" s="139" t="s">
        <v>47</v>
      </c>
      <c r="B40" s="113">
        <v>2010096</v>
      </c>
      <c r="C40" s="113">
        <v>7076</v>
      </c>
      <c r="D40" s="114" t="s">
        <v>48</v>
      </c>
      <c r="E40" s="113">
        <v>47</v>
      </c>
      <c r="F40" s="113" t="str">
        <f>IF(E40&lt;=20,"0-19",
IF(E40&lt;=50,"20-49",
IF(E40&lt;=80,"50-79","80+")))</f>
        <v>20-49</v>
      </c>
      <c r="G40" s="113" t="s">
        <v>49</v>
      </c>
      <c r="H40" s="113" t="s">
        <v>15</v>
      </c>
      <c r="I40" s="114" t="s">
        <v>50</v>
      </c>
      <c r="J40" s="114" t="s">
        <v>2283</v>
      </c>
      <c r="K40" s="114" t="s">
        <v>51</v>
      </c>
      <c r="L40" s="113" t="s">
        <v>52</v>
      </c>
      <c r="M40" s="114">
        <v>1</v>
      </c>
      <c r="N40" s="115">
        <v>127188.53</v>
      </c>
      <c r="O40" s="82" t="s">
        <v>18</v>
      </c>
      <c r="P40" s="170"/>
      <c r="Q40" s="210"/>
    </row>
    <row r="41" spans="1:17" x14ac:dyDescent="0.2">
      <c r="A41" s="105" t="s">
        <v>117</v>
      </c>
      <c r="B41" s="82">
        <v>2021273</v>
      </c>
      <c r="C41" s="82">
        <v>56896</v>
      </c>
      <c r="D41" s="82" t="s">
        <v>1597</v>
      </c>
      <c r="E41" s="82">
        <v>59</v>
      </c>
      <c r="F41" s="82" t="str">
        <f>IF(E41&lt;=20,"0-19",
IF(E41&lt;=50,"20-49",
IF(E41&lt;=80,"50-79","80+")))</f>
        <v>50-79</v>
      </c>
      <c r="G41" s="82" t="s">
        <v>14</v>
      </c>
      <c r="H41" s="82" t="s">
        <v>706</v>
      </c>
      <c r="I41" s="92" t="s">
        <v>1598</v>
      </c>
      <c r="J41" s="92" t="s">
        <v>2283</v>
      </c>
      <c r="K41" s="82" t="s">
        <v>1549</v>
      </c>
      <c r="L41" s="82" t="s">
        <v>1556</v>
      </c>
      <c r="M41" s="82">
        <v>1</v>
      </c>
      <c r="N41" s="151">
        <v>28505</v>
      </c>
      <c r="O41" s="151" t="s">
        <v>2254</v>
      </c>
      <c r="P41" s="152">
        <v>254721334599</v>
      </c>
      <c r="Q41" s="210"/>
    </row>
    <row r="42" spans="1:17" ht="21" x14ac:dyDescent="0.2">
      <c r="A42" s="139" t="s">
        <v>1037</v>
      </c>
      <c r="B42" s="93">
        <v>2009253</v>
      </c>
      <c r="C42" s="82">
        <v>105618</v>
      </c>
      <c r="D42" s="93" t="s">
        <v>1291</v>
      </c>
      <c r="E42" s="93">
        <v>20</v>
      </c>
      <c r="F42" s="93" t="str">
        <f>IF(E42&lt;=20,"0-19",
IF(E42&lt;=50,"20-49",
IF(E42&lt;=80,"50-79","80+")))</f>
        <v>0-19</v>
      </c>
      <c r="G42" s="93" t="s">
        <v>1039</v>
      </c>
      <c r="H42" s="93" t="s">
        <v>132</v>
      </c>
      <c r="I42" s="93" t="s">
        <v>1292</v>
      </c>
      <c r="J42" s="93" t="s">
        <v>2283</v>
      </c>
      <c r="K42" s="93" t="s">
        <v>1225</v>
      </c>
      <c r="L42" s="93" t="s">
        <v>1254</v>
      </c>
      <c r="M42" s="93">
        <v>1</v>
      </c>
      <c r="N42" s="94">
        <v>48520</v>
      </c>
      <c r="O42" s="82" t="s">
        <v>832</v>
      </c>
      <c r="P42" s="171"/>
      <c r="Q42" s="210"/>
    </row>
    <row r="43" spans="1:17" x14ac:dyDescent="0.2">
      <c r="A43" s="139" t="s">
        <v>856</v>
      </c>
      <c r="B43" s="82">
        <v>2022317</v>
      </c>
      <c r="C43" s="82">
        <v>103261</v>
      </c>
      <c r="D43" s="82" t="s">
        <v>857</v>
      </c>
      <c r="E43" s="82">
        <v>56</v>
      </c>
      <c r="F43" s="82" t="str">
        <f>IF(E43&lt;=20,"0-19",
IF(E43&lt;=50,"20-49",
IF(E43&lt;=80,"50-79","80+")))</f>
        <v>50-79</v>
      </c>
      <c r="G43" s="82" t="s">
        <v>49</v>
      </c>
      <c r="H43" s="82" t="s">
        <v>15</v>
      </c>
      <c r="I43" s="82" t="s">
        <v>858</v>
      </c>
      <c r="J43" s="82" t="s">
        <v>2283</v>
      </c>
      <c r="K43" s="92" t="s">
        <v>859</v>
      </c>
      <c r="L43" s="92" t="s">
        <v>860</v>
      </c>
      <c r="M43" s="82">
        <v>1</v>
      </c>
      <c r="N43" s="84">
        <v>158625.75</v>
      </c>
      <c r="O43" s="82" t="s">
        <v>832</v>
      </c>
      <c r="P43" s="171"/>
      <c r="Q43" s="210"/>
    </row>
    <row r="44" spans="1:17" x14ac:dyDescent="0.2">
      <c r="A44" s="105" t="s">
        <v>117</v>
      </c>
      <c r="B44" s="82">
        <v>2021273</v>
      </c>
      <c r="C44" s="82">
        <v>56896</v>
      </c>
      <c r="D44" s="82" t="s">
        <v>1613</v>
      </c>
      <c r="E44" s="82">
        <v>59</v>
      </c>
      <c r="F44" s="82" t="str">
        <f>IF(E44&lt;=20,"0-19",
IF(E44&lt;=50,"20-49",
IF(E44&lt;=80,"50-79","80+")))</f>
        <v>50-79</v>
      </c>
      <c r="G44" s="82" t="s">
        <v>1614</v>
      </c>
      <c r="H44" s="82" t="s">
        <v>15</v>
      </c>
      <c r="I44" s="92" t="s">
        <v>1615</v>
      </c>
      <c r="J44" s="92" t="s">
        <v>2283</v>
      </c>
      <c r="K44" s="82" t="s">
        <v>1567</v>
      </c>
      <c r="L44" s="82" t="s">
        <v>1551</v>
      </c>
      <c r="M44" s="82">
        <v>1</v>
      </c>
      <c r="N44" s="151">
        <v>34000</v>
      </c>
      <c r="O44" s="151" t="s">
        <v>2254</v>
      </c>
      <c r="P44" s="152">
        <v>254724712619</v>
      </c>
      <c r="Q44" s="210"/>
    </row>
    <row r="45" spans="1:17" x14ac:dyDescent="0.2">
      <c r="A45" s="105" t="s">
        <v>1590</v>
      </c>
      <c r="B45" s="82">
        <v>2021273</v>
      </c>
      <c r="C45" s="82">
        <v>56896</v>
      </c>
      <c r="D45" s="82" t="s">
        <v>1613</v>
      </c>
      <c r="E45" s="82">
        <v>59</v>
      </c>
      <c r="F45" s="82" t="str">
        <f>IF(E45&lt;=20,"0-19",
IF(E45&lt;=50,"20-49",
IF(E45&lt;=80,"50-79","80+")))</f>
        <v>50-79</v>
      </c>
      <c r="G45" s="82" t="s">
        <v>1614</v>
      </c>
      <c r="H45" s="82" t="s">
        <v>15</v>
      </c>
      <c r="I45" s="92" t="s">
        <v>1615</v>
      </c>
      <c r="J45" s="92" t="s">
        <v>2283</v>
      </c>
      <c r="K45" s="82" t="s">
        <v>1567</v>
      </c>
      <c r="L45" s="82" t="s">
        <v>1551</v>
      </c>
      <c r="M45" s="82">
        <v>1</v>
      </c>
      <c r="N45" s="151">
        <v>74069.740000000005</v>
      </c>
      <c r="O45" s="151" t="s">
        <v>2254</v>
      </c>
      <c r="P45" s="152">
        <v>254722708622</v>
      </c>
      <c r="Q45" s="210"/>
    </row>
    <row r="46" spans="1:17" x14ac:dyDescent="0.2">
      <c r="A46" s="139" t="s">
        <v>836</v>
      </c>
      <c r="B46" s="92">
        <v>2004023</v>
      </c>
      <c r="C46" s="82">
        <v>61041</v>
      </c>
      <c r="D46" s="92" t="s">
        <v>1414</v>
      </c>
      <c r="E46" s="92">
        <v>65</v>
      </c>
      <c r="F46" s="92" t="str">
        <f>IF(E46&lt;=20,"0-19",
IF(E46&lt;=50,"20-49",
IF(E46&lt;=80,"50-79","80+")))</f>
        <v>50-79</v>
      </c>
      <c r="G46" s="92" t="s">
        <v>1415</v>
      </c>
      <c r="H46" s="92" t="s">
        <v>22</v>
      </c>
      <c r="I46" s="92" t="s">
        <v>1416</v>
      </c>
      <c r="J46" s="114" t="s">
        <v>2295</v>
      </c>
      <c r="K46" s="92" t="s">
        <v>1242</v>
      </c>
      <c r="L46" s="93" t="s">
        <v>1232</v>
      </c>
      <c r="M46" s="93">
        <v>1</v>
      </c>
      <c r="N46" s="94">
        <v>62050</v>
      </c>
      <c r="O46" s="82" t="s">
        <v>832</v>
      </c>
      <c r="P46" s="171"/>
      <c r="Q46" s="210"/>
    </row>
    <row r="47" spans="1:17" x14ac:dyDescent="0.2">
      <c r="A47" s="105" t="s">
        <v>1690</v>
      </c>
      <c r="B47" s="92">
        <v>2013720</v>
      </c>
      <c r="C47" s="82">
        <v>15793</v>
      </c>
      <c r="D47" s="92" t="s">
        <v>2078</v>
      </c>
      <c r="E47" s="92">
        <v>64</v>
      </c>
      <c r="F47" s="92" t="str">
        <f>IF(E47&lt;=20,"0-19",
IF(E47&lt;=50,"20-49",
IF(E47&lt;=80,"50-79","80+")))</f>
        <v>50-79</v>
      </c>
      <c r="G47" s="92" t="s">
        <v>2079</v>
      </c>
      <c r="H47" s="92" t="s">
        <v>22</v>
      </c>
      <c r="I47" s="92" t="s">
        <v>2080</v>
      </c>
      <c r="J47" s="114" t="s">
        <v>2295</v>
      </c>
      <c r="K47" s="93" t="s">
        <v>1898</v>
      </c>
      <c r="L47" s="93" t="s">
        <v>1906</v>
      </c>
      <c r="M47" s="92">
        <v>1</v>
      </c>
      <c r="N47" s="166">
        <v>81996</v>
      </c>
      <c r="O47" s="166" t="s">
        <v>2254</v>
      </c>
      <c r="P47" s="152">
        <v>254705864457</v>
      </c>
      <c r="Q47" s="210"/>
    </row>
    <row r="48" spans="1:17" ht="21" x14ac:dyDescent="0.2">
      <c r="A48" s="139" t="s">
        <v>208</v>
      </c>
      <c r="B48" s="92">
        <v>2503002</v>
      </c>
      <c r="C48" s="82">
        <v>64779</v>
      </c>
      <c r="D48" s="92" t="s">
        <v>1278</v>
      </c>
      <c r="E48" s="92">
        <v>64</v>
      </c>
      <c r="F48" s="92" t="str">
        <f>IF(E48&lt;=20,"0-19",
IF(E48&lt;=50,"20-49",
IF(E48&lt;=80,"50-79","80+")))</f>
        <v>50-79</v>
      </c>
      <c r="G48" s="92" t="s">
        <v>1279</v>
      </c>
      <c r="H48" s="92" t="s">
        <v>15</v>
      </c>
      <c r="I48" s="92" t="s">
        <v>1280</v>
      </c>
      <c r="J48" s="114" t="s">
        <v>2275</v>
      </c>
      <c r="K48" s="92" t="s">
        <v>1225</v>
      </c>
      <c r="L48" s="93" t="s">
        <v>1254</v>
      </c>
      <c r="M48" s="93">
        <v>2</v>
      </c>
      <c r="N48" s="94">
        <v>68785</v>
      </c>
      <c r="O48" s="82" t="s">
        <v>832</v>
      </c>
      <c r="P48" s="170"/>
      <c r="Q48" s="210"/>
    </row>
    <row r="49" spans="1:17" ht="21" x14ac:dyDescent="0.2">
      <c r="A49" s="139" t="s">
        <v>171</v>
      </c>
      <c r="B49" s="113">
        <v>2019355</v>
      </c>
      <c r="C49" s="113">
        <v>58943</v>
      </c>
      <c r="D49" s="114" t="s">
        <v>172</v>
      </c>
      <c r="E49" s="113">
        <v>63</v>
      </c>
      <c r="F49" s="113" t="str">
        <f>IF(E49&lt;=20,"0-19",
IF(E49&lt;=50,"20-49",
IF(E49&lt;=80,"50-79","80+")))</f>
        <v>50-79</v>
      </c>
      <c r="G49" s="113" t="s">
        <v>173</v>
      </c>
      <c r="H49" s="113" t="s">
        <v>22</v>
      </c>
      <c r="I49" s="114" t="s">
        <v>174</v>
      </c>
      <c r="J49" s="114" t="s">
        <v>2275</v>
      </c>
      <c r="K49" s="114" t="s">
        <v>175</v>
      </c>
      <c r="L49" s="113" t="s">
        <v>25</v>
      </c>
      <c r="M49" s="114">
        <v>2</v>
      </c>
      <c r="N49" s="115">
        <v>288980</v>
      </c>
      <c r="O49" s="82" t="s">
        <v>18</v>
      </c>
      <c r="P49" s="170"/>
      <c r="Q49" s="210"/>
    </row>
    <row r="50" spans="1:17" x14ac:dyDescent="0.2">
      <c r="A50" s="139" t="s">
        <v>913</v>
      </c>
      <c r="B50" s="82">
        <v>26011074</v>
      </c>
      <c r="C50" s="82">
        <v>55454</v>
      </c>
      <c r="D50" s="82" t="s">
        <v>914</v>
      </c>
      <c r="E50" s="82">
        <v>61</v>
      </c>
      <c r="F50" s="82" t="str">
        <f>IF(E50&lt;=20,"0-19",
IF(E50&lt;=50,"20-49",
IF(E50&lt;=80,"50-79","80+")))</f>
        <v>50-79</v>
      </c>
      <c r="G50" s="82" t="s">
        <v>126</v>
      </c>
      <c r="H50" s="82" t="s">
        <v>22</v>
      </c>
      <c r="I50" s="92" t="s">
        <v>915</v>
      </c>
      <c r="J50" s="114" t="s">
        <v>2275</v>
      </c>
      <c r="K50" s="92" t="s">
        <v>843</v>
      </c>
      <c r="L50" s="82" t="s">
        <v>846</v>
      </c>
      <c r="M50" s="82">
        <v>2</v>
      </c>
      <c r="N50" s="84">
        <v>38010</v>
      </c>
      <c r="O50" s="82" t="s">
        <v>832</v>
      </c>
      <c r="P50" s="171"/>
      <c r="Q50" s="210"/>
    </row>
    <row r="51" spans="1:17" ht="21" x14ac:dyDescent="0.2">
      <c r="A51" s="104" t="s">
        <v>232</v>
      </c>
      <c r="B51" s="86">
        <v>2023256</v>
      </c>
      <c r="C51" s="87">
        <v>57514</v>
      </c>
      <c r="D51" s="86" t="s">
        <v>2026</v>
      </c>
      <c r="E51" s="86">
        <v>58</v>
      </c>
      <c r="F51" s="86" t="str">
        <f>IF(E51&lt;=20,"0-19",
IF(E51&lt;=50,"20-49",
IF(E51&lt;=80,"50-79","80+")))</f>
        <v>50-79</v>
      </c>
      <c r="G51" s="86" t="s">
        <v>2027</v>
      </c>
      <c r="H51" s="86" t="s">
        <v>15</v>
      </c>
      <c r="I51" s="86" t="s">
        <v>2028</v>
      </c>
      <c r="J51" s="114" t="s">
        <v>2275</v>
      </c>
      <c r="K51" s="88" t="s">
        <v>1918</v>
      </c>
      <c r="L51" s="88" t="s">
        <v>1906</v>
      </c>
      <c r="M51" s="86">
        <v>2</v>
      </c>
      <c r="N51" s="163">
        <v>55910</v>
      </c>
      <c r="O51" s="163" t="s">
        <v>2254</v>
      </c>
      <c r="P51" s="168">
        <v>254728323604</v>
      </c>
      <c r="Q51" s="210"/>
    </row>
    <row r="52" spans="1:17" x14ac:dyDescent="0.2">
      <c r="A52" s="138" t="s">
        <v>109</v>
      </c>
      <c r="B52" s="113">
        <v>2003401</v>
      </c>
      <c r="C52" s="113">
        <v>31863</v>
      </c>
      <c r="D52" s="114" t="s">
        <v>110</v>
      </c>
      <c r="E52" s="113">
        <v>67</v>
      </c>
      <c r="F52" s="113" t="str">
        <f>IF(E52&lt;=20,"0-19",
IF(E52&lt;=50,"20-49",
IF(E52&lt;=80,"50-79","80+")))</f>
        <v>50-79</v>
      </c>
      <c r="G52" s="113" t="s">
        <v>111</v>
      </c>
      <c r="H52" s="113" t="s">
        <v>22</v>
      </c>
      <c r="I52" s="114" t="s">
        <v>112</v>
      </c>
      <c r="J52" s="114" t="s">
        <v>2275</v>
      </c>
      <c r="K52" s="114" t="s">
        <v>71</v>
      </c>
      <c r="L52" s="113" t="s">
        <v>37</v>
      </c>
      <c r="M52" s="114">
        <v>2</v>
      </c>
      <c r="N52" s="115">
        <v>58513</v>
      </c>
      <c r="O52" s="82" t="s">
        <v>18</v>
      </c>
      <c r="P52" s="170"/>
      <c r="Q52" s="210"/>
    </row>
    <row r="53" spans="1:17" x14ac:dyDescent="0.2">
      <c r="A53" s="139" t="s">
        <v>53</v>
      </c>
      <c r="B53" s="113">
        <v>2002779</v>
      </c>
      <c r="C53" s="113">
        <v>54318</v>
      </c>
      <c r="D53" s="114" t="s">
        <v>134</v>
      </c>
      <c r="E53" s="113">
        <v>70</v>
      </c>
      <c r="F53" s="113" t="str">
        <f>IF(E53&lt;=20,"0-19",
IF(E53&lt;=50,"20-49",
IF(E53&lt;=80,"50-79","80+")))</f>
        <v>50-79</v>
      </c>
      <c r="G53" s="113" t="s">
        <v>135</v>
      </c>
      <c r="H53" s="113" t="s">
        <v>22</v>
      </c>
      <c r="I53" s="114" t="s">
        <v>136</v>
      </c>
      <c r="J53" s="114" t="s">
        <v>2275</v>
      </c>
      <c r="K53" s="114" t="s">
        <v>71</v>
      </c>
      <c r="L53" s="113" t="s">
        <v>37</v>
      </c>
      <c r="M53" s="114">
        <v>2</v>
      </c>
      <c r="N53" s="115">
        <v>424616</v>
      </c>
      <c r="O53" s="82" t="s">
        <v>18</v>
      </c>
      <c r="P53" s="170"/>
      <c r="Q53" s="210"/>
    </row>
    <row r="54" spans="1:17" x14ac:dyDescent="0.2">
      <c r="A54" s="105" t="s">
        <v>63</v>
      </c>
      <c r="B54" s="82">
        <v>2006989</v>
      </c>
      <c r="C54" s="82">
        <v>31311</v>
      </c>
      <c r="D54" s="82" t="s">
        <v>2184</v>
      </c>
      <c r="E54" s="82">
        <v>63</v>
      </c>
      <c r="F54" s="82" t="str">
        <f>IF(E54&lt;=20,"0-19",
IF(E54&lt;=50,"20-49",
IF(E54&lt;=80,"50-79","80+")))</f>
        <v>50-79</v>
      </c>
      <c r="G54" s="82" t="s">
        <v>2185</v>
      </c>
      <c r="H54" s="82" t="s">
        <v>15</v>
      </c>
      <c r="I54" s="82" t="s">
        <v>2186</v>
      </c>
      <c r="J54" s="82" t="s">
        <v>2275</v>
      </c>
      <c r="K54" s="92" t="s">
        <v>2016</v>
      </c>
      <c r="L54" s="82" t="s">
        <v>1922</v>
      </c>
      <c r="M54" s="82">
        <v>2</v>
      </c>
      <c r="N54" s="151">
        <v>207831</v>
      </c>
      <c r="O54" s="151" t="s">
        <v>2254</v>
      </c>
      <c r="P54" s="152">
        <v>254722955242</v>
      </c>
      <c r="Q54" s="210"/>
    </row>
    <row r="55" spans="1:17" x14ac:dyDescent="0.2">
      <c r="A55" s="138" t="s">
        <v>43</v>
      </c>
      <c r="B55" s="111">
        <v>202209</v>
      </c>
      <c r="C55" s="111">
        <v>18145</v>
      </c>
      <c r="D55" s="111" t="s">
        <v>125</v>
      </c>
      <c r="E55" s="111">
        <v>66</v>
      </c>
      <c r="F55" s="111" t="str">
        <f>IF(E55&lt;=20,"0-19",
IF(E55&lt;=50,"20-49",
IF(E55&lt;=80,"50-79","80+")))</f>
        <v>50-79</v>
      </c>
      <c r="G55" s="111" t="s">
        <v>126</v>
      </c>
      <c r="H55" s="111" t="s">
        <v>22</v>
      </c>
      <c r="I55" s="111" t="s">
        <v>127</v>
      </c>
      <c r="J55" s="111" t="s">
        <v>2275</v>
      </c>
      <c r="K55" s="111" t="s">
        <v>2257</v>
      </c>
      <c r="L55" s="111" t="s">
        <v>46</v>
      </c>
      <c r="M55" s="111">
        <v>2</v>
      </c>
      <c r="N55" s="112">
        <v>21275.59</v>
      </c>
      <c r="O55" s="82" t="s">
        <v>18</v>
      </c>
      <c r="P55" s="170"/>
      <c r="Q55" s="210"/>
    </row>
    <row r="56" spans="1:17" ht="21" x14ac:dyDescent="0.2">
      <c r="A56" s="104" t="s">
        <v>53</v>
      </c>
      <c r="B56" s="87">
        <v>2000084</v>
      </c>
      <c r="C56" s="87">
        <v>17767</v>
      </c>
      <c r="D56" s="87" t="s">
        <v>2187</v>
      </c>
      <c r="E56" s="87">
        <v>69</v>
      </c>
      <c r="F56" s="87" t="str">
        <f>IF(E56&lt;=20,"0-19",
IF(E56&lt;=50,"20-49",
IF(E56&lt;=80,"50-79","80+")))</f>
        <v>50-79</v>
      </c>
      <c r="G56" s="87" t="s">
        <v>1935</v>
      </c>
      <c r="H56" s="87" t="s">
        <v>22</v>
      </c>
      <c r="I56" s="87" t="s">
        <v>2188</v>
      </c>
      <c r="J56" s="87" t="s">
        <v>2275</v>
      </c>
      <c r="K56" s="86" t="s">
        <v>2189</v>
      </c>
      <c r="L56" s="87" t="s">
        <v>1921</v>
      </c>
      <c r="M56" s="87">
        <v>2</v>
      </c>
      <c r="N56" s="161">
        <v>223578</v>
      </c>
      <c r="O56" s="161" t="s">
        <v>2254</v>
      </c>
      <c r="P56" s="168">
        <v>254725361028</v>
      </c>
      <c r="Q56" s="210"/>
    </row>
    <row r="57" spans="1:17" x14ac:dyDescent="0.2">
      <c r="A57" s="105" t="s">
        <v>1565</v>
      </c>
      <c r="B57" s="82">
        <v>2014079</v>
      </c>
      <c r="C57" s="82">
        <v>32310</v>
      </c>
      <c r="D57" s="82" t="s">
        <v>2120</v>
      </c>
      <c r="E57" s="82">
        <v>54</v>
      </c>
      <c r="F57" s="82" t="str">
        <f>IF(E57&lt;=20,"0-19",
IF(E57&lt;=50,"20-49",
IF(E57&lt;=80,"50-79","80+")))</f>
        <v>50-79</v>
      </c>
      <c r="G57" s="82" t="s">
        <v>2121</v>
      </c>
      <c r="H57" s="82" t="s">
        <v>15</v>
      </c>
      <c r="I57" s="82" t="s">
        <v>2122</v>
      </c>
      <c r="J57" s="82" t="s">
        <v>2275</v>
      </c>
      <c r="K57" s="92" t="s">
        <v>1908</v>
      </c>
      <c r="L57" s="82" t="s">
        <v>1895</v>
      </c>
      <c r="M57" s="82">
        <v>2</v>
      </c>
      <c r="N57" s="151">
        <v>114260</v>
      </c>
      <c r="O57" s="151" t="s">
        <v>2254</v>
      </c>
      <c r="P57" s="152">
        <v>254701537686</v>
      </c>
      <c r="Q57" s="210"/>
    </row>
    <row r="58" spans="1:17" x14ac:dyDescent="0.2">
      <c r="A58" s="104" t="s">
        <v>354</v>
      </c>
      <c r="B58" s="87">
        <v>2001255</v>
      </c>
      <c r="C58" s="87">
        <v>100198</v>
      </c>
      <c r="D58" s="87" t="s">
        <v>1616</v>
      </c>
      <c r="E58" s="87">
        <v>79</v>
      </c>
      <c r="F58" s="87" t="str">
        <f>IF(E58&lt;=20,"0-19",
IF(E58&lt;=50,"20-49",
IF(E58&lt;=80,"50-79","80+")))</f>
        <v>50-79</v>
      </c>
      <c r="G58" s="87" t="s">
        <v>1617</v>
      </c>
      <c r="H58" s="87" t="s">
        <v>22</v>
      </c>
      <c r="I58" s="86" t="s">
        <v>1618</v>
      </c>
      <c r="J58" s="86" t="s">
        <v>2275</v>
      </c>
      <c r="K58" s="87" t="s">
        <v>1542</v>
      </c>
      <c r="L58" s="87" t="s">
        <v>1549</v>
      </c>
      <c r="M58" s="87">
        <v>2</v>
      </c>
      <c r="N58" s="161">
        <v>35739.449999999997</v>
      </c>
      <c r="O58" s="161" t="s">
        <v>2254</v>
      </c>
      <c r="P58" s="168">
        <v>254721925568</v>
      </c>
      <c r="Q58" s="210"/>
    </row>
    <row r="59" spans="1:17" x14ac:dyDescent="0.2">
      <c r="A59" s="139" t="s">
        <v>1503</v>
      </c>
      <c r="B59" s="82">
        <v>2015968</v>
      </c>
      <c r="C59" s="82">
        <v>32115</v>
      </c>
      <c r="D59" s="82" t="s">
        <v>1529</v>
      </c>
      <c r="E59" s="82">
        <v>67</v>
      </c>
      <c r="F59" s="82" t="str">
        <f>IF(E59&lt;=20,"0-19",
IF(E59&lt;=50,"20-49",
IF(E59&lt;=80,"50-79","80+")))</f>
        <v>50-79</v>
      </c>
      <c r="G59" s="82" t="s">
        <v>1530</v>
      </c>
      <c r="H59" s="82" t="s">
        <v>22</v>
      </c>
      <c r="I59" s="82" t="s">
        <v>1531</v>
      </c>
      <c r="J59" s="82" t="s">
        <v>2275</v>
      </c>
      <c r="K59" s="82" t="s">
        <v>1241</v>
      </c>
      <c r="L59" s="82" t="s">
        <v>1288</v>
      </c>
      <c r="M59" s="82">
        <v>2</v>
      </c>
      <c r="N59" s="84">
        <v>46091</v>
      </c>
      <c r="O59" s="82" t="s">
        <v>832</v>
      </c>
      <c r="P59" s="170"/>
      <c r="Q59" s="210"/>
    </row>
    <row r="60" spans="1:17" x14ac:dyDescent="0.2">
      <c r="A60" s="139" t="s">
        <v>19</v>
      </c>
      <c r="B60" s="87">
        <v>2011024</v>
      </c>
      <c r="C60" s="87">
        <v>14180</v>
      </c>
      <c r="D60" s="87" t="s">
        <v>96</v>
      </c>
      <c r="E60" s="86">
        <v>53</v>
      </c>
      <c r="F60" s="86" t="str">
        <f>IF(E60&lt;=20,"0-19",
IF(E60&lt;=50,"20-49",
IF(E60&lt;=80,"50-79","80+")))</f>
        <v>50-79</v>
      </c>
      <c r="G60" s="87" t="s">
        <v>97</v>
      </c>
      <c r="H60" s="87" t="s">
        <v>15</v>
      </c>
      <c r="I60" s="87" t="s">
        <v>98</v>
      </c>
      <c r="J60" s="87" t="s">
        <v>2275</v>
      </c>
      <c r="K60" s="86" t="s">
        <v>99</v>
      </c>
      <c r="L60" s="86" t="s">
        <v>66</v>
      </c>
      <c r="M60" s="87">
        <v>2</v>
      </c>
      <c r="N60" s="97">
        <v>71081.7</v>
      </c>
      <c r="O60" s="87" t="s">
        <v>18</v>
      </c>
      <c r="P60" s="171"/>
      <c r="Q60" s="210"/>
    </row>
    <row r="61" spans="1:17" x14ac:dyDescent="0.2">
      <c r="A61" s="104" t="s">
        <v>1626</v>
      </c>
      <c r="B61" s="87">
        <v>2508190</v>
      </c>
      <c r="C61" s="87">
        <v>21257</v>
      </c>
      <c r="D61" s="87" t="s">
        <v>1627</v>
      </c>
      <c r="E61" s="87">
        <v>55</v>
      </c>
      <c r="F61" s="87" t="str">
        <f>IF(E61&lt;=20,"0-19",
IF(E61&lt;=50,"20-49",
IF(E61&lt;=80,"50-79","80+")))</f>
        <v>50-79</v>
      </c>
      <c r="G61" s="87" t="s">
        <v>1628</v>
      </c>
      <c r="H61" s="87" t="s">
        <v>15</v>
      </c>
      <c r="I61" s="86" t="s">
        <v>1629</v>
      </c>
      <c r="J61" s="86" t="s">
        <v>2275</v>
      </c>
      <c r="K61" s="87" t="s">
        <v>1572</v>
      </c>
      <c r="L61" s="87" t="s">
        <v>1543</v>
      </c>
      <c r="M61" s="87">
        <v>2</v>
      </c>
      <c r="N61" s="161">
        <v>36880</v>
      </c>
      <c r="O61" s="161" t="s">
        <v>2254</v>
      </c>
      <c r="P61" s="168">
        <v>722895363</v>
      </c>
      <c r="Q61" s="210"/>
    </row>
    <row r="62" spans="1:17" ht="21" x14ac:dyDescent="0.2">
      <c r="A62" s="108" t="s">
        <v>146</v>
      </c>
      <c r="B62" s="86">
        <v>2020971</v>
      </c>
      <c r="C62" s="87">
        <v>13630</v>
      </c>
      <c r="D62" s="86" t="s">
        <v>841</v>
      </c>
      <c r="E62" s="86">
        <v>64</v>
      </c>
      <c r="F62" s="86" t="str">
        <f>IF(E62&lt;=20,"0-19",
IF(E62&lt;=50,"20-49",
IF(E62&lt;=80,"50-79","80+")))</f>
        <v>50-79</v>
      </c>
      <c r="G62" s="86" t="s">
        <v>2043</v>
      </c>
      <c r="H62" s="86" t="s">
        <v>15</v>
      </c>
      <c r="I62" s="86" t="s">
        <v>2044</v>
      </c>
      <c r="J62" s="86" t="s">
        <v>2275</v>
      </c>
      <c r="K62" s="88" t="s">
        <v>1918</v>
      </c>
      <c r="L62" s="88" t="s">
        <v>1906</v>
      </c>
      <c r="M62" s="86">
        <v>2</v>
      </c>
      <c r="N62" s="164">
        <v>63985</v>
      </c>
      <c r="O62" s="164" t="s">
        <v>2254</v>
      </c>
      <c r="P62" s="168">
        <v>254717992592</v>
      </c>
      <c r="Q62" s="210"/>
    </row>
    <row r="63" spans="1:17" x14ac:dyDescent="0.2">
      <c r="A63" s="139" t="s">
        <v>544</v>
      </c>
      <c r="B63" s="82">
        <v>2001766</v>
      </c>
      <c r="C63" s="82">
        <v>100193</v>
      </c>
      <c r="D63" s="82" t="s">
        <v>1466</v>
      </c>
      <c r="E63" s="82">
        <v>70</v>
      </c>
      <c r="F63" s="82" t="str">
        <f>IF(E63&lt;=20,"0-19",
IF(E63&lt;=50,"20-49",
IF(E63&lt;=80,"50-79","80+")))</f>
        <v>50-79</v>
      </c>
      <c r="G63" s="82" t="s">
        <v>1467</v>
      </c>
      <c r="H63" s="82" t="s">
        <v>22</v>
      </c>
      <c r="I63" s="92" t="s">
        <v>1468</v>
      </c>
      <c r="J63" s="92" t="s">
        <v>2275</v>
      </c>
      <c r="K63" s="92" t="s">
        <v>1260</v>
      </c>
      <c r="L63" s="92" t="s">
        <v>1241</v>
      </c>
      <c r="M63" s="82">
        <v>2</v>
      </c>
      <c r="N63" s="84">
        <v>241900</v>
      </c>
      <c r="O63" s="82" t="s">
        <v>832</v>
      </c>
      <c r="P63" s="171"/>
      <c r="Q63" s="210"/>
    </row>
    <row r="64" spans="1:17" x14ac:dyDescent="0.2">
      <c r="A64" s="139" t="s">
        <v>53</v>
      </c>
      <c r="B64" s="82">
        <v>2014318</v>
      </c>
      <c r="C64" s="82">
        <v>61208</v>
      </c>
      <c r="D64" s="82" t="s">
        <v>651</v>
      </c>
      <c r="E64" s="82">
        <v>62</v>
      </c>
      <c r="F64" s="82" t="str">
        <f>IF(E64&lt;=20,"0-19",
IF(E64&lt;=50,"20-49",
IF(E64&lt;=80,"50-79","80+")))</f>
        <v>50-79</v>
      </c>
      <c r="G64" s="82" t="s">
        <v>1364</v>
      </c>
      <c r="H64" s="82" t="s">
        <v>22</v>
      </c>
      <c r="I64" s="92" t="s">
        <v>1365</v>
      </c>
      <c r="J64" s="92" t="s">
        <v>2275</v>
      </c>
      <c r="K64" s="92" t="s">
        <v>1366</v>
      </c>
      <c r="L64" s="92" t="s">
        <v>1242</v>
      </c>
      <c r="M64" s="82">
        <v>2</v>
      </c>
      <c r="N64" s="84">
        <v>182486</v>
      </c>
      <c r="O64" s="82" t="s">
        <v>832</v>
      </c>
      <c r="P64" s="170"/>
      <c r="Q64" s="210"/>
    </row>
    <row r="65" spans="1:17" ht="21" x14ac:dyDescent="0.2">
      <c r="A65" s="139" t="s">
        <v>544</v>
      </c>
      <c r="B65" s="93">
        <v>2507370</v>
      </c>
      <c r="C65" s="82">
        <v>62636</v>
      </c>
      <c r="D65" s="93" t="s">
        <v>910</v>
      </c>
      <c r="E65" s="93">
        <v>50</v>
      </c>
      <c r="F65" s="93" t="str">
        <f>IF(E65&lt;=20,"0-19",
IF(E65&lt;=50,"20-49",
IF(E65&lt;=80,"50-79","80+")))</f>
        <v>20-49</v>
      </c>
      <c r="G65" s="93" t="s">
        <v>911</v>
      </c>
      <c r="H65" s="93" t="s">
        <v>15</v>
      </c>
      <c r="I65" s="93" t="s">
        <v>912</v>
      </c>
      <c r="J65" s="93" t="s">
        <v>2275</v>
      </c>
      <c r="K65" s="93" t="s">
        <v>835</v>
      </c>
      <c r="L65" s="93" t="s">
        <v>880</v>
      </c>
      <c r="M65" s="93">
        <v>2</v>
      </c>
      <c r="N65" s="94">
        <v>121248</v>
      </c>
      <c r="O65" s="82" t="s">
        <v>832</v>
      </c>
      <c r="P65" s="171"/>
      <c r="Q65" s="210"/>
    </row>
    <row r="66" spans="1:17" x14ac:dyDescent="0.2">
      <c r="A66" s="108" t="s">
        <v>75</v>
      </c>
      <c r="B66" s="113">
        <v>2505089</v>
      </c>
      <c r="C66" s="113">
        <v>18838</v>
      </c>
      <c r="D66" s="114" t="s">
        <v>176</v>
      </c>
      <c r="E66" s="113">
        <v>61</v>
      </c>
      <c r="F66" s="113" t="str">
        <f>IF(E66&lt;=20,"0-19",
IF(E66&lt;=50,"20-49",
IF(E66&lt;=80,"50-79","80+")))</f>
        <v>50-79</v>
      </c>
      <c r="G66" s="113" t="s">
        <v>60</v>
      </c>
      <c r="H66" s="113" t="s">
        <v>22</v>
      </c>
      <c r="I66" s="114" t="s">
        <v>177</v>
      </c>
      <c r="J66" s="114" t="s">
        <v>2304</v>
      </c>
      <c r="K66" s="114" t="s">
        <v>121</v>
      </c>
      <c r="L66" s="113" t="s">
        <v>25</v>
      </c>
      <c r="M66" s="114">
        <v>2</v>
      </c>
      <c r="N66" s="115">
        <v>73470.48</v>
      </c>
      <c r="O66" s="87" t="s">
        <v>18</v>
      </c>
      <c r="P66" s="171"/>
      <c r="Q66" s="210"/>
    </row>
    <row r="67" spans="1:17" x14ac:dyDescent="0.2">
      <c r="A67" s="105" t="s">
        <v>155</v>
      </c>
      <c r="B67" s="82">
        <v>2007480</v>
      </c>
      <c r="C67" s="82">
        <v>63926</v>
      </c>
      <c r="D67" s="82" t="s">
        <v>2067</v>
      </c>
      <c r="E67" s="82">
        <v>64</v>
      </c>
      <c r="F67" s="82" t="str">
        <f>IF(E67&lt;=20,"0-19",
IF(E67&lt;=50,"20-49",
IF(E67&lt;=80,"50-79","80+")))</f>
        <v>50-79</v>
      </c>
      <c r="G67" s="82" t="s">
        <v>473</v>
      </c>
      <c r="H67" s="82" t="s">
        <v>15</v>
      </c>
      <c r="I67" s="82" t="s">
        <v>2068</v>
      </c>
      <c r="J67" s="82" t="s">
        <v>2304</v>
      </c>
      <c r="K67" s="92" t="s">
        <v>1898</v>
      </c>
      <c r="L67" s="82" t="s">
        <v>1893</v>
      </c>
      <c r="M67" s="82">
        <v>2</v>
      </c>
      <c r="N67" s="151">
        <v>79945</v>
      </c>
      <c r="O67" s="151" t="s">
        <v>2254</v>
      </c>
      <c r="P67" s="152">
        <v>254715210274</v>
      </c>
      <c r="Q67" s="210"/>
    </row>
    <row r="68" spans="1:17" x14ac:dyDescent="0.2">
      <c r="A68" s="139" t="s">
        <v>881</v>
      </c>
      <c r="B68" s="93">
        <v>2011454</v>
      </c>
      <c r="C68" s="82">
        <v>13452</v>
      </c>
      <c r="D68" s="93" t="s">
        <v>882</v>
      </c>
      <c r="E68" s="93">
        <v>66</v>
      </c>
      <c r="F68" s="93" t="str">
        <f>IF(E68&lt;=20,"0-19",
IF(E68&lt;=50,"20-49",
IF(E68&lt;=80,"50-79","80+")))</f>
        <v>50-79</v>
      </c>
      <c r="G68" s="93" t="s">
        <v>14</v>
      </c>
      <c r="H68" s="93" t="s">
        <v>15</v>
      </c>
      <c r="I68" s="93" t="s">
        <v>883</v>
      </c>
      <c r="J68" s="114" t="s">
        <v>2546</v>
      </c>
      <c r="K68" s="93" t="s">
        <v>835</v>
      </c>
      <c r="L68" s="93" t="s">
        <v>880</v>
      </c>
      <c r="M68" s="93">
        <v>2</v>
      </c>
      <c r="N68" s="94">
        <v>167703</v>
      </c>
      <c r="O68" s="82" t="s">
        <v>832</v>
      </c>
      <c r="P68" s="171"/>
      <c r="Q68" s="210"/>
    </row>
    <row r="69" spans="1:17" ht="21" x14ac:dyDescent="0.2">
      <c r="A69" s="139" t="s">
        <v>874</v>
      </c>
      <c r="B69" s="93">
        <v>2008555</v>
      </c>
      <c r="C69" s="82">
        <v>61113</v>
      </c>
      <c r="D69" s="93" t="s">
        <v>875</v>
      </c>
      <c r="E69" s="93">
        <v>12</v>
      </c>
      <c r="F69" s="93" t="str">
        <f>IF(E69&lt;=20,"0-19",
IF(E69&lt;=50,"20-49",
IF(E69&lt;=80,"50-79","80+")))</f>
        <v>0-19</v>
      </c>
      <c r="G69" s="93" t="s">
        <v>876</v>
      </c>
      <c r="H69" s="93" t="s">
        <v>132</v>
      </c>
      <c r="I69" s="93" t="s">
        <v>877</v>
      </c>
      <c r="J69" s="114" t="s">
        <v>2311</v>
      </c>
      <c r="K69" s="93" t="s">
        <v>190</v>
      </c>
      <c r="L69" s="93" t="s">
        <v>835</v>
      </c>
      <c r="M69" s="93">
        <v>2</v>
      </c>
      <c r="N69" s="94">
        <v>58263</v>
      </c>
      <c r="O69" s="82" t="s">
        <v>832</v>
      </c>
      <c r="P69" s="171"/>
      <c r="Q69" s="210"/>
    </row>
    <row r="70" spans="1:17" x14ac:dyDescent="0.2">
      <c r="A70" s="103" t="s">
        <v>1037</v>
      </c>
      <c r="B70" s="82">
        <v>2408256</v>
      </c>
      <c r="C70" s="82">
        <v>67446</v>
      </c>
      <c r="D70" s="82" t="s">
        <v>2000</v>
      </c>
      <c r="E70" s="82">
        <v>34</v>
      </c>
      <c r="F70" s="82" t="str">
        <f>IF(E70&lt;=20,"0-19",
IF(E70&lt;=50,"20-49",
IF(E70&lt;=80,"50-79","80+")))</f>
        <v>20-49</v>
      </c>
      <c r="G70" s="82" t="s">
        <v>2001</v>
      </c>
      <c r="H70" s="82" t="s">
        <v>15</v>
      </c>
      <c r="I70" s="82" t="s">
        <v>2002</v>
      </c>
      <c r="J70" s="92" t="s">
        <v>2288</v>
      </c>
      <c r="K70" s="92" t="s">
        <v>1898</v>
      </c>
      <c r="L70" s="82" t="s">
        <v>1921</v>
      </c>
      <c r="M70" s="82">
        <v>2</v>
      </c>
      <c r="N70" s="151">
        <v>43180</v>
      </c>
      <c r="O70" s="151" t="s">
        <v>2254</v>
      </c>
      <c r="P70" s="152">
        <v>254716525060</v>
      </c>
      <c r="Q70" s="210"/>
    </row>
    <row r="71" spans="1:17" x14ac:dyDescent="0.2">
      <c r="A71" s="104" t="s">
        <v>1684</v>
      </c>
      <c r="B71" s="87">
        <v>2019818</v>
      </c>
      <c r="C71" s="87">
        <v>53874</v>
      </c>
      <c r="D71" s="87" t="s">
        <v>2037</v>
      </c>
      <c r="E71" s="87">
        <v>16</v>
      </c>
      <c r="F71" s="87" t="str">
        <f>IF(E71&lt;=20,"0-19",
IF(E71&lt;=50,"20-49",
IF(E71&lt;=80,"50-79","80+")))</f>
        <v>0-19</v>
      </c>
      <c r="G71" s="87" t="s">
        <v>2038</v>
      </c>
      <c r="H71" s="87" t="s">
        <v>22</v>
      </c>
      <c r="I71" s="87" t="s">
        <v>2039</v>
      </c>
      <c r="J71" s="92" t="s">
        <v>2288</v>
      </c>
      <c r="K71" s="86" t="s">
        <v>1898</v>
      </c>
      <c r="L71" s="87" t="s">
        <v>1921</v>
      </c>
      <c r="M71" s="87">
        <v>2</v>
      </c>
      <c r="N71" s="161">
        <v>62881.25</v>
      </c>
      <c r="O71" s="161" t="s">
        <v>2254</v>
      </c>
      <c r="P71" s="168">
        <v>254726386129</v>
      </c>
      <c r="Q71" s="210"/>
    </row>
    <row r="72" spans="1:17" x14ac:dyDescent="0.2">
      <c r="A72" s="139" t="s">
        <v>63</v>
      </c>
      <c r="B72" s="82">
        <v>2010544</v>
      </c>
      <c r="C72" s="82">
        <v>34067</v>
      </c>
      <c r="D72" s="82" t="s">
        <v>878</v>
      </c>
      <c r="E72" s="82">
        <v>49</v>
      </c>
      <c r="F72" s="82" t="str">
        <f>IF(E72&lt;=20,"0-19",
IF(E72&lt;=50,"20-49",
IF(E72&lt;=80,"50-79","80+")))</f>
        <v>20-49</v>
      </c>
      <c r="G72" s="82" t="s">
        <v>49</v>
      </c>
      <c r="H72" s="82" t="s">
        <v>15</v>
      </c>
      <c r="I72" s="92" t="s">
        <v>879</v>
      </c>
      <c r="J72" s="92" t="s">
        <v>2288</v>
      </c>
      <c r="K72" s="92" t="s">
        <v>880</v>
      </c>
      <c r="L72" s="82" t="s">
        <v>831</v>
      </c>
      <c r="M72" s="82">
        <v>2</v>
      </c>
      <c r="N72" s="84">
        <v>182497</v>
      </c>
      <c r="O72" s="82" t="s">
        <v>832</v>
      </c>
      <c r="P72" s="170"/>
      <c r="Q72" s="210"/>
    </row>
    <row r="73" spans="1:17" x14ac:dyDescent="0.2">
      <c r="A73" s="105" t="s">
        <v>1665</v>
      </c>
      <c r="B73" s="82">
        <v>2017741</v>
      </c>
      <c r="C73" s="82">
        <v>68899</v>
      </c>
      <c r="D73" s="82" t="s">
        <v>1666</v>
      </c>
      <c r="E73" s="82">
        <v>67</v>
      </c>
      <c r="F73" s="82" t="str">
        <f>IF(E73&lt;=20,"0-19",
IF(E73&lt;=50,"20-49",
IF(E73&lt;=80,"50-79","80+")))</f>
        <v>50-79</v>
      </c>
      <c r="G73" s="82" t="s">
        <v>1667</v>
      </c>
      <c r="H73" s="82" t="s">
        <v>15</v>
      </c>
      <c r="I73" s="92" t="s">
        <v>1668</v>
      </c>
      <c r="J73" s="92" t="s">
        <v>2288</v>
      </c>
      <c r="K73" s="82" t="s">
        <v>1567</v>
      </c>
      <c r="L73" s="82" t="s">
        <v>1559</v>
      </c>
      <c r="M73" s="82">
        <v>2</v>
      </c>
      <c r="N73" s="151">
        <v>62500</v>
      </c>
      <c r="O73" s="151" t="s">
        <v>2254</v>
      </c>
      <c r="P73" s="152">
        <v>254726087358</v>
      </c>
      <c r="Q73" s="210"/>
    </row>
    <row r="74" spans="1:17" x14ac:dyDescent="0.2">
      <c r="A74" s="107" t="s">
        <v>150</v>
      </c>
      <c r="B74" s="93">
        <v>2003965</v>
      </c>
      <c r="C74" s="93">
        <v>101523</v>
      </c>
      <c r="D74" s="93" t="s">
        <v>151</v>
      </c>
      <c r="E74" s="93">
        <v>68</v>
      </c>
      <c r="F74" s="93" t="str">
        <f>IF(E74&lt;=20,"0-19",
IF(E74&lt;=50,"20-49",
IF(E74&lt;=80,"50-79","80+")))</f>
        <v>50-79</v>
      </c>
      <c r="G74" s="93" t="s">
        <v>152</v>
      </c>
      <c r="H74" s="93" t="s">
        <v>22</v>
      </c>
      <c r="I74" s="93" t="s">
        <v>153</v>
      </c>
      <c r="J74" s="93" t="s">
        <v>2288</v>
      </c>
      <c r="K74" s="93" t="s">
        <v>154</v>
      </c>
      <c r="L74" s="93" t="s">
        <v>99</v>
      </c>
      <c r="M74" s="93">
        <v>2</v>
      </c>
      <c r="N74" s="94">
        <v>13795</v>
      </c>
      <c r="O74" s="82" t="s">
        <v>18</v>
      </c>
      <c r="P74" s="170"/>
      <c r="Q74" s="210"/>
    </row>
    <row r="75" spans="1:17" x14ac:dyDescent="0.2">
      <c r="A75" s="108" t="s">
        <v>129</v>
      </c>
      <c r="B75" s="113">
        <v>2021999</v>
      </c>
      <c r="C75" s="113">
        <v>57902</v>
      </c>
      <c r="D75" s="114" t="s">
        <v>130</v>
      </c>
      <c r="E75" s="113">
        <v>9</v>
      </c>
      <c r="F75" s="113" t="str">
        <f>IF(E75&lt;=20,"0-19",
IF(E75&lt;=50,"20-49",
IF(E75&lt;=80,"50-79","80+")))</f>
        <v>0-19</v>
      </c>
      <c r="G75" s="113" t="s">
        <v>131</v>
      </c>
      <c r="H75" s="113" t="s">
        <v>132</v>
      </c>
      <c r="I75" s="114" t="s">
        <v>133</v>
      </c>
      <c r="J75" s="114" t="s">
        <v>2288</v>
      </c>
      <c r="K75" s="114" t="s">
        <v>36</v>
      </c>
      <c r="L75" s="113" t="s">
        <v>42</v>
      </c>
      <c r="M75" s="114">
        <v>2</v>
      </c>
      <c r="N75" s="115">
        <v>56125</v>
      </c>
      <c r="O75" s="87" t="s">
        <v>18</v>
      </c>
      <c r="P75" s="171"/>
      <c r="Q75" s="210"/>
    </row>
    <row r="76" spans="1:17" x14ac:dyDescent="0.2">
      <c r="A76" s="105" t="s">
        <v>1690</v>
      </c>
      <c r="B76" s="82">
        <v>2011489</v>
      </c>
      <c r="C76" s="82">
        <v>4799</v>
      </c>
      <c r="D76" s="82" t="s">
        <v>1704</v>
      </c>
      <c r="E76" s="82">
        <v>64</v>
      </c>
      <c r="F76" s="82" t="str">
        <f>IF(E76&lt;=20,"0-19",
IF(E76&lt;=50,"20-49",
IF(E76&lt;=80,"50-79","80+")))</f>
        <v>50-79</v>
      </c>
      <c r="G76" s="82" t="s">
        <v>1705</v>
      </c>
      <c r="H76" s="82" t="s">
        <v>1706</v>
      </c>
      <c r="I76" s="92" t="s">
        <v>1707</v>
      </c>
      <c r="J76" s="92" t="s">
        <v>2288</v>
      </c>
      <c r="K76" s="82" t="s">
        <v>1543</v>
      </c>
      <c r="L76" s="82" t="s">
        <v>1551</v>
      </c>
      <c r="M76" s="82">
        <v>2</v>
      </c>
      <c r="N76" s="151">
        <v>91618</v>
      </c>
      <c r="O76" s="151" t="s">
        <v>2254</v>
      </c>
      <c r="P76" s="152">
        <v>254723747130</v>
      </c>
      <c r="Q76" s="210"/>
    </row>
    <row r="77" spans="1:17" x14ac:dyDescent="0.2">
      <c r="A77" s="104" t="s">
        <v>1672</v>
      </c>
      <c r="B77" s="87">
        <v>2004601</v>
      </c>
      <c r="C77" s="87">
        <v>69278</v>
      </c>
      <c r="D77" s="87" t="s">
        <v>1673</v>
      </c>
      <c r="E77" s="87">
        <v>46</v>
      </c>
      <c r="F77" s="87" t="str">
        <f>IF(E77&lt;=20,"0-19",
IF(E77&lt;=50,"20-49",
IF(E77&lt;=80,"50-79","80+")))</f>
        <v>20-49</v>
      </c>
      <c r="G77" s="87" t="s">
        <v>49</v>
      </c>
      <c r="H77" s="87" t="s">
        <v>15</v>
      </c>
      <c r="I77" s="86" t="s">
        <v>1674</v>
      </c>
      <c r="J77" s="86" t="s">
        <v>2288</v>
      </c>
      <c r="K77" s="87" t="s">
        <v>1551</v>
      </c>
      <c r="L77" s="87" t="s">
        <v>1675</v>
      </c>
      <c r="M77" s="87">
        <v>2</v>
      </c>
      <c r="N77" s="161">
        <v>64175</v>
      </c>
      <c r="O77" s="161" t="s">
        <v>2254</v>
      </c>
      <c r="P77" s="168">
        <v>254722864285</v>
      </c>
      <c r="Q77" s="210"/>
    </row>
    <row r="78" spans="1:17" x14ac:dyDescent="0.2">
      <c r="A78" s="105" t="s">
        <v>1672</v>
      </c>
      <c r="B78" s="82">
        <v>2004601</v>
      </c>
      <c r="C78" s="82">
        <v>69278</v>
      </c>
      <c r="D78" s="82" t="s">
        <v>1673</v>
      </c>
      <c r="E78" s="82">
        <v>46</v>
      </c>
      <c r="F78" s="82" t="str">
        <f>IF(E78&lt;=20,"0-19",
IF(E78&lt;=50,"20-49",
IF(E78&lt;=80,"50-79","80+")))</f>
        <v>20-49</v>
      </c>
      <c r="G78" s="82" t="s">
        <v>1939</v>
      </c>
      <c r="H78" s="82" t="s">
        <v>15</v>
      </c>
      <c r="I78" s="82" t="s">
        <v>1674</v>
      </c>
      <c r="J78" s="82" t="s">
        <v>2288</v>
      </c>
      <c r="K78" s="92" t="s">
        <v>1675</v>
      </c>
      <c r="L78" s="82" t="s">
        <v>1908</v>
      </c>
      <c r="M78" s="82">
        <v>2</v>
      </c>
      <c r="N78" s="151">
        <v>16015</v>
      </c>
      <c r="O78" s="151" t="s">
        <v>2254</v>
      </c>
      <c r="P78" s="152">
        <v>254721714802</v>
      </c>
      <c r="Q78" s="210"/>
    </row>
    <row r="79" spans="1:17" x14ac:dyDescent="0.2">
      <c r="A79" s="139" t="s">
        <v>19</v>
      </c>
      <c r="B79" s="87">
        <v>2001872</v>
      </c>
      <c r="C79" s="87">
        <v>13663</v>
      </c>
      <c r="D79" s="87" t="s">
        <v>105</v>
      </c>
      <c r="E79" s="86">
        <v>65</v>
      </c>
      <c r="F79" s="86" t="str">
        <f>IF(E79&lt;=20,"0-19",
IF(E79&lt;=50,"20-49",
IF(E79&lt;=80,"50-79","80+")))</f>
        <v>50-79</v>
      </c>
      <c r="G79" s="87" t="s">
        <v>106</v>
      </c>
      <c r="H79" s="87" t="s">
        <v>22</v>
      </c>
      <c r="I79" s="87" t="s">
        <v>107</v>
      </c>
      <c r="J79" s="87" t="s">
        <v>2288</v>
      </c>
      <c r="K79" s="86" t="s">
        <v>108</v>
      </c>
      <c r="L79" s="86" t="s">
        <v>85</v>
      </c>
      <c r="M79" s="87">
        <v>2</v>
      </c>
      <c r="N79" s="97">
        <v>111665</v>
      </c>
      <c r="O79" s="87" t="s">
        <v>18</v>
      </c>
      <c r="P79" s="171"/>
      <c r="Q79" s="210"/>
    </row>
    <row r="80" spans="1:17" x14ac:dyDescent="0.2">
      <c r="A80" s="105" t="s">
        <v>1565</v>
      </c>
      <c r="B80" s="82">
        <v>20160971</v>
      </c>
      <c r="C80" s="82">
        <v>35049</v>
      </c>
      <c r="D80" s="82" t="s">
        <v>2051</v>
      </c>
      <c r="E80" s="82">
        <v>9</v>
      </c>
      <c r="F80" s="82" t="str">
        <f>IF(E80&lt;=20,"0-19",
IF(E80&lt;=50,"20-49",
IF(E80&lt;=80,"50-79","80+")))</f>
        <v>0-19</v>
      </c>
      <c r="G80" s="82" t="s">
        <v>49</v>
      </c>
      <c r="H80" s="82" t="s">
        <v>132</v>
      </c>
      <c r="I80" s="82" t="s">
        <v>2052</v>
      </c>
      <c r="J80" s="82" t="s">
        <v>2288</v>
      </c>
      <c r="K80" s="92" t="s">
        <v>1921</v>
      </c>
      <c r="L80" s="82" t="s">
        <v>2016</v>
      </c>
      <c r="M80" s="82">
        <v>2</v>
      </c>
      <c r="N80" s="151">
        <v>68562</v>
      </c>
      <c r="O80" s="151" t="s">
        <v>2254</v>
      </c>
      <c r="P80" s="152">
        <v>254707717806</v>
      </c>
      <c r="Q80" s="210"/>
    </row>
    <row r="81" spans="1:17" x14ac:dyDescent="0.2">
      <c r="A81" s="104" t="s">
        <v>1331</v>
      </c>
      <c r="B81" s="87">
        <v>2023383</v>
      </c>
      <c r="C81" s="87">
        <v>63571</v>
      </c>
      <c r="D81" s="87" t="s">
        <v>1713</v>
      </c>
      <c r="E81" s="87">
        <v>8</v>
      </c>
      <c r="F81" s="87" t="str">
        <f>IF(E81&lt;=20,"0-19",
IF(E81&lt;=50,"20-49",
IF(E81&lt;=80,"50-79","80+")))</f>
        <v>0-19</v>
      </c>
      <c r="G81" s="87" t="s">
        <v>1714</v>
      </c>
      <c r="H81" s="87" t="s">
        <v>132</v>
      </c>
      <c r="I81" s="86" t="s">
        <v>1715</v>
      </c>
      <c r="J81" s="86" t="s">
        <v>2288</v>
      </c>
      <c r="K81" s="87" t="s">
        <v>1589</v>
      </c>
      <c r="L81" s="87" t="s">
        <v>1567</v>
      </c>
      <c r="M81" s="87">
        <v>2</v>
      </c>
      <c r="N81" s="161">
        <v>104300</v>
      </c>
      <c r="O81" s="161" t="s">
        <v>2254</v>
      </c>
      <c r="P81" s="168">
        <v>254720223134</v>
      </c>
      <c r="Q81" s="210"/>
    </row>
    <row r="82" spans="1:17" x14ac:dyDescent="0.2">
      <c r="A82" s="104" t="s">
        <v>72</v>
      </c>
      <c r="B82" s="87">
        <v>2501189</v>
      </c>
      <c r="C82" s="87">
        <v>60947</v>
      </c>
      <c r="D82" s="87" t="s">
        <v>168</v>
      </c>
      <c r="E82" s="86">
        <v>54</v>
      </c>
      <c r="F82" s="86" t="str">
        <f>IF(E82&lt;=20,"0-19",
IF(E82&lt;=50,"20-49",
IF(E82&lt;=80,"50-79","80+")))</f>
        <v>50-79</v>
      </c>
      <c r="G82" s="87" t="s">
        <v>169</v>
      </c>
      <c r="H82" s="87" t="s">
        <v>15</v>
      </c>
      <c r="I82" s="87" t="s">
        <v>170</v>
      </c>
      <c r="J82" s="87" t="s">
        <v>2288</v>
      </c>
      <c r="K82" s="86" t="s">
        <v>66</v>
      </c>
      <c r="L82" s="86" t="s">
        <v>62</v>
      </c>
      <c r="M82" s="87">
        <v>2</v>
      </c>
      <c r="N82" s="97">
        <v>340763</v>
      </c>
      <c r="O82" s="87" t="s">
        <v>18</v>
      </c>
      <c r="P82" s="171"/>
      <c r="Q82" s="210"/>
    </row>
    <row r="83" spans="1:17" x14ac:dyDescent="0.2">
      <c r="A83" s="103" t="s">
        <v>1977</v>
      </c>
      <c r="B83" s="82">
        <v>2003199</v>
      </c>
      <c r="C83" s="82">
        <v>20996</v>
      </c>
      <c r="D83" s="82" t="s">
        <v>1978</v>
      </c>
      <c r="E83" s="82">
        <v>61</v>
      </c>
      <c r="F83" s="82" t="str">
        <f>IF(E83&lt;=20,"0-19",
IF(E83&lt;=50,"20-49",
IF(E83&lt;=80,"50-79","80+")))</f>
        <v>50-79</v>
      </c>
      <c r="G83" s="82" t="s">
        <v>1979</v>
      </c>
      <c r="H83" s="82" t="s">
        <v>22</v>
      </c>
      <c r="I83" s="82" t="s">
        <v>1980</v>
      </c>
      <c r="J83" s="82" t="s">
        <v>2288</v>
      </c>
      <c r="K83" s="92" t="s">
        <v>1981</v>
      </c>
      <c r="L83" s="82" t="s">
        <v>1921</v>
      </c>
      <c r="M83" s="82">
        <v>2</v>
      </c>
      <c r="N83" s="151">
        <v>33977</v>
      </c>
      <c r="O83" s="151" t="s">
        <v>2254</v>
      </c>
      <c r="P83" s="152">
        <v>254722124363</v>
      </c>
      <c r="Q83" s="210"/>
    </row>
    <row r="84" spans="1:17" x14ac:dyDescent="0.2">
      <c r="A84" s="105" t="s">
        <v>63</v>
      </c>
      <c r="B84" s="82">
        <v>2014910</v>
      </c>
      <c r="C84" s="82">
        <v>31110</v>
      </c>
      <c r="D84" s="82" t="s">
        <v>1536</v>
      </c>
      <c r="E84" s="82">
        <v>59</v>
      </c>
      <c r="F84" s="82" t="str">
        <f>IF(E84&lt;=20,"0-19",
IF(E84&lt;=50,"20-49",
IF(E84&lt;=80,"50-79","80+")))</f>
        <v>50-79</v>
      </c>
      <c r="G84" s="82" t="s">
        <v>2194</v>
      </c>
      <c r="H84" s="82" t="s">
        <v>15</v>
      </c>
      <c r="I84" s="82" t="s">
        <v>2195</v>
      </c>
      <c r="J84" s="114" t="s">
        <v>2421</v>
      </c>
      <c r="K84" s="92" t="s">
        <v>1911</v>
      </c>
      <c r="L84" s="82" t="s">
        <v>1928</v>
      </c>
      <c r="M84" s="82">
        <v>2</v>
      </c>
      <c r="N84" s="151">
        <v>228856</v>
      </c>
      <c r="O84" s="151" t="s">
        <v>2254</v>
      </c>
      <c r="P84" s="152">
        <v>254710202545</v>
      </c>
      <c r="Q84" s="210"/>
    </row>
    <row r="85" spans="1:17" x14ac:dyDescent="0.2">
      <c r="A85" s="139" t="s">
        <v>874</v>
      </c>
      <c r="B85" s="82">
        <v>2020728</v>
      </c>
      <c r="C85" s="82">
        <v>55582</v>
      </c>
      <c r="D85" s="82" t="s">
        <v>893</v>
      </c>
      <c r="E85" s="82">
        <v>62</v>
      </c>
      <c r="F85" s="82" t="str">
        <f>IF(E85&lt;=20,"0-19",
IF(E85&lt;=50,"20-49",
IF(E85&lt;=80,"50-79","80+")))</f>
        <v>50-79</v>
      </c>
      <c r="G85" s="82" t="s">
        <v>894</v>
      </c>
      <c r="H85" s="82" t="s">
        <v>22</v>
      </c>
      <c r="I85" s="92" t="s">
        <v>895</v>
      </c>
      <c r="J85" s="92" t="s">
        <v>2295</v>
      </c>
      <c r="K85" s="92" t="s">
        <v>896</v>
      </c>
      <c r="L85" s="82" t="s">
        <v>851</v>
      </c>
      <c r="M85" s="82">
        <v>2</v>
      </c>
      <c r="N85" s="84">
        <v>343972</v>
      </c>
      <c r="O85" s="82" t="s">
        <v>832</v>
      </c>
      <c r="P85" s="170"/>
      <c r="Q85" s="210"/>
    </row>
    <row r="86" spans="1:17" ht="21" x14ac:dyDescent="0.2">
      <c r="A86" s="139" t="s">
        <v>1509</v>
      </c>
      <c r="B86" s="92">
        <v>2017014</v>
      </c>
      <c r="C86" s="82">
        <v>59161</v>
      </c>
      <c r="D86" s="92" t="s">
        <v>1510</v>
      </c>
      <c r="E86" s="92">
        <v>64</v>
      </c>
      <c r="F86" s="92" t="str">
        <f>IF(E86&lt;=20,"0-19",
IF(E86&lt;=50,"20-49",
IF(E86&lt;=80,"50-79","80+")))</f>
        <v>50-79</v>
      </c>
      <c r="G86" s="92" t="s">
        <v>60</v>
      </c>
      <c r="H86" s="92" t="s">
        <v>22</v>
      </c>
      <c r="I86" s="92" t="s">
        <v>1511</v>
      </c>
      <c r="J86" s="92" t="s">
        <v>2295</v>
      </c>
      <c r="K86" s="92" t="s">
        <v>1512</v>
      </c>
      <c r="L86" s="93" t="s">
        <v>1254</v>
      </c>
      <c r="M86" s="93">
        <v>2</v>
      </c>
      <c r="N86" s="94">
        <v>27175.1</v>
      </c>
      <c r="O86" s="82" t="s">
        <v>832</v>
      </c>
      <c r="P86" s="171"/>
      <c r="Q86" s="210"/>
    </row>
    <row r="87" spans="1:17" x14ac:dyDescent="0.2">
      <c r="A87" s="139" t="s">
        <v>856</v>
      </c>
      <c r="B87" s="82">
        <v>2001511</v>
      </c>
      <c r="C87" s="82">
        <v>18974</v>
      </c>
      <c r="D87" s="82" t="s">
        <v>1345</v>
      </c>
      <c r="E87" s="82">
        <v>56</v>
      </c>
      <c r="F87" s="82" t="str">
        <f>IF(E87&lt;=20,"0-19",
IF(E87&lt;=50,"20-49",
IF(E87&lt;=80,"50-79","80+")))</f>
        <v>50-79</v>
      </c>
      <c r="G87" s="82" t="s">
        <v>60</v>
      </c>
      <c r="H87" s="82" t="s">
        <v>22</v>
      </c>
      <c r="I87" s="92" t="s">
        <v>1346</v>
      </c>
      <c r="J87" s="92" t="s">
        <v>2295</v>
      </c>
      <c r="K87" s="92" t="s">
        <v>1236</v>
      </c>
      <c r="L87" s="92" t="s">
        <v>1238</v>
      </c>
      <c r="M87" s="82">
        <v>2</v>
      </c>
      <c r="N87" s="84">
        <v>293763.32</v>
      </c>
      <c r="O87" s="82" t="s">
        <v>832</v>
      </c>
      <c r="P87" s="171"/>
      <c r="Q87" s="210"/>
    </row>
    <row r="88" spans="1:17" x14ac:dyDescent="0.2">
      <c r="A88" s="139" t="s">
        <v>1336</v>
      </c>
      <c r="B88" s="82">
        <v>2009536</v>
      </c>
      <c r="C88" s="82">
        <v>100555</v>
      </c>
      <c r="D88" s="82" t="s">
        <v>1337</v>
      </c>
      <c r="E88" s="82">
        <v>52</v>
      </c>
      <c r="F88" s="82" t="str">
        <f>IF(E88&lt;=20,"0-19",
IF(E88&lt;=50,"20-49",
IF(E88&lt;=80,"50-79","80+")))</f>
        <v>50-79</v>
      </c>
      <c r="G88" s="82" t="s">
        <v>1338</v>
      </c>
      <c r="H88" s="82" t="s">
        <v>15</v>
      </c>
      <c r="I88" s="82" t="s">
        <v>1339</v>
      </c>
      <c r="J88" s="82" t="s">
        <v>2295</v>
      </c>
      <c r="K88" s="82" t="s">
        <v>1238</v>
      </c>
      <c r="L88" s="82" t="s">
        <v>1249</v>
      </c>
      <c r="M88" s="82">
        <v>2</v>
      </c>
      <c r="N88" s="84">
        <v>33530</v>
      </c>
      <c r="O88" s="82" t="s">
        <v>832</v>
      </c>
      <c r="P88" s="170"/>
      <c r="Q88" s="210"/>
    </row>
    <row r="89" spans="1:17" x14ac:dyDescent="0.2">
      <c r="A89" s="139" t="s">
        <v>155</v>
      </c>
      <c r="B89" s="113">
        <v>2012605</v>
      </c>
      <c r="C89" s="113">
        <v>74105</v>
      </c>
      <c r="D89" s="114" t="s">
        <v>156</v>
      </c>
      <c r="E89" s="113">
        <v>42</v>
      </c>
      <c r="F89" s="113" t="str">
        <f>IF(E89&lt;=20,"0-19",
IF(E89&lt;=50,"20-49",
IF(E89&lt;=80,"50-79","80+")))</f>
        <v>20-49</v>
      </c>
      <c r="G89" s="113" t="s">
        <v>157</v>
      </c>
      <c r="H89" s="113" t="s">
        <v>15</v>
      </c>
      <c r="I89" s="114" t="s">
        <v>158</v>
      </c>
      <c r="J89" s="114" t="s">
        <v>2295</v>
      </c>
      <c r="K89" s="114" t="s">
        <v>25</v>
      </c>
      <c r="L89" s="113" t="s">
        <v>52</v>
      </c>
      <c r="M89" s="114">
        <v>2</v>
      </c>
      <c r="N89" s="115">
        <v>248967</v>
      </c>
      <c r="O89" s="87" t="s">
        <v>18</v>
      </c>
      <c r="P89" s="171"/>
      <c r="Q89" s="210"/>
    </row>
    <row r="90" spans="1:17" x14ac:dyDescent="0.2">
      <c r="A90" s="139" t="s">
        <v>1482</v>
      </c>
      <c r="B90" s="93">
        <v>2022978</v>
      </c>
      <c r="C90" s="82">
        <v>61074</v>
      </c>
      <c r="D90" s="92" t="s">
        <v>861</v>
      </c>
      <c r="E90" s="92">
        <v>62</v>
      </c>
      <c r="F90" s="92" t="str">
        <f>IF(E90&lt;=20,"0-19",
IF(E90&lt;=50,"20-49",
IF(E90&lt;=80,"50-79","80+")))</f>
        <v>50-79</v>
      </c>
      <c r="G90" s="92" t="s">
        <v>862</v>
      </c>
      <c r="H90" s="93" t="s">
        <v>22</v>
      </c>
      <c r="I90" s="93" t="s">
        <v>863</v>
      </c>
      <c r="J90" s="93" t="s">
        <v>2295</v>
      </c>
      <c r="K90" s="93" t="s">
        <v>834</v>
      </c>
      <c r="L90" s="93" t="s">
        <v>843</v>
      </c>
      <c r="M90" s="93">
        <v>2</v>
      </c>
      <c r="N90" s="94">
        <v>88917.6</v>
      </c>
      <c r="O90" s="82" t="s">
        <v>832</v>
      </c>
      <c r="P90" s="170"/>
      <c r="Q90" s="210"/>
    </row>
    <row r="91" spans="1:17" x14ac:dyDescent="0.2">
      <c r="A91" s="139" t="s">
        <v>897</v>
      </c>
      <c r="B91" s="82">
        <v>2022557</v>
      </c>
      <c r="C91" s="82">
        <v>56098</v>
      </c>
      <c r="D91" s="82" t="s">
        <v>902</v>
      </c>
      <c r="E91" s="82">
        <v>59</v>
      </c>
      <c r="F91" s="82" t="str">
        <f>IF(E91&lt;=20,"0-19",
IF(E91&lt;=50,"20-49",
IF(E91&lt;=80,"50-79","80+")))</f>
        <v>50-79</v>
      </c>
      <c r="G91" s="82" t="s">
        <v>903</v>
      </c>
      <c r="H91" s="82" t="s">
        <v>15</v>
      </c>
      <c r="I91" s="92" t="s">
        <v>904</v>
      </c>
      <c r="J91" s="92" t="s">
        <v>2295</v>
      </c>
      <c r="K91" s="92" t="s">
        <v>880</v>
      </c>
      <c r="L91" s="82" t="s">
        <v>831</v>
      </c>
      <c r="M91" s="82">
        <v>2</v>
      </c>
      <c r="N91" s="84">
        <v>47510</v>
      </c>
      <c r="O91" s="82" t="s">
        <v>832</v>
      </c>
      <c r="P91" s="171"/>
      <c r="Q91" s="210"/>
    </row>
    <row r="92" spans="1:17" x14ac:dyDescent="0.2">
      <c r="A92" s="139" t="s">
        <v>373</v>
      </c>
      <c r="B92" s="82">
        <v>2010324</v>
      </c>
      <c r="C92" s="82">
        <v>8409</v>
      </c>
      <c r="D92" s="82" t="s">
        <v>1473</v>
      </c>
      <c r="E92" s="82">
        <v>63</v>
      </c>
      <c r="F92" s="82" t="str">
        <f>IF(E92&lt;=20,"0-19",
IF(E92&lt;=50,"20-49",
IF(E92&lt;=80,"50-79","80+")))</f>
        <v>50-79</v>
      </c>
      <c r="G92" s="82" t="s">
        <v>1474</v>
      </c>
      <c r="H92" s="82" t="s">
        <v>15</v>
      </c>
      <c r="I92" s="82" t="s">
        <v>1475</v>
      </c>
      <c r="J92" s="82" t="s">
        <v>2270</v>
      </c>
      <c r="K92" s="82" t="s">
        <v>1241</v>
      </c>
      <c r="L92" s="82" t="s">
        <v>1288</v>
      </c>
      <c r="M92" s="82">
        <v>2</v>
      </c>
      <c r="N92" s="84">
        <v>117892</v>
      </c>
      <c r="O92" s="82" t="s">
        <v>832</v>
      </c>
      <c r="P92" s="171"/>
      <c r="Q92" s="210"/>
    </row>
    <row r="93" spans="1:17" x14ac:dyDescent="0.2">
      <c r="A93" s="138" t="s">
        <v>146</v>
      </c>
      <c r="B93" s="111">
        <v>2011757</v>
      </c>
      <c r="C93" s="111">
        <v>18873</v>
      </c>
      <c r="D93" s="111" t="s">
        <v>147</v>
      </c>
      <c r="E93" s="111">
        <v>69</v>
      </c>
      <c r="F93" s="111" t="str">
        <f>IF(E93&lt;=20,"0-19",
IF(E93&lt;=50,"20-49",
IF(E93&lt;=80,"50-79","80+")))</f>
        <v>50-79</v>
      </c>
      <c r="G93" s="111" t="s">
        <v>148</v>
      </c>
      <c r="H93" s="111" t="s">
        <v>15</v>
      </c>
      <c r="I93" s="111" t="s">
        <v>149</v>
      </c>
      <c r="J93" s="114" t="s">
        <v>2546</v>
      </c>
      <c r="K93" s="111" t="s">
        <v>103</v>
      </c>
      <c r="L93" s="111" t="s">
        <v>104</v>
      </c>
      <c r="M93" s="111">
        <v>2</v>
      </c>
      <c r="N93" s="112">
        <v>54106.77</v>
      </c>
      <c r="O93" s="87" t="s">
        <v>18</v>
      </c>
      <c r="P93" s="171"/>
      <c r="Q93" s="210"/>
    </row>
    <row r="94" spans="1:17" x14ac:dyDescent="0.2">
      <c r="A94" s="105" t="s">
        <v>1331</v>
      </c>
      <c r="B94" s="82">
        <v>2019973</v>
      </c>
      <c r="C94" s="82">
        <v>60703</v>
      </c>
      <c r="D94" s="82" t="s">
        <v>2034</v>
      </c>
      <c r="E94" s="82">
        <v>49</v>
      </c>
      <c r="F94" s="82" t="str">
        <f>IF(E94&lt;=20,"0-19",
IF(E94&lt;=50,"20-49",
IF(E94&lt;=80,"50-79","80+")))</f>
        <v>20-49</v>
      </c>
      <c r="G94" s="82" t="s">
        <v>2035</v>
      </c>
      <c r="H94" s="82" t="s">
        <v>15</v>
      </c>
      <c r="I94" s="82" t="s">
        <v>2036</v>
      </c>
      <c r="J94" s="114" t="s">
        <v>2546</v>
      </c>
      <c r="K94" s="92" t="s">
        <v>1898</v>
      </c>
      <c r="L94" s="82" t="s">
        <v>1921</v>
      </c>
      <c r="M94" s="82">
        <v>2</v>
      </c>
      <c r="N94" s="151">
        <v>60275</v>
      </c>
      <c r="O94" s="151" t="s">
        <v>2254</v>
      </c>
      <c r="P94" s="152">
        <v>254726386129</v>
      </c>
      <c r="Q94" s="210"/>
    </row>
    <row r="95" spans="1:17" ht="21" x14ac:dyDescent="0.2">
      <c r="A95" s="105" t="s">
        <v>72</v>
      </c>
      <c r="B95" s="114">
        <v>2020535</v>
      </c>
      <c r="C95" s="114">
        <v>62383</v>
      </c>
      <c r="D95" s="114" t="s">
        <v>165</v>
      </c>
      <c r="E95" s="114">
        <v>54</v>
      </c>
      <c r="F95" s="114" t="str">
        <f>IF(E95&lt;=20,"0-19",
IF(E95&lt;=50,"20-49",
IF(E95&lt;=80,"50-79","80+")))</f>
        <v>50-79</v>
      </c>
      <c r="G95" s="114" t="s">
        <v>166</v>
      </c>
      <c r="H95" s="114" t="s">
        <v>15</v>
      </c>
      <c r="I95" s="114" t="s">
        <v>167</v>
      </c>
      <c r="J95" s="114" t="s">
        <v>2546</v>
      </c>
      <c r="K95" s="114" t="s">
        <v>104</v>
      </c>
      <c r="L95" s="111" t="s">
        <v>121</v>
      </c>
      <c r="M95" s="114">
        <v>2</v>
      </c>
      <c r="N95" s="116">
        <v>76170</v>
      </c>
      <c r="O95" s="82" t="s">
        <v>18</v>
      </c>
      <c r="P95" s="170"/>
      <c r="Q95" s="210"/>
    </row>
    <row r="96" spans="1:17" x14ac:dyDescent="0.2">
      <c r="A96" s="139" t="s">
        <v>142</v>
      </c>
      <c r="B96" s="113">
        <v>2507087</v>
      </c>
      <c r="C96" s="113">
        <v>62819</v>
      </c>
      <c r="D96" s="114" t="s">
        <v>143</v>
      </c>
      <c r="E96" s="113">
        <v>50</v>
      </c>
      <c r="F96" s="113" t="str">
        <f>IF(E96&lt;=20,"0-19",
IF(E96&lt;=50,"20-49",
IF(E96&lt;=80,"50-79","80+")))</f>
        <v>20-49</v>
      </c>
      <c r="G96" s="113" t="s">
        <v>144</v>
      </c>
      <c r="H96" s="113" t="s">
        <v>15</v>
      </c>
      <c r="I96" s="114" t="s">
        <v>145</v>
      </c>
      <c r="J96" s="114" t="s">
        <v>2546</v>
      </c>
      <c r="K96" s="114" t="s">
        <v>71</v>
      </c>
      <c r="L96" s="113" t="s">
        <v>37</v>
      </c>
      <c r="M96" s="114">
        <v>2</v>
      </c>
      <c r="N96" s="115">
        <v>146404</v>
      </c>
      <c r="O96" s="82" t="s">
        <v>18</v>
      </c>
      <c r="P96" s="170"/>
      <c r="Q96" s="210"/>
    </row>
    <row r="97" spans="1:17" x14ac:dyDescent="0.2">
      <c r="A97" s="139" t="s">
        <v>142</v>
      </c>
      <c r="B97" s="92">
        <v>2004684</v>
      </c>
      <c r="C97" s="92">
        <v>34706</v>
      </c>
      <c r="D97" s="92" t="s">
        <v>871</v>
      </c>
      <c r="E97" s="92">
        <v>11</v>
      </c>
      <c r="F97" s="92" t="str">
        <f>IF(E97&lt;=20,"0-19",
IF(E97&lt;=50,"20-49",
IF(E97&lt;=80,"50-79","80+")))</f>
        <v>0-19</v>
      </c>
      <c r="G97" s="92" t="s">
        <v>49</v>
      </c>
      <c r="H97" s="92" t="s">
        <v>132</v>
      </c>
      <c r="I97" s="92" t="s">
        <v>872</v>
      </c>
      <c r="J97" s="114" t="s">
        <v>2546</v>
      </c>
      <c r="K97" s="92" t="s">
        <v>289</v>
      </c>
      <c r="L97" s="93" t="s">
        <v>873</v>
      </c>
      <c r="M97" s="92">
        <v>2</v>
      </c>
      <c r="N97" s="109">
        <v>58712.02</v>
      </c>
      <c r="O97" s="82" t="s">
        <v>832</v>
      </c>
      <c r="P97" s="170"/>
      <c r="Q97" s="210"/>
    </row>
    <row r="98" spans="1:17" x14ac:dyDescent="0.2">
      <c r="A98" s="139" t="s">
        <v>159</v>
      </c>
      <c r="B98" s="113">
        <v>2019692</v>
      </c>
      <c r="C98" s="113">
        <v>55598</v>
      </c>
      <c r="D98" s="114" t="s">
        <v>160</v>
      </c>
      <c r="E98" s="113">
        <v>57</v>
      </c>
      <c r="F98" s="113" t="str">
        <f>IF(E98&lt;=20,"0-19",
IF(E98&lt;=50,"20-49",
IF(E98&lt;=80,"50-79","80+")))</f>
        <v>50-79</v>
      </c>
      <c r="G98" s="113" t="s">
        <v>49</v>
      </c>
      <c r="H98" s="113" t="s">
        <v>15</v>
      </c>
      <c r="I98" s="114" t="s">
        <v>161</v>
      </c>
      <c r="J98" s="114" t="s">
        <v>2546</v>
      </c>
      <c r="K98" s="114" t="s">
        <v>51</v>
      </c>
      <c r="L98" s="113" t="s">
        <v>71</v>
      </c>
      <c r="M98" s="114">
        <v>2</v>
      </c>
      <c r="N98" s="115">
        <v>39390</v>
      </c>
      <c r="O98" s="82" t="s">
        <v>18</v>
      </c>
      <c r="P98" s="170"/>
      <c r="Q98" s="210"/>
    </row>
    <row r="99" spans="1:17" x14ac:dyDescent="0.2">
      <c r="A99" s="139" t="s">
        <v>897</v>
      </c>
      <c r="B99" s="82">
        <v>2022008</v>
      </c>
      <c r="C99" s="82">
        <v>99272</v>
      </c>
      <c r="D99" s="82" t="s">
        <v>898</v>
      </c>
      <c r="E99" s="82">
        <v>9</v>
      </c>
      <c r="F99" s="82" t="str">
        <f>IF(E99&lt;=20,"0-19",
IF(E99&lt;=50,"20-49",
IF(E99&lt;=80,"50-79","80+")))</f>
        <v>0-19</v>
      </c>
      <c r="G99" s="82" t="s">
        <v>899</v>
      </c>
      <c r="H99" s="82" t="s">
        <v>132</v>
      </c>
      <c r="I99" s="92" t="s">
        <v>900</v>
      </c>
      <c r="J99" s="114" t="s">
        <v>2546</v>
      </c>
      <c r="K99" s="92" t="s">
        <v>846</v>
      </c>
      <c r="L99" s="82" t="s">
        <v>901</v>
      </c>
      <c r="M99" s="82">
        <v>2</v>
      </c>
      <c r="N99" s="84">
        <v>55900</v>
      </c>
      <c r="O99" s="82" t="s">
        <v>832</v>
      </c>
      <c r="P99" s="170"/>
      <c r="Q99" s="210"/>
    </row>
    <row r="100" spans="1:17" x14ac:dyDescent="0.2">
      <c r="A100" s="139" t="s">
        <v>889</v>
      </c>
      <c r="B100" s="82">
        <v>2020377</v>
      </c>
      <c r="C100" s="82">
        <v>60366</v>
      </c>
      <c r="D100" s="82" t="s">
        <v>890</v>
      </c>
      <c r="E100" s="82">
        <v>19</v>
      </c>
      <c r="F100" s="82" t="str">
        <f>IF(E100&lt;=20,"0-19",
IF(E100&lt;=50,"20-49",
IF(E100&lt;=80,"50-79","80+")))</f>
        <v>0-19</v>
      </c>
      <c r="G100" s="82" t="s">
        <v>891</v>
      </c>
      <c r="H100" s="82" t="s">
        <v>132</v>
      </c>
      <c r="I100" s="92" t="s">
        <v>892</v>
      </c>
      <c r="J100" s="114" t="s">
        <v>2546</v>
      </c>
      <c r="K100" s="92" t="s">
        <v>880</v>
      </c>
      <c r="L100" s="82" t="s">
        <v>831</v>
      </c>
      <c r="M100" s="82">
        <v>2</v>
      </c>
      <c r="N100" s="84">
        <v>52590</v>
      </c>
      <c r="O100" s="82" t="s">
        <v>832</v>
      </c>
      <c r="P100" s="170"/>
      <c r="Q100" s="210"/>
    </row>
    <row r="101" spans="1:17" ht="21" x14ac:dyDescent="0.2">
      <c r="A101" s="139" t="s">
        <v>373</v>
      </c>
      <c r="B101" s="82">
        <v>2001379</v>
      </c>
      <c r="C101" s="82">
        <v>5803</v>
      </c>
      <c r="D101" s="82" t="s">
        <v>611</v>
      </c>
      <c r="E101" s="82">
        <v>73</v>
      </c>
      <c r="F101" s="82" t="str">
        <f>IF(E101&lt;=20,"0-19",
IF(E101&lt;=50,"20-49",
IF(E101&lt;=80,"50-79","80+")))</f>
        <v>50-79</v>
      </c>
      <c r="G101" s="82" t="s">
        <v>60</v>
      </c>
      <c r="H101" s="82" t="s">
        <v>22</v>
      </c>
      <c r="I101" s="82" t="s">
        <v>866</v>
      </c>
      <c r="J101" s="114" t="s">
        <v>2546</v>
      </c>
      <c r="K101" s="92" t="s">
        <v>867</v>
      </c>
      <c r="L101" s="92" t="s">
        <v>860</v>
      </c>
      <c r="M101" s="82">
        <v>2</v>
      </c>
      <c r="N101" s="84">
        <v>421392</v>
      </c>
      <c r="O101" s="82" t="s">
        <v>832</v>
      </c>
      <c r="P101" s="170"/>
      <c r="Q101" s="210"/>
    </row>
    <row r="102" spans="1:17" x14ac:dyDescent="0.2">
      <c r="A102" s="139" t="s">
        <v>856</v>
      </c>
      <c r="B102" s="92">
        <v>2408051</v>
      </c>
      <c r="C102" s="82">
        <v>35699</v>
      </c>
      <c r="D102" s="92" t="s">
        <v>1350</v>
      </c>
      <c r="E102" s="92">
        <v>7</v>
      </c>
      <c r="F102" s="92" t="str">
        <f>IF(E102&lt;=20,"0-19",
IF(E102&lt;=50,"20-49",
IF(E102&lt;=80,"50-79","80+")))</f>
        <v>0-19</v>
      </c>
      <c r="G102" s="92" t="s">
        <v>1351</v>
      </c>
      <c r="H102" s="92" t="s">
        <v>132</v>
      </c>
      <c r="I102" s="92" t="s">
        <v>1352</v>
      </c>
      <c r="J102" s="114" t="s">
        <v>2546</v>
      </c>
      <c r="K102" s="92" t="s">
        <v>1232</v>
      </c>
      <c r="L102" s="93" t="s">
        <v>1264</v>
      </c>
      <c r="M102" s="93">
        <v>2</v>
      </c>
      <c r="N102" s="94">
        <v>42507.45</v>
      </c>
      <c r="O102" s="82" t="s">
        <v>832</v>
      </c>
      <c r="P102" s="171"/>
      <c r="Q102" s="210"/>
    </row>
    <row r="103" spans="1:17" x14ac:dyDescent="0.2">
      <c r="A103" s="139" t="s">
        <v>907</v>
      </c>
      <c r="B103" s="92">
        <v>2505128</v>
      </c>
      <c r="C103" s="82">
        <v>13883</v>
      </c>
      <c r="D103" s="92" t="s">
        <v>202</v>
      </c>
      <c r="E103" s="92">
        <v>66</v>
      </c>
      <c r="F103" s="92" t="str">
        <f>IF(E103&lt;=20,"0-19",
IF(E103&lt;=50,"20-49",
IF(E103&lt;=80,"50-79","80+")))</f>
        <v>50-79</v>
      </c>
      <c r="G103" s="92" t="s">
        <v>203</v>
      </c>
      <c r="H103" s="92" t="s">
        <v>22</v>
      </c>
      <c r="I103" s="92" t="s">
        <v>908</v>
      </c>
      <c r="J103" s="114" t="s">
        <v>2546</v>
      </c>
      <c r="K103" s="92" t="s">
        <v>851</v>
      </c>
      <c r="L103" s="92" t="s">
        <v>909</v>
      </c>
      <c r="M103" s="92">
        <v>2</v>
      </c>
      <c r="N103" s="101">
        <v>35600</v>
      </c>
      <c r="O103" s="82" t="s">
        <v>832</v>
      </c>
      <c r="P103" s="170"/>
      <c r="Q103" s="210"/>
    </row>
    <row r="104" spans="1:17" x14ac:dyDescent="0.2">
      <c r="A104" s="108" t="s">
        <v>2012</v>
      </c>
      <c r="B104" s="87">
        <v>2407421</v>
      </c>
      <c r="C104" s="87">
        <v>58673</v>
      </c>
      <c r="D104" s="87" t="s">
        <v>2013</v>
      </c>
      <c r="E104" s="87">
        <v>59</v>
      </c>
      <c r="F104" s="87" t="str">
        <f>IF(E104&lt;=20,"0-19",
IF(E104&lt;=50,"20-49",
IF(E104&lt;=80,"50-79","80+")))</f>
        <v>50-79</v>
      </c>
      <c r="G104" s="87" t="s">
        <v>2014</v>
      </c>
      <c r="H104" s="87" t="s">
        <v>22</v>
      </c>
      <c r="I104" s="87" t="s">
        <v>2015</v>
      </c>
      <c r="J104" s="114" t="s">
        <v>2546</v>
      </c>
      <c r="K104" s="86" t="s">
        <v>2016</v>
      </c>
      <c r="L104" s="87" t="s">
        <v>1922</v>
      </c>
      <c r="M104" s="87">
        <v>2</v>
      </c>
      <c r="N104" s="161">
        <v>50799</v>
      </c>
      <c r="O104" s="161" t="s">
        <v>2254</v>
      </c>
      <c r="P104" s="168">
        <v>254721250193</v>
      </c>
      <c r="Q104" s="210"/>
    </row>
    <row r="105" spans="1:17" ht="21" x14ac:dyDescent="0.2">
      <c r="A105" s="105" t="s">
        <v>1768</v>
      </c>
      <c r="B105" s="92">
        <v>2008696</v>
      </c>
      <c r="C105" s="82">
        <v>77683</v>
      </c>
      <c r="D105" s="92" t="s">
        <v>2029</v>
      </c>
      <c r="E105" s="92">
        <v>11</v>
      </c>
      <c r="F105" s="92" t="str">
        <f>IF(E105&lt;=20,"0-19",
IF(E105&lt;=50,"20-49",
IF(E105&lt;=80,"50-79","80+")))</f>
        <v>0-19</v>
      </c>
      <c r="G105" s="92" t="s">
        <v>2030</v>
      </c>
      <c r="H105" s="92" t="s">
        <v>132</v>
      </c>
      <c r="I105" s="92" t="s">
        <v>2031</v>
      </c>
      <c r="J105" s="114" t="s">
        <v>2546</v>
      </c>
      <c r="K105" s="92" t="s">
        <v>1675</v>
      </c>
      <c r="L105" s="92" t="s">
        <v>1911</v>
      </c>
      <c r="M105" s="92">
        <v>2</v>
      </c>
      <c r="N105" s="166">
        <v>56226</v>
      </c>
      <c r="O105" s="166" t="s">
        <v>2254</v>
      </c>
      <c r="P105" s="152">
        <v>254722691221</v>
      </c>
      <c r="Q105" s="210"/>
    </row>
    <row r="106" spans="1:17" x14ac:dyDescent="0.2">
      <c r="A106" s="105" t="s">
        <v>1565</v>
      </c>
      <c r="B106" s="82">
        <v>2018859</v>
      </c>
      <c r="C106" s="82">
        <v>59484</v>
      </c>
      <c r="D106" s="82" t="s">
        <v>2095</v>
      </c>
      <c r="E106" s="82">
        <v>59</v>
      </c>
      <c r="F106" s="82" t="str">
        <f>IF(E106&lt;=20,"0-19",
IF(E106&lt;=50,"20-49",
IF(E106&lt;=80,"50-79","80+")))</f>
        <v>50-79</v>
      </c>
      <c r="G106" s="82" t="s">
        <v>2096</v>
      </c>
      <c r="H106" s="82" t="s">
        <v>15</v>
      </c>
      <c r="I106" s="82" t="s">
        <v>2097</v>
      </c>
      <c r="J106" s="114" t="s">
        <v>2546</v>
      </c>
      <c r="K106" s="92" t="s">
        <v>1908</v>
      </c>
      <c r="L106" s="82" t="s">
        <v>1895</v>
      </c>
      <c r="M106" s="82">
        <v>2</v>
      </c>
      <c r="N106" s="151">
        <v>88735</v>
      </c>
      <c r="O106" s="151" t="s">
        <v>2254</v>
      </c>
      <c r="P106" s="152">
        <v>254716662512</v>
      </c>
      <c r="Q106" s="210"/>
    </row>
    <row r="107" spans="1:17" x14ac:dyDescent="0.2">
      <c r="A107" s="108" t="s">
        <v>182</v>
      </c>
      <c r="B107" s="87">
        <v>2022640</v>
      </c>
      <c r="C107" s="87">
        <v>62828</v>
      </c>
      <c r="D107" s="87" t="s">
        <v>183</v>
      </c>
      <c r="E107" s="86">
        <v>47</v>
      </c>
      <c r="F107" s="86" t="str">
        <f>IF(E107&lt;=20,"0-19",
IF(E107&lt;=50,"20-49",
IF(E107&lt;=80,"50-79","80+")))</f>
        <v>20-49</v>
      </c>
      <c r="G107" s="87" t="s">
        <v>49</v>
      </c>
      <c r="H107" s="87" t="s">
        <v>15</v>
      </c>
      <c r="I107" s="87" t="s">
        <v>184</v>
      </c>
      <c r="J107" s="114" t="s">
        <v>2546</v>
      </c>
      <c r="K107" s="86" t="s">
        <v>66</v>
      </c>
      <c r="L107" s="86" t="s">
        <v>62</v>
      </c>
      <c r="M107" s="87">
        <v>2</v>
      </c>
      <c r="N107" s="97">
        <v>40300</v>
      </c>
      <c r="O107" s="87" t="s">
        <v>18</v>
      </c>
      <c r="P107" s="171"/>
      <c r="Q107" s="210"/>
    </row>
    <row r="108" spans="1:17" ht="21" x14ac:dyDescent="0.2">
      <c r="A108" s="139" t="s">
        <v>113</v>
      </c>
      <c r="B108" s="113">
        <v>2409155</v>
      </c>
      <c r="C108" s="113">
        <v>32116</v>
      </c>
      <c r="D108" s="114" t="s">
        <v>114</v>
      </c>
      <c r="E108" s="113">
        <v>46</v>
      </c>
      <c r="F108" s="113" t="str">
        <f>IF(E108&lt;=20,"0-19",
IF(E108&lt;=50,"20-49",
IF(E108&lt;=80,"50-79","80+")))</f>
        <v>20-49</v>
      </c>
      <c r="G108" s="113" t="s">
        <v>115</v>
      </c>
      <c r="H108" s="113" t="s">
        <v>15</v>
      </c>
      <c r="I108" s="114" t="s">
        <v>116</v>
      </c>
      <c r="J108" s="114" t="s">
        <v>2546</v>
      </c>
      <c r="K108" s="114" t="s">
        <v>25</v>
      </c>
      <c r="L108" s="113" t="s">
        <v>52</v>
      </c>
      <c r="M108" s="114">
        <v>2</v>
      </c>
      <c r="N108" s="115">
        <v>90000</v>
      </c>
      <c r="O108" s="87" t="s">
        <v>18</v>
      </c>
      <c r="P108" s="171"/>
      <c r="Q108" s="210"/>
    </row>
    <row r="109" spans="1:17" x14ac:dyDescent="0.2">
      <c r="A109" s="105" t="s">
        <v>1656</v>
      </c>
      <c r="B109" s="82">
        <v>2015865</v>
      </c>
      <c r="C109" s="82">
        <v>71430</v>
      </c>
      <c r="D109" s="82" t="s">
        <v>1964</v>
      </c>
      <c r="E109" s="82">
        <v>15</v>
      </c>
      <c r="F109" s="82" t="str">
        <f>IF(E109&lt;=20,"0-19",
IF(E109&lt;=50,"20-49",
IF(E109&lt;=80,"50-79","80+")))</f>
        <v>0-19</v>
      </c>
      <c r="G109" s="82" t="s">
        <v>1965</v>
      </c>
      <c r="H109" s="82" t="s">
        <v>132</v>
      </c>
      <c r="I109" s="82" t="s">
        <v>1966</v>
      </c>
      <c r="J109" s="114" t="s">
        <v>2546</v>
      </c>
      <c r="K109" s="92" t="s">
        <v>1967</v>
      </c>
      <c r="L109" s="82" t="s">
        <v>1922</v>
      </c>
      <c r="M109" s="82">
        <v>2</v>
      </c>
      <c r="N109" s="151">
        <v>30089.57</v>
      </c>
      <c r="O109" s="151" t="s">
        <v>2254</v>
      </c>
      <c r="P109" s="152">
        <v>254725742854</v>
      </c>
      <c r="Q109" s="210"/>
    </row>
    <row r="110" spans="1:17" x14ac:dyDescent="0.2">
      <c r="A110" s="139" t="s">
        <v>1227</v>
      </c>
      <c r="B110" s="92">
        <v>2507031</v>
      </c>
      <c r="C110" s="82">
        <v>68066</v>
      </c>
      <c r="D110" s="92" t="s">
        <v>1228</v>
      </c>
      <c r="E110" s="92">
        <v>57</v>
      </c>
      <c r="F110" s="92" t="str">
        <f>IF(E110&lt;=20,"0-19",
IF(E110&lt;=50,"20-49",
IF(E110&lt;=80,"50-79","80+")))</f>
        <v>50-79</v>
      </c>
      <c r="G110" s="92" t="s">
        <v>1229</v>
      </c>
      <c r="H110" s="92" t="s">
        <v>22</v>
      </c>
      <c r="I110" s="92" t="s">
        <v>1230</v>
      </c>
      <c r="J110" s="92" t="s">
        <v>2310</v>
      </c>
      <c r="K110" s="92" t="s">
        <v>1231</v>
      </c>
      <c r="L110" s="93" t="s">
        <v>1232</v>
      </c>
      <c r="M110" s="93">
        <v>2</v>
      </c>
      <c r="N110" s="94">
        <v>306406.28000000003</v>
      </c>
      <c r="O110" s="82" t="s">
        <v>832</v>
      </c>
      <c r="P110" s="170"/>
      <c r="Q110" s="210"/>
    </row>
    <row r="111" spans="1:17" x14ac:dyDescent="0.2">
      <c r="A111" s="139" t="s">
        <v>43</v>
      </c>
      <c r="B111" s="82">
        <v>2003938</v>
      </c>
      <c r="C111" s="82">
        <v>101178</v>
      </c>
      <c r="D111" s="82" t="s">
        <v>1320</v>
      </c>
      <c r="E111" s="82">
        <v>67</v>
      </c>
      <c r="F111" s="82" t="str">
        <f>IF(E111&lt;=20,"0-19",
IF(E111&lt;=50,"20-49",
IF(E111&lt;=80,"50-79","80+")))</f>
        <v>50-79</v>
      </c>
      <c r="G111" s="82" t="s">
        <v>938</v>
      </c>
      <c r="H111" s="82" t="s">
        <v>22</v>
      </c>
      <c r="I111" s="82" t="s">
        <v>1321</v>
      </c>
      <c r="J111" s="82" t="s">
        <v>2310</v>
      </c>
      <c r="K111" s="82" t="s">
        <v>1322</v>
      </c>
      <c r="L111" s="82" t="s">
        <v>1288</v>
      </c>
      <c r="M111" s="82">
        <v>2</v>
      </c>
      <c r="N111" s="84">
        <v>338877.33</v>
      </c>
      <c r="O111" s="82" t="s">
        <v>832</v>
      </c>
      <c r="P111" s="171"/>
      <c r="Q111" s="210"/>
    </row>
    <row r="112" spans="1:17" x14ac:dyDescent="0.2">
      <c r="A112" s="139" t="s">
        <v>137</v>
      </c>
      <c r="B112" s="87">
        <v>2020896</v>
      </c>
      <c r="C112" s="87">
        <v>63312</v>
      </c>
      <c r="D112" s="87" t="s">
        <v>138</v>
      </c>
      <c r="E112" s="86">
        <v>56</v>
      </c>
      <c r="F112" s="86" t="str">
        <f>IF(E112&lt;=20,"0-19",
IF(E112&lt;=50,"20-49",
IF(E112&lt;=80,"50-79","80+")))</f>
        <v>50-79</v>
      </c>
      <c r="G112" s="87" t="s">
        <v>139</v>
      </c>
      <c r="H112" s="87" t="s">
        <v>22</v>
      </c>
      <c r="I112" s="87" t="s">
        <v>140</v>
      </c>
      <c r="J112" s="87" t="s">
        <v>2310</v>
      </c>
      <c r="K112" s="86" t="s">
        <v>78</v>
      </c>
      <c r="L112" s="86" t="s">
        <v>141</v>
      </c>
      <c r="M112" s="87">
        <v>2</v>
      </c>
      <c r="N112" s="97">
        <v>40460</v>
      </c>
      <c r="O112" s="87" t="s">
        <v>18</v>
      </c>
      <c r="P112" s="171"/>
      <c r="Q112" s="210"/>
    </row>
    <row r="113" spans="1:17" x14ac:dyDescent="0.2">
      <c r="A113" s="104" t="s">
        <v>1590</v>
      </c>
      <c r="B113" s="88">
        <v>2017014</v>
      </c>
      <c r="C113" s="87">
        <v>59161</v>
      </c>
      <c r="D113" s="88" t="s">
        <v>1959</v>
      </c>
      <c r="E113" s="88">
        <v>63</v>
      </c>
      <c r="F113" s="88" t="str">
        <f>IF(E113&lt;=20,"0-19",
IF(E113&lt;=50,"20-49",
IF(E113&lt;=80,"50-79","80+")))</f>
        <v>50-79</v>
      </c>
      <c r="G113" s="88" t="s">
        <v>60</v>
      </c>
      <c r="H113" s="88" t="s">
        <v>22</v>
      </c>
      <c r="I113" s="86" t="s">
        <v>1960</v>
      </c>
      <c r="J113" s="86" t="s">
        <v>2310</v>
      </c>
      <c r="K113" s="86" t="s">
        <v>1288</v>
      </c>
      <c r="L113" s="86" t="s">
        <v>1231</v>
      </c>
      <c r="M113" s="88">
        <v>2</v>
      </c>
      <c r="N113" s="163">
        <v>27175.1</v>
      </c>
      <c r="O113" s="163" t="s">
        <v>2254</v>
      </c>
      <c r="P113" s="168">
        <v>254722961245</v>
      </c>
      <c r="Q113" s="210"/>
    </row>
    <row r="114" spans="1:17" ht="21" x14ac:dyDescent="0.2">
      <c r="A114" s="104" t="s">
        <v>1590</v>
      </c>
      <c r="B114" s="88">
        <v>2407241</v>
      </c>
      <c r="C114" s="87">
        <v>63110</v>
      </c>
      <c r="D114" s="88" t="s">
        <v>1591</v>
      </c>
      <c r="E114" s="88">
        <v>50</v>
      </c>
      <c r="F114" s="88" t="str">
        <f>IF(E114&lt;=20,"0-19",
IF(E114&lt;=50,"20-49",
IF(E114&lt;=80,"50-79","80+")))</f>
        <v>20-49</v>
      </c>
      <c r="G114" s="88" t="s">
        <v>1592</v>
      </c>
      <c r="H114" s="88" t="s">
        <v>15</v>
      </c>
      <c r="I114" s="88" t="s">
        <v>1593</v>
      </c>
      <c r="J114" s="88" t="s">
        <v>2310</v>
      </c>
      <c r="K114" s="88" t="s">
        <v>1594</v>
      </c>
      <c r="L114" s="86" t="s">
        <v>1562</v>
      </c>
      <c r="M114" s="88">
        <v>2</v>
      </c>
      <c r="N114" s="163">
        <v>24133.75</v>
      </c>
      <c r="O114" s="163" t="s">
        <v>2254</v>
      </c>
      <c r="P114" s="168">
        <v>254728490591</v>
      </c>
      <c r="Q114" s="210"/>
    </row>
    <row r="115" spans="1:17" x14ac:dyDescent="0.2">
      <c r="A115" s="104" t="s">
        <v>1565</v>
      </c>
      <c r="B115" s="87">
        <v>2014771</v>
      </c>
      <c r="C115" s="87">
        <v>32378</v>
      </c>
      <c r="D115" s="87" t="s">
        <v>1650</v>
      </c>
      <c r="E115" s="87">
        <v>17</v>
      </c>
      <c r="F115" s="87" t="str">
        <f>IF(E115&lt;=20,"0-19",
IF(E115&lt;=50,"20-49",
IF(E115&lt;=80,"50-79","80+")))</f>
        <v>0-19</v>
      </c>
      <c r="G115" s="87" t="s">
        <v>1651</v>
      </c>
      <c r="H115" s="87" t="s">
        <v>132</v>
      </c>
      <c r="I115" s="86" t="s">
        <v>1652</v>
      </c>
      <c r="J115" s="114" t="s">
        <v>2270</v>
      </c>
      <c r="K115" s="87" t="s">
        <v>1562</v>
      </c>
      <c r="L115" s="87" t="s">
        <v>1546</v>
      </c>
      <c r="M115" s="87">
        <v>2</v>
      </c>
      <c r="N115" s="161">
        <v>56339</v>
      </c>
      <c r="O115" s="161" t="s">
        <v>2254</v>
      </c>
      <c r="P115" s="168">
        <v>254798188015</v>
      </c>
      <c r="Q115" s="210"/>
    </row>
    <row r="116" spans="1:17" x14ac:dyDescent="0.2">
      <c r="A116" s="103" t="s">
        <v>90</v>
      </c>
      <c r="B116" s="82">
        <v>2005385</v>
      </c>
      <c r="C116" s="82">
        <v>18536</v>
      </c>
      <c r="D116" s="82" t="s">
        <v>91</v>
      </c>
      <c r="E116" s="92">
        <v>66</v>
      </c>
      <c r="F116" s="92" t="str">
        <f>IF(E116&lt;=20,"0-19",
IF(E116&lt;=50,"20-49",
IF(E116&lt;=80,"50-79","80+")))</f>
        <v>50-79</v>
      </c>
      <c r="G116" s="82" t="s">
        <v>92</v>
      </c>
      <c r="H116" s="82" t="s">
        <v>15</v>
      </c>
      <c r="I116" s="82" t="s">
        <v>93</v>
      </c>
      <c r="J116" s="82" t="s">
        <v>2328</v>
      </c>
      <c r="K116" s="92" t="s">
        <v>94</v>
      </c>
      <c r="L116" s="92" t="s">
        <v>95</v>
      </c>
      <c r="M116" s="82">
        <v>2</v>
      </c>
      <c r="N116" s="101">
        <v>346723</v>
      </c>
      <c r="O116" s="82" t="s">
        <v>18</v>
      </c>
      <c r="P116" s="170"/>
      <c r="Q116" s="210"/>
    </row>
    <row r="117" spans="1:17" x14ac:dyDescent="0.2">
      <c r="A117" s="139" t="s">
        <v>874</v>
      </c>
      <c r="B117" s="82">
        <v>2014961</v>
      </c>
      <c r="C117" s="82">
        <v>57853</v>
      </c>
      <c r="D117" s="82" t="s">
        <v>887</v>
      </c>
      <c r="E117" s="82">
        <v>64</v>
      </c>
      <c r="F117" s="82" t="str">
        <f>IF(E117&lt;=20,"0-19",
IF(E117&lt;=50,"20-49",
IF(E117&lt;=80,"50-79","80+")))</f>
        <v>50-79</v>
      </c>
      <c r="G117" s="82" t="s">
        <v>126</v>
      </c>
      <c r="H117" s="82" t="s">
        <v>22</v>
      </c>
      <c r="I117" s="92" t="s">
        <v>888</v>
      </c>
      <c r="J117" s="92" t="s">
        <v>2328</v>
      </c>
      <c r="K117" s="92" t="s">
        <v>843</v>
      </c>
      <c r="L117" s="82" t="s">
        <v>846</v>
      </c>
      <c r="M117" s="82">
        <v>2</v>
      </c>
      <c r="N117" s="84">
        <v>80193</v>
      </c>
      <c r="O117" s="82" t="s">
        <v>832</v>
      </c>
      <c r="P117" s="171"/>
      <c r="Q117" s="210"/>
    </row>
    <row r="118" spans="1:17" x14ac:dyDescent="0.2">
      <c r="A118" s="139" t="s">
        <v>38</v>
      </c>
      <c r="B118" s="113">
        <v>2002992</v>
      </c>
      <c r="C118" s="113">
        <v>13568</v>
      </c>
      <c r="D118" s="114" t="s">
        <v>122</v>
      </c>
      <c r="E118" s="113">
        <v>68</v>
      </c>
      <c r="F118" s="113" t="str">
        <f>IF(E118&lt;=20,"0-19",
IF(E118&lt;=50,"20-49",
IF(E118&lt;=80,"50-79","80+")))</f>
        <v>50-79</v>
      </c>
      <c r="G118" s="113" t="s">
        <v>123</v>
      </c>
      <c r="H118" s="113" t="s">
        <v>22</v>
      </c>
      <c r="I118" s="114" t="s">
        <v>124</v>
      </c>
      <c r="J118" s="114" t="s">
        <v>2328</v>
      </c>
      <c r="K118" s="114" t="s">
        <v>25</v>
      </c>
      <c r="L118" s="113" t="s">
        <v>52</v>
      </c>
      <c r="M118" s="114">
        <v>2</v>
      </c>
      <c r="N118" s="115">
        <v>98332</v>
      </c>
      <c r="O118" s="87" t="s">
        <v>18</v>
      </c>
      <c r="P118" s="171"/>
      <c r="Q118" s="210"/>
    </row>
    <row r="119" spans="1:17" x14ac:dyDescent="0.2">
      <c r="A119" s="139" t="s">
        <v>847</v>
      </c>
      <c r="B119" s="82">
        <v>2003515</v>
      </c>
      <c r="C119" s="82">
        <v>100864</v>
      </c>
      <c r="D119" s="82" t="s">
        <v>868</v>
      </c>
      <c r="E119" s="82">
        <v>68</v>
      </c>
      <c r="F119" s="82" t="str">
        <f>IF(E119&lt;=20,"0-19",
IF(E119&lt;=50,"20-49",
IF(E119&lt;=80,"50-79","80+")))</f>
        <v>50-79</v>
      </c>
      <c r="G119" s="82" t="s">
        <v>869</v>
      </c>
      <c r="H119" s="82" t="s">
        <v>22</v>
      </c>
      <c r="I119" s="82" t="s">
        <v>870</v>
      </c>
      <c r="J119" s="82" t="s">
        <v>2314</v>
      </c>
      <c r="K119" s="92" t="s">
        <v>855</v>
      </c>
      <c r="L119" s="92" t="s">
        <v>859</v>
      </c>
      <c r="M119" s="82">
        <v>2</v>
      </c>
      <c r="N119" s="84">
        <v>258781</v>
      </c>
      <c r="O119" s="82" t="s">
        <v>832</v>
      </c>
      <c r="P119" s="170"/>
      <c r="Q119" s="210"/>
    </row>
    <row r="120" spans="1:17" x14ac:dyDescent="0.2">
      <c r="A120" s="104" t="s">
        <v>72</v>
      </c>
      <c r="B120" s="87">
        <v>2002637</v>
      </c>
      <c r="C120" s="87">
        <v>8913</v>
      </c>
      <c r="D120" s="87" t="s">
        <v>1850</v>
      </c>
      <c r="E120" s="87">
        <v>70</v>
      </c>
      <c r="F120" s="87" t="str">
        <f>IF(E120&lt;=20,"0-19",
IF(E120&lt;=50,"20-49",
IF(E120&lt;=80,"50-79","80+")))</f>
        <v>50-79</v>
      </c>
      <c r="G120" s="87" t="s">
        <v>1851</v>
      </c>
      <c r="H120" s="87" t="s">
        <v>22</v>
      </c>
      <c r="I120" s="86" t="s">
        <v>1852</v>
      </c>
      <c r="J120" s="86" t="s">
        <v>2314</v>
      </c>
      <c r="K120" s="87" t="s">
        <v>1567</v>
      </c>
      <c r="L120" s="87" t="s">
        <v>1559</v>
      </c>
      <c r="M120" s="87">
        <v>2</v>
      </c>
      <c r="N120" s="161">
        <v>415544.2</v>
      </c>
      <c r="O120" s="161" t="s">
        <v>2254</v>
      </c>
      <c r="P120" s="168">
        <v>254703972911</v>
      </c>
      <c r="Q120" s="210"/>
    </row>
    <row r="121" spans="1:17" x14ac:dyDescent="0.2">
      <c r="A121" s="139" t="s">
        <v>874</v>
      </c>
      <c r="B121" s="82">
        <v>2407407</v>
      </c>
      <c r="C121" s="82">
        <v>67066</v>
      </c>
      <c r="D121" s="82" t="s">
        <v>905</v>
      </c>
      <c r="E121" s="82">
        <v>60</v>
      </c>
      <c r="F121" s="82" t="str">
        <f>IF(E121&lt;=20,"0-19",
IF(E121&lt;=50,"20-49",
IF(E121&lt;=80,"50-79","80+")))</f>
        <v>50-79</v>
      </c>
      <c r="G121" s="82" t="s">
        <v>60</v>
      </c>
      <c r="H121" s="82" t="s">
        <v>22</v>
      </c>
      <c r="I121" s="82" t="s">
        <v>906</v>
      </c>
      <c r="J121" s="82" t="s">
        <v>2314</v>
      </c>
      <c r="K121" s="92" t="s">
        <v>855</v>
      </c>
      <c r="L121" s="92" t="s">
        <v>860</v>
      </c>
      <c r="M121" s="82">
        <v>2</v>
      </c>
      <c r="N121" s="84">
        <v>119766</v>
      </c>
      <c r="O121" s="82" t="s">
        <v>832</v>
      </c>
      <c r="P121" s="170"/>
      <c r="Q121" s="210"/>
    </row>
    <row r="122" spans="1:17" x14ac:dyDescent="0.2">
      <c r="A122" s="105" t="s">
        <v>1672</v>
      </c>
      <c r="B122" s="82">
        <v>2011320</v>
      </c>
      <c r="C122" s="82">
        <v>74047</v>
      </c>
      <c r="D122" s="82" t="s">
        <v>2040</v>
      </c>
      <c r="E122" s="82">
        <v>9</v>
      </c>
      <c r="F122" s="82" t="str">
        <f>IF(E122&lt;=20,"0-19",
IF(E122&lt;=50,"20-49",
IF(E122&lt;=80,"50-79","80+")))</f>
        <v>0-19</v>
      </c>
      <c r="G122" s="82" t="s">
        <v>2041</v>
      </c>
      <c r="H122" s="82" t="s">
        <v>132</v>
      </c>
      <c r="I122" s="82" t="s">
        <v>2042</v>
      </c>
      <c r="J122" s="114" t="s">
        <v>2295</v>
      </c>
      <c r="K122" s="92" t="s">
        <v>1911</v>
      </c>
      <c r="L122" s="82" t="s">
        <v>1928</v>
      </c>
      <c r="M122" s="82">
        <v>2</v>
      </c>
      <c r="N122" s="151">
        <v>63002</v>
      </c>
      <c r="O122" s="151" t="s">
        <v>2254</v>
      </c>
      <c r="P122" s="152">
        <v>254726386129</v>
      </c>
      <c r="Q122" s="210"/>
    </row>
    <row r="123" spans="1:17" ht="22.5" x14ac:dyDescent="0.2">
      <c r="A123" s="187" t="s">
        <v>185</v>
      </c>
      <c r="B123" s="189">
        <v>2004761</v>
      </c>
      <c r="C123" s="189">
        <v>31664</v>
      </c>
      <c r="D123" s="189" t="s">
        <v>186</v>
      </c>
      <c r="E123" s="189">
        <v>63</v>
      </c>
      <c r="F123" s="189" t="str">
        <f>IF(E123&lt;=20,"0-19",
IF(E123&lt;=50,"20-49",
IF(E123&lt;=80,"50-79","80+")))</f>
        <v>50-79</v>
      </c>
      <c r="G123" s="189" t="s">
        <v>187</v>
      </c>
      <c r="H123" s="189" t="s">
        <v>15</v>
      </c>
      <c r="I123" s="189" t="s">
        <v>188</v>
      </c>
      <c r="J123" s="189" t="s">
        <v>2270</v>
      </c>
      <c r="K123" s="189" t="s">
        <v>2258</v>
      </c>
      <c r="L123" s="190" t="s">
        <v>190</v>
      </c>
      <c r="M123" s="92">
        <v>2</v>
      </c>
      <c r="N123" s="193">
        <v>433492.51</v>
      </c>
      <c r="O123" s="82" t="s">
        <v>18</v>
      </c>
      <c r="P123" s="170"/>
      <c r="Q123" s="210"/>
    </row>
    <row r="124" spans="1:17" ht="21" x14ac:dyDescent="0.2">
      <c r="A124" s="139" t="s">
        <v>1237</v>
      </c>
      <c r="B124" s="93">
        <v>2014720</v>
      </c>
      <c r="C124" s="82">
        <v>37099</v>
      </c>
      <c r="D124" s="93" t="s">
        <v>719</v>
      </c>
      <c r="E124" s="93">
        <v>67</v>
      </c>
      <c r="F124" s="93" t="str">
        <f>IF(E124&lt;=20,"0-19",
IF(E124&lt;=50,"20-49",
IF(E124&lt;=80,"50-79","80+")))</f>
        <v>50-79</v>
      </c>
      <c r="G124" s="93" t="s">
        <v>885</v>
      </c>
      <c r="H124" s="93" t="s">
        <v>15</v>
      </c>
      <c r="I124" s="93" t="s">
        <v>886</v>
      </c>
      <c r="J124" s="93" t="s">
        <v>2270</v>
      </c>
      <c r="K124" s="93" t="s">
        <v>835</v>
      </c>
      <c r="L124" s="93" t="s">
        <v>880</v>
      </c>
      <c r="M124" s="93">
        <v>2</v>
      </c>
      <c r="N124" s="94">
        <v>143848</v>
      </c>
      <c r="O124" s="82" t="s">
        <v>832</v>
      </c>
      <c r="P124" s="171"/>
      <c r="Q124" s="210"/>
    </row>
    <row r="125" spans="1:17" x14ac:dyDescent="0.2">
      <c r="A125" s="139" t="s">
        <v>19</v>
      </c>
      <c r="B125" s="114">
        <v>2016395</v>
      </c>
      <c r="C125" s="114">
        <v>56269</v>
      </c>
      <c r="D125" s="114" t="s">
        <v>100</v>
      </c>
      <c r="E125" s="114">
        <v>62</v>
      </c>
      <c r="F125" s="114" t="str">
        <f>IF(E125&lt;=20,"0-19",
IF(E125&lt;=50,"20-49",
IF(E125&lt;=80,"50-79","80+")))</f>
        <v>50-79</v>
      </c>
      <c r="G125" s="114" t="s">
        <v>101</v>
      </c>
      <c r="H125" s="114" t="s">
        <v>22</v>
      </c>
      <c r="I125" s="114" t="s">
        <v>102</v>
      </c>
      <c r="J125" s="111" t="s">
        <v>2270</v>
      </c>
      <c r="K125" s="114" t="s">
        <v>103</v>
      </c>
      <c r="L125" s="114" t="s">
        <v>104</v>
      </c>
      <c r="M125" s="114">
        <v>2</v>
      </c>
      <c r="N125" s="116">
        <v>66007.199999999997</v>
      </c>
      <c r="O125" s="82" t="s">
        <v>18</v>
      </c>
      <c r="P125" s="170"/>
      <c r="Q125" s="210"/>
    </row>
    <row r="126" spans="1:17" ht="21" x14ac:dyDescent="0.2">
      <c r="A126" s="105" t="s">
        <v>354</v>
      </c>
      <c r="B126" s="92">
        <v>2013966</v>
      </c>
      <c r="C126" s="82">
        <v>54092</v>
      </c>
      <c r="D126" s="92" t="s">
        <v>1994</v>
      </c>
      <c r="E126" s="92">
        <v>62</v>
      </c>
      <c r="F126" s="92" t="str">
        <f>IF(E126&lt;=20,"0-19",
IF(E126&lt;=50,"20-49",
IF(E126&lt;=80,"50-79","80+")))</f>
        <v>50-79</v>
      </c>
      <c r="G126" s="92" t="s">
        <v>1995</v>
      </c>
      <c r="H126" s="92" t="s">
        <v>15</v>
      </c>
      <c r="I126" s="92" t="s">
        <v>1996</v>
      </c>
      <c r="J126" s="114" t="s">
        <v>2311</v>
      </c>
      <c r="K126" s="92" t="s">
        <v>1675</v>
      </c>
      <c r="L126" s="92" t="s">
        <v>1911</v>
      </c>
      <c r="M126" s="92">
        <v>2</v>
      </c>
      <c r="N126" s="166">
        <v>41922.17</v>
      </c>
      <c r="O126" s="166" t="s">
        <v>2254</v>
      </c>
      <c r="P126" s="152">
        <v>254720010099</v>
      </c>
      <c r="Q126" s="210"/>
    </row>
    <row r="127" spans="1:17" x14ac:dyDescent="0.2">
      <c r="A127" s="105" t="s">
        <v>1656</v>
      </c>
      <c r="B127" s="82">
        <v>2506006</v>
      </c>
      <c r="C127" s="82">
        <v>65497</v>
      </c>
      <c r="D127" s="82" t="s">
        <v>1657</v>
      </c>
      <c r="E127" s="82">
        <v>7</v>
      </c>
      <c r="F127" s="82" t="str">
        <f>IF(E127&lt;=20,"0-19",
IF(E127&lt;=50,"20-49",
IF(E127&lt;=80,"50-79","80+")))</f>
        <v>0-19</v>
      </c>
      <c r="G127" s="82" t="s">
        <v>1658</v>
      </c>
      <c r="H127" s="82" t="s">
        <v>88</v>
      </c>
      <c r="I127" s="92" t="s">
        <v>1659</v>
      </c>
      <c r="J127" s="114" t="s">
        <v>2311</v>
      </c>
      <c r="K127" s="82" t="s">
        <v>1660</v>
      </c>
      <c r="L127" s="82" t="s">
        <v>1589</v>
      </c>
      <c r="M127" s="82">
        <v>2</v>
      </c>
      <c r="N127" s="151">
        <v>59735</v>
      </c>
      <c r="O127" s="151" t="s">
        <v>2254</v>
      </c>
      <c r="P127" s="152">
        <v>254726967415</v>
      </c>
      <c r="Q127" s="210"/>
    </row>
    <row r="128" spans="1:17" x14ac:dyDescent="0.2">
      <c r="A128" s="139" t="s">
        <v>208</v>
      </c>
      <c r="B128" s="82">
        <v>2019296</v>
      </c>
      <c r="C128" s="82">
        <v>104424</v>
      </c>
      <c r="D128" s="82" t="s">
        <v>1272</v>
      </c>
      <c r="E128" s="82">
        <v>15</v>
      </c>
      <c r="F128" s="82" t="str">
        <f>IF(E128&lt;=20,"0-19",
IF(E128&lt;=50,"20-49",
IF(E128&lt;=80,"50-79","80+")))</f>
        <v>0-19</v>
      </c>
      <c r="G128" s="82" t="s">
        <v>1273</v>
      </c>
      <c r="H128" s="82" t="s">
        <v>132</v>
      </c>
      <c r="I128" s="82" t="s">
        <v>1274</v>
      </c>
      <c r="J128" s="114" t="s">
        <v>2311</v>
      </c>
      <c r="K128" s="82" t="s">
        <v>860</v>
      </c>
      <c r="L128" s="82" t="s">
        <v>1236</v>
      </c>
      <c r="M128" s="82">
        <v>2</v>
      </c>
      <c r="N128" s="84">
        <v>61410</v>
      </c>
      <c r="O128" s="82" t="s">
        <v>832</v>
      </c>
      <c r="P128" s="170"/>
      <c r="Q128" s="210"/>
    </row>
    <row r="129" spans="1:17" x14ac:dyDescent="0.2">
      <c r="A129" s="139" t="s">
        <v>117</v>
      </c>
      <c r="B129" s="113">
        <v>2021219</v>
      </c>
      <c r="C129" s="113">
        <v>8847</v>
      </c>
      <c r="D129" s="114" t="s">
        <v>118</v>
      </c>
      <c r="E129" s="113">
        <v>17</v>
      </c>
      <c r="F129" s="113" t="str">
        <f>IF(E129&lt;=20,"0-19",
IF(E129&lt;=50,"20-49",
IF(E129&lt;=80,"50-79","80+")))</f>
        <v>0-19</v>
      </c>
      <c r="G129" s="113" t="s">
        <v>119</v>
      </c>
      <c r="H129" s="113" t="s">
        <v>88</v>
      </c>
      <c r="I129" s="114" t="s">
        <v>120</v>
      </c>
      <c r="J129" s="114" t="s">
        <v>2328</v>
      </c>
      <c r="K129" s="114" t="s">
        <v>121</v>
      </c>
      <c r="L129" s="113" t="s">
        <v>25</v>
      </c>
      <c r="M129" s="114">
        <v>2</v>
      </c>
      <c r="N129" s="115">
        <v>35915</v>
      </c>
      <c r="O129" s="82" t="s">
        <v>18</v>
      </c>
      <c r="P129" s="170"/>
      <c r="Q129" s="210"/>
    </row>
    <row r="130" spans="1:17" x14ac:dyDescent="0.2">
      <c r="A130" s="105" t="s">
        <v>274</v>
      </c>
      <c r="B130" s="82">
        <v>2512287</v>
      </c>
      <c r="C130" s="82">
        <v>108867</v>
      </c>
      <c r="D130" s="82" t="s">
        <v>1642</v>
      </c>
      <c r="E130" s="82">
        <v>3</v>
      </c>
      <c r="F130" s="82" t="str">
        <f>IF(E130&lt;=20,"0-19",
IF(E130&lt;=50,"20-49",
IF(E130&lt;=80,"50-79","80+")))</f>
        <v>0-19</v>
      </c>
      <c r="G130" s="82" t="s">
        <v>1643</v>
      </c>
      <c r="H130" s="82" t="s">
        <v>132</v>
      </c>
      <c r="I130" s="92" t="s">
        <v>1644</v>
      </c>
      <c r="J130" s="92" t="s">
        <v>2322</v>
      </c>
      <c r="K130" s="82" t="s">
        <v>1543</v>
      </c>
      <c r="L130" s="82" t="s">
        <v>1551</v>
      </c>
      <c r="M130" s="82">
        <v>2</v>
      </c>
      <c r="N130" s="151">
        <v>45173.32</v>
      </c>
      <c r="O130" s="151" t="s">
        <v>2254</v>
      </c>
      <c r="P130" s="152">
        <v>254722235122</v>
      </c>
      <c r="Q130" s="210"/>
    </row>
    <row r="131" spans="1:17" x14ac:dyDescent="0.2">
      <c r="A131" s="139" t="s">
        <v>1371</v>
      </c>
      <c r="B131" s="82">
        <v>2011817</v>
      </c>
      <c r="C131" s="82">
        <v>56558</v>
      </c>
      <c r="D131" s="82" t="s">
        <v>884</v>
      </c>
      <c r="E131" s="82">
        <v>58</v>
      </c>
      <c r="F131" s="82" t="str">
        <f>IF(E131&lt;=20,"0-19",
IF(E131&lt;=50,"20-49",
IF(E131&lt;=80,"50-79","80+")))</f>
        <v>50-79</v>
      </c>
      <c r="G131" s="82" t="s">
        <v>14</v>
      </c>
      <c r="H131" s="82" t="s">
        <v>15</v>
      </c>
      <c r="I131" s="92" t="s">
        <v>164</v>
      </c>
      <c r="J131" s="92" t="s">
        <v>2322</v>
      </c>
      <c r="K131" s="92" t="s">
        <v>843</v>
      </c>
      <c r="L131" s="82" t="s">
        <v>846</v>
      </c>
      <c r="M131" s="82">
        <v>2</v>
      </c>
      <c r="N131" s="84">
        <v>268640</v>
      </c>
      <c r="O131" s="82" t="s">
        <v>832</v>
      </c>
      <c r="P131" s="170"/>
      <c r="Q131" s="210"/>
    </row>
    <row r="132" spans="1:17" x14ac:dyDescent="0.2">
      <c r="A132" s="104" t="s">
        <v>72</v>
      </c>
      <c r="B132" s="87">
        <v>2005908</v>
      </c>
      <c r="C132" s="87">
        <v>35410</v>
      </c>
      <c r="D132" s="87" t="s">
        <v>162</v>
      </c>
      <c r="E132" s="86">
        <v>39</v>
      </c>
      <c r="F132" s="86" t="str">
        <f>IF(E132&lt;=20,"0-19",
IF(E132&lt;=50,"20-49",
IF(E132&lt;=80,"50-79","80+")))</f>
        <v>20-49</v>
      </c>
      <c r="G132" s="87" t="s">
        <v>163</v>
      </c>
      <c r="H132" s="87" t="s">
        <v>15</v>
      </c>
      <c r="I132" s="87" t="s">
        <v>164</v>
      </c>
      <c r="J132" s="87" t="s">
        <v>2322</v>
      </c>
      <c r="K132" s="86" t="s">
        <v>94</v>
      </c>
      <c r="L132" s="86" t="s">
        <v>95</v>
      </c>
      <c r="M132" s="87">
        <v>2</v>
      </c>
      <c r="N132" s="97">
        <v>258825</v>
      </c>
      <c r="O132" s="87" t="s">
        <v>18</v>
      </c>
      <c r="P132" s="171"/>
      <c r="Q132" s="210"/>
    </row>
    <row r="133" spans="1:17" x14ac:dyDescent="0.2">
      <c r="A133" s="138" t="s">
        <v>178</v>
      </c>
      <c r="B133" s="111">
        <v>2014328</v>
      </c>
      <c r="C133" s="111">
        <v>7632</v>
      </c>
      <c r="D133" s="111" t="s">
        <v>179</v>
      </c>
      <c r="E133" s="111">
        <v>68</v>
      </c>
      <c r="F133" s="111" t="str">
        <f>IF(E133&lt;=20,"0-19",
IF(E133&lt;=50,"20-49",
IF(E133&lt;=80,"50-79","80+")))</f>
        <v>50-79</v>
      </c>
      <c r="G133" s="111" t="s">
        <v>180</v>
      </c>
      <c r="H133" s="111" t="s">
        <v>22</v>
      </c>
      <c r="I133" s="111" t="s">
        <v>181</v>
      </c>
      <c r="J133" s="114" t="s">
        <v>2314</v>
      </c>
      <c r="K133" s="111" t="s">
        <v>103</v>
      </c>
      <c r="L133" s="111" t="s">
        <v>104</v>
      </c>
      <c r="M133" s="111">
        <v>2</v>
      </c>
      <c r="N133" s="112">
        <v>36019</v>
      </c>
      <c r="O133" s="82" t="s">
        <v>18</v>
      </c>
      <c r="P133" s="170"/>
      <c r="Q133" s="210"/>
    </row>
    <row r="134" spans="1:17" x14ac:dyDescent="0.2">
      <c r="A134" s="108" t="s">
        <v>2063</v>
      </c>
      <c r="B134" s="87">
        <v>2014847</v>
      </c>
      <c r="C134" s="87">
        <v>19118</v>
      </c>
      <c r="D134" s="87" t="s">
        <v>2064</v>
      </c>
      <c r="E134" s="87">
        <v>17</v>
      </c>
      <c r="F134" s="87" t="str">
        <f>IF(E134&lt;=20,"0-19",
IF(E134&lt;=50,"20-49",
IF(E134&lt;=80,"50-79","80+")))</f>
        <v>0-19</v>
      </c>
      <c r="G134" s="87" t="s">
        <v>2065</v>
      </c>
      <c r="H134" s="87" t="s">
        <v>132</v>
      </c>
      <c r="I134" s="87" t="s">
        <v>2066</v>
      </c>
      <c r="J134" s="114" t="s">
        <v>2546</v>
      </c>
      <c r="K134" s="86" t="s">
        <v>1911</v>
      </c>
      <c r="L134" s="87" t="s">
        <v>1916</v>
      </c>
      <c r="M134" s="87">
        <v>2</v>
      </c>
      <c r="N134" s="161">
        <v>76305</v>
      </c>
      <c r="O134" s="161" t="s">
        <v>2254</v>
      </c>
      <c r="P134" s="168">
        <v>254727778715</v>
      </c>
      <c r="Q134" s="210"/>
    </row>
    <row r="135" spans="1:17" x14ac:dyDescent="0.2">
      <c r="A135" s="139" t="s">
        <v>86</v>
      </c>
      <c r="B135" s="111">
        <v>2009872</v>
      </c>
      <c r="C135" s="111">
        <v>61492</v>
      </c>
      <c r="D135" s="111" t="s">
        <v>87</v>
      </c>
      <c r="E135" s="111">
        <v>17</v>
      </c>
      <c r="F135" s="111" t="str">
        <f>IF(E135&lt;=20,"0-19",
IF(E135&lt;=50,"20-49",
IF(E135&lt;=80,"50-79","80+")))</f>
        <v>0-19</v>
      </c>
      <c r="G135" s="111" t="s">
        <v>14</v>
      </c>
      <c r="H135" s="111" t="s">
        <v>88</v>
      </c>
      <c r="I135" s="111" t="s">
        <v>89</v>
      </c>
      <c r="J135" s="114" t="s">
        <v>2546</v>
      </c>
      <c r="K135" s="111" t="s">
        <v>17</v>
      </c>
      <c r="L135" s="111" t="s">
        <v>46</v>
      </c>
      <c r="M135" s="111">
        <v>2</v>
      </c>
      <c r="N135" s="112">
        <v>89757</v>
      </c>
      <c r="O135" s="87" t="s">
        <v>18</v>
      </c>
      <c r="P135" s="171"/>
      <c r="Q135" s="210"/>
    </row>
    <row r="136" spans="1:17" ht="21" x14ac:dyDescent="0.2">
      <c r="A136" s="105" t="s">
        <v>1622</v>
      </c>
      <c r="B136" s="92">
        <v>2009830</v>
      </c>
      <c r="C136" s="82">
        <v>18739</v>
      </c>
      <c r="D136" s="92" t="s">
        <v>1623</v>
      </c>
      <c r="E136" s="92">
        <v>58</v>
      </c>
      <c r="F136" s="92" t="str">
        <f>IF(E136&lt;=20,"0-19",
IF(E136&lt;=50,"20-49",
IF(E136&lt;=80,"50-79","80+")))</f>
        <v>50-79</v>
      </c>
      <c r="G136" s="92" t="s">
        <v>1624</v>
      </c>
      <c r="H136" s="92" t="s">
        <v>15</v>
      </c>
      <c r="I136" s="92" t="s">
        <v>1625</v>
      </c>
      <c r="J136" s="92" t="s">
        <v>2283</v>
      </c>
      <c r="K136" s="92" t="s">
        <v>1594</v>
      </c>
      <c r="L136" s="92" t="s">
        <v>1562</v>
      </c>
      <c r="M136" s="93">
        <v>2</v>
      </c>
      <c r="N136" s="159">
        <v>36720</v>
      </c>
      <c r="O136" s="159" t="s">
        <v>2254</v>
      </c>
      <c r="P136" s="152">
        <v>254721898644</v>
      </c>
      <c r="Q136" s="210"/>
    </row>
    <row r="137" spans="1:17" x14ac:dyDescent="0.2">
      <c r="A137" s="139" t="s">
        <v>1503</v>
      </c>
      <c r="B137" s="82">
        <v>2022483</v>
      </c>
      <c r="C137" s="82">
        <v>80695</v>
      </c>
      <c r="D137" s="82" t="s">
        <v>1496</v>
      </c>
      <c r="E137" s="82">
        <v>3</v>
      </c>
      <c r="F137" s="82" t="str">
        <f>IF(E137&lt;=20,"0-19",
IF(E137&lt;=50,"20-49",
IF(E137&lt;=80,"50-79","80+")))</f>
        <v>0-19</v>
      </c>
      <c r="G137" s="82" t="s">
        <v>1497</v>
      </c>
      <c r="H137" s="82" t="s">
        <v>132</v>
      </c>
      <c r="I137" s="82" t="s">
        <v>1526</v>
      </c>
      <c r="J137" s="82" t="s">
        <v>2283</v>
      </c>
      <c r="K137" s="82" t="s">
        <v>860</v>
      </c>
      <c r="L137" s="82" t="s">
        <v>1236</v>
      </c>
      <c r="M137" s="82">
        <v>2</v>
      </c>
      <c r="N137" s="84">
        <v>34629</v>
      </c>
      <c r="O137" s="82" t="s">
        <v>832</v>
      </c>
      <c r="P137" s="171"/>
      <c r="Q137" s="210"/>
    </row>
    <row r="138" spans="1:17" x14ac:dyDescent="0.2">
      <c r="A138" s="108" t="s">
        <v>249</v>
      </c>
      <c r="B138" s="87">
        <v>2001045</v>
      </c>
      <c r="C138" s="87">
        <v>17578</v>
      </c>
      <c r="D138" s="87" t="s">
        <v>2092</v>
      </c>
      <c r="E138" s="87">
        <v>80</v>
      </c>
      <c r="F138" s="87" t="str">
        <f>IF(E138&lt;=20,"0-19",
IF(E138&lt;=50,"20-49",
IF(E138&lt;=80,"50-79","80+")))</f>
        <v>50-79</v>
      </c>
      <c r="G138" s="87" t="s">
        <v>2093</v>
      </c>
      <c r="H138" s="87" t="s">
        <v>22</v>
      </c>
      <c r="I138" s="87" t="s">
        <v>2094</v>
      </c>
      <c r="J138" s="87" t="s">
        <v>2283</v>
      </c>
      <c r="K138" s="86" t="s">
        <v>1898</v>
      </c>
      <c r="L138" s="87" t="s">
        <v>2016</v>
      </c>
      <c r="M138" s="87">
        <v>2</v>
      </c>
      <c r="N138" s="161">
        <v>88097</v>
      </c>
      <c r="O138" s="161" t="s">
        <v>2254</v>
      </c>
      <c r="P138" s="168">
        <v>254720369501</v>
      </c>
      <c r="Q138" s="210"/>
    </row>
    <row r="139" spans="1:17" x14ac:dyDescent="0.2">
      <c r="A139" s="139" t="s">
        <v>1503</v>
      </c>
      <c r="B139" s="82">
        <v>2023609</v>
      </c>
      <c r="C139" s="82">
        <v>21313</v>
      </c>
      <c r="D139" s="82" t="s">
        <v>1524</v>
      </c>
      <c r="E139" s="82">
        <v>49</v>
      </c>
      <c r="F139" s="82" t="str">
        <f>IF(E139&lt;=20,"0-19",
IF(E139&lt;=50,"20-49",
IF(E139&lt;=80,"50-79","80+")))</f>
        <v>20-49</v>
      </c>
      <c r="G139" s="82" t="s">
        <v>1525</v>
      </c>
      <c r="H139" s="82" t="s">
        <v>15</v>
      </c>
      <c r="I139" s="82" t="s">
        <v>1157</v>
      </c>
      <c r="J139" s="82" t="s">
        <v>2283</v>
      </c>
      <c r="K139" s="82" t="s">
        <v>860</v>
      </c>
      <c r="L139" s="82" t="s">
        <v>1236</v>
      </c>
      <c r="M139" s="82">
        <v>2</v>
      </c>
      <c r="N139" s="84">
        <v>52463.34</v>
      </c>
      <c r="O139" s="82" t="s">
        <v>832</v>
      </c>
      <c r="P139" s="170"/>
      <c r="Q139" s="210"/>
    </row>
    <row r="140" spans="1:17" x14ac:dyDescent="0.2">
      <c r="A140" s="139" t="s">
        <v>146</v>
      </c>
      <c r="B140" s="82">
        <v>2004023</v>
      </c>
      <c r="C140" s="82">
        <v>61041</v>
      </c>
      <c r="D140" s="82" t="s">
        <v>1414</v>
      </c>
      <c r="E140" s="82">
        <v>65</v>
      </c>
      <c r="F140" s="82" t="str">
        <f>IF(E140&lt;=20,"0-19",
IF(E140&lt;=50,"20-49",
IF(E140&lt;=80,"50-79","80+")))</f>
        <v>50-79</v>
      </c>
      <c r="G140" s="82" t="s">
        <v>1415</v>
      </c>
      <c r="H140" s="82" t="s">
        <v>22</v>
      </c>
      <c r="I140" s="92" t="s">
        <v>1416</v>
      </c>
      <c r="J140" s="114" t="s">
        <v>2295</v>
      </c>
      <c r="K140" s="92" t="s">
        <v>1366</v>
      </c>
      <c r="L140" s="92" t="s">
        <v>1242</v>
      </c>
      <c r="M140" s="82">
        <v>2</v>
      </c>
      <c r="N140" s="84">
        <v>51297</v>
      </c>
      <c r="O140" s="82" t="s">
        <v>832</v>
      </c>
      <c r="P140" s="171"/>
      <c r="Q140" s="210"/>
    </row>
    <row r="141" spans="1:17" x14ac:dyDescent="0.2">
      <c r="A141" s="139" t="s">
        <v>53</v>
      </c>
      <c r="B141" s="82">
        <v>2020767</v>
      </c>
      <c r="C141" s="82">
        <v>105075</v>
      </c>
      <c r="D141" s="82" t="s">
        <v>1355</v>
      </c>
      <c r="E141" s="82">
        <v>52</v>
      </c>
      <c r="F141" s="82" t="str">
        <f>IF(E141&lt;=20,"0-19",
IF(E141&lt;=50,"20-49",
IF(E141&lt;=80,"50-79","80+")))</f>
        <v>50-79</v>
      </c>
      <c r="G141" s="82" t="s">
        <v>1356</v>
      </c>
      <c r="H141" s="82" t="s">
        <v>15</v>
      </c>
      <c r="I141" s="92" t="s">
        <v>1357</v>
      </c>
      <c r="J141" s="92" t="s">
        <v>2275</v>
      </c>
      <c r="K141" s="92" t="s">
        <v>1236</v>
      </c>
      <c r="L141" s="92" t="s">
        <v>1241</v>
      </c>
      <c r="M141" s="82">
        <v>3</v>
      </c>
      <c r="N141" s="84">
        <v>307973</v>
      </c>
      <c r="O141" s="82" t="s">
        <v>832</v>
      </c>
      <c r="P141" s="170"/>
      <c r="Q141" s="210"/>
    </row>
    <row r="142" spans="1:17" x14ac:dyDescent="0.2">
      <c r="A142" s="139" t="s">
        <v>267</v>
      </c>
      <c r="B142" s="113">
        <v>2015860</v>
      </c>
      <c r="C142" s="113">
        <v>52961</v>
      </c>
      <c r="D142" s="114" t="s">
        <v>271</v>
      </c>
      <c r="E142" s="113">
        <v>63</v>
      </c>
      <c r="F142" s="113" t="str">
        <f>IF(E142&lt;=20,"0-19",
IF(E142&lt;=50,"20-49",
IF(E142&lt;=80,"50-79","80+")))</f>
        <v>50-79</v>
      </c>
      <c r="G142" s="113" t="s">
        <v>272</v>
      </c>
      <c r="H142" s="113" t="s">
        <v>15</v>
      </c>
      <c r="I142" s="114" t="s">
        <v>273</v>
      </c>
      <c r="J142" s="114" t="s">
        <v>2275</v>
      </c>
      <c r="K142" s="114" t="s">
        <v>71</v>
      </c>
      <c r="L142" s="113" t="s">
        <v>42</v>
      </c>
      <c r="M142" s="114">
        <v>3</v>
      </c>
      <c r="N142" s="115">
        <v>70958.53</v>
      </c>
      <c r="O142" s="82" t="s">
        <v>18</v>
      </c>
      <c r="P142" s="170"/>
      <c r="Q142" s="210"/>
    </row>
    <row r="143" spans="1:17" ht="21" x14ac:dyDescent="0.2">
      <c r="A143" s="139" t="s">
        <v>53</v>
      </c>
      <c r="B143" s="82">
        <v>2004100</v>
      </c>
      <c r="C143" s="82">
        <v>100573</v>
      </c>
      <c r="D143" s="82" t="s">
        <v>83</v>
      </c>
      <c r="E143" s="82">
        <v>68</v>
      </c>
      <c r="F143" s="82" t="str">
        <f>IF(E143&lt;=20,"0-19",
IF(E143&lt;=50,"20-49",
IF(E143&lt;=80,"50-79","80+")))</f>
        <v>50-79</v>
      </c>
      <c r="G143" s="82" t="s">
        <v>941</v>
      </c>
      <c r="H143" s="82" t="s">
        <v>22</v>
      </c>
      <c r="I143" s="92" t="s">
        <v>942</v>
      </c>
      <c r="J143" s="92" t="s">
        <v>2275</v>
      </c>
      <c r="K143" s="92" t="s">
        <v>943</v>
      </c>
      <c r="L143" s="82" t="s">
        <v>831</v>
      </c>
      <c r="M143" s="82">
        <v>3</v>
      </c>
      <c r="N143" s="84">
        <v>344000</v>
      </c>
      <c r="O143" s="82" t="s">
        <v>832</v>
      </c>
      <c r="P143" s="171"/>
      <c r="Q143" s="210"/>
    </row>
    <row r="144" spans="1:17" x14ac:dyDescent="0.2">
      <c r="A144" s="139" t="s">
        <v>836</v>
      </c>
      <c r="B144" s="82">
        <v>2014390</v>
      </c>
      <c r="C144" s="82">
        <v>13704</v>
      </c>
      <c r="D144" s="82" t="s">
        <v>1436</v>
      </c>
      <c r="E144" s="82">
        <v>66</v>
      </c>
      <c r="F144" s="82" t="str">
        <f>IF(E144&lt;=20,"0-19",
IF(E144&lt;=50,"20-49",
IF(E144&lt;=80,"50-79","80+")))</f>
        <v>50-79</v>
      </c>
      <c r="G144" s="82" t="s">
        <v>1437</v>
      </c>
      <c r="H144" s="82" t="s">
        <v>15</v>
      </c>
      <c r="I144" s="82" t="s">
        <v>1438</v>
      </c>
      <c r="J144" s="82" t="s">
        <v>2275</v>
      </c>
      <c r="K144" s="82" t="s">
        <v>1439</v>
      </c>
      <c r="L144" s="82" t="s">
        <v>1288</v>
      </c>
      <c r="M144" s="82">
        <v>3</v>
      </c>
      <c r="N144" s="84">
        <v>460510.8</v>
      </c>
      <c r="O144" s="82" t="s">
        <v>832</v>
      </c>
      <c r="P144" s="170"/>
      <c r="Q144" s="210"/>
    </row>
    <row r="145" spans="1:17" x14ac:dyDescent="0.2">
      <c r="A145" s="104" t="s">
        <v>1653</v>
      </c>
      <c r="B145" s="87">
        <v>2020141</v>
      </c>
      <c r="C145" s="87">
        <v>16148</v>
      </c>
      <c r="D145" s="87" t="s">
        <v>1788</v>
      </c>
      <c r="E145" s="87">
        <v>65</v>
      </c>
      <c r="F145" s="87" t="str">
        <f>IF(E145&lt;=20,"0-19",
IF(E145&lt;=50,"20-49",
IF(E145&lt;=80,"50-79","80+")))</f>
        <v>50-79</v>
      </c>
      <c r="G145" s="87" t="s">
        <v>1789</v>
      </c>
      <c r="H145" s="87" t="s">
        <v>22</v>
      </c>
      <c r="I145" s="86" t="s">
        <v>1790</v>
      </c>
      <c r="J145" s="86" t="s">
        <v>2275</v>
      </c>
      <c r="K145" s="87" t="s">
        <v>1562</v>
      </c>
      <c r="L145" s="87" t="s">
        <v>1549</v>
      </c>
      <c r="M145" s="87">
        <v>3</v>
      </c>
      <c r="N145" s="161">
        <v>243679</v>
      </c>
      <c r="O145" s="161" t="s">
        <v>2254</v>
      </c>
      <c r="P145" s="168">
        <v>254728238081</v>
      </c>
      <c r="Q145" s="210"/>
    </row>
    <row r="146" spans="1:17" ht="21" x14ac:dyDescent="0.2">
      <c r="A146" s="187" t="s">
        <v>285</v>
      </c>
      <c r="B146" s="189">
        <v>2022134</v>
      </c>
      <c r="C146" s="189">
        <v>32050</v>
      </c>
      <c r="D146" s="189" t="s">
        <v>286</v>
      </c>
      <c r="E146" s="189">
        <v>54</v>
      </c>
      <c r="F146" s="189" t="str">
        <f>IF(E146&lt;=20,"0-19",
IF(E146&lt;=50,"20-49",
IF(E146&lt;=80,"50-79","80+")))</f>
        <v>50-79</v>
      </c>
      <c r="G146" s="189" t="s">
        <v>287</v>
      </c>
      <c r="H146" s="189" t="s">
        <v>15</v>
      </c>
      <c r="I146" s="189" t="s">
        <v>288</v>
      </c>
      <c r="J146" s="189" t="s">
        <v>2275</v>
      </c>
      <c r="K146" s="189" t="s">
        <v>108</v>
      </c>
      <c r="L146" s="190" t="s">
        <v>289</v>
      </c>
      <c r="M146" s="92">
        <v>3</v>
      </c>
      <c r="N146" s="193">
        <v>99489</v>
      </c>
      <c r="O146" s="82" t="s">
        <v>18</v>
      </c>
      <c r="P146" s="170"/>
      <c r="Q146" s="210"/>
    </row>
    <row r="147" spans="1:17" x14ac:dyDescent="0.2">
      <c r="A147" s="105" t="s">
        <v>221</v>
      </c>
      <c r="B147" s="92">
        <v>2002470</v>
      </c>
      <c r="C147" s="82">
        <v>18751</v>
      </c>
      <c r="D147" s="92" t="s">
        <v>1669</v>
      </c>
      <c r="E147" s="92">
        <v>61</v>
      </c>
      <c r="F147" s="92" t="str">
        <f>IF(E147&lt;=20,"0-19",
IF(E147&lt;=50,"20-49",
IF(E147&lt;=80,"50-79","80+")))</f>
        <v>50-79</v>
      </c>
      <c r="G147" s="92" t="s">
        <v>1670</v>
      </c>
      <c r="H147" s="92" t="s">
        <v>22</v>
      </c>
      <c r="I147" s="92" t="s">
        <v>1671</v>
      </c>
      <c r="J147" s="92" t="s">
        <v>2275</v>
      </c>
      <c r="K147" s="92" t="s">
        <v>1264</v>
      </c>
      <c r="L147" s="93" t="s">
        <v>1553</v>
      </c>
      <c r="M147" s="93">
        <v>3</v>
      </c>
      <c r="N147" s="159">
        <v>63113</v>
      </c>
      <c r="O147" s="159" t="s">
        <v>2254</v>
      </c>
      <c r="P147" s="152">
        <v>254722864285</v>
      </c>
      <c r="Q147" s="210"/>
    </row>
    <row r="148" spans="1:17" ht="21" x14ac:dyDescent="0.2">
      <c r="A148" s="105" t="s">
        <v>1575</v>
      </c>
      <c r="B148" s="82">
        <v>2023119</v>
      </c>
      <c r="C148" s="82">
        <v>54726</v>
      </c>
      <c r="D148" s="82" t="s">
        <v>2045</v>
      </c>
      <c r="E148" s="82">
        <v>58</v>
      </c>
      <c r="F148" s="82" t="str">
        <f>IF(E148&lt;=20,"0-19",
IF(E148&lt;=50,"20-49",
IF(E148&lt;=80,"50-79","80+")))</f>
        <v>50-79</v>
      </c>
      <c r="G148" s="82" t="s">
        <v>2046</v>
      </c>
      <c r="H148" s="82" t="s">
        <v>15</v>
      </c>
      <c r="I148" s="82" t="s">
        <v>2047</v>
      </c>
      <c r="J148" s="82" t="s">
        <v>2275</v>
      </c>
      <c r="K148" s="92" t="s">
        <v>1928</v>
      </c>
      <c r="L148" s="82" t="s">
        <v>2048</v>
      </c>
      <c r="M148" s="82">
        <v>3</v>
      </c>
      <c r="N148" s="151">
        <v>64450</v>
      </c>
      <c r="O148" s="151" t="s">
        <v>2254</v>
      </c>
      <c r="P148" s="152">
        <v>254717992592</v>
      </c>
      <c r="Q148" s="210"/>
    </row>
    <row r="149" spans="1:17" ht="21" x14ac:dyDescent="0.2">
      <c r="A149" s="104" t="s">
        <v>1690</v>
      </c>
      <c r="B149" s="86">
        <v>2011288</v>
      </c>
      <c r="C149" s="87">
        <v>52601</v>
      </c>
      <c r="D149" s="86" t="s">
        <v>1823</v>
      </c>
      <c r="E149" s="86">
        <v>59</v>
      </c>
      <c r="F149" s="86" t="str">
        <f>IF(E149&lt;=20,"0-19",
IF(E149&lt;=50,"20-49",
IF(E149&lt;=80,"50-79","80+")))</f>
        <v>50-79</v>
      </c>
      <c r="G149" s="86" t="s">
        <v>1824</v>
      </c>
      <c r="H149" s="86" t="s">
        <v>15</v>
      </c>
      <c r="I149" s="86" t="s">
        <v>1825</v>
      </c>
      <c r="J149" s="86" t="s">
        <v>2275</v>
      </c>
      <c r="K149" s="86" t="s">
        <v>1264</v>
      </c>
      <c r="L149" s="88" t="s">
        <v>1553</v>
      </c>
      <c r="M149" s="88">
        <v>3</v>
      </c>
      <c r="N149" s="163">
        <v>321878</v>
      </c>
      <c r="O149" s="163" t="s">
        <v>2254</v>
      </c>
      <c r="P149" s="168">
        <v>254721542824</v>
      </c>
      <c r="Q149" s="210"/>
    </row>
    <row r="150" spans="1:17" x14ac:dyDescent="0.2">
      <c r="A150" s="108" t="s">
        <v>75</v>
      </c>
      <c r="B150" s="87">
        <v>2003903</v>
      </c>
      <c r="C150" s="87">
        <v>12834</v>
      </c>
      <c r="D150" s="87" t="s">
        <v>264</v>
      </c>
      <c r="E150" s="86">
        <v>67</v>
      </c>
      <c r="F150" s="86" t="str">
        <f>IF(E150&lt;=20,"0-19",
IF(E150&lt;=50,"20-49",
IF(E150&lt;=80,"50-79","80+")))</f>
        <v>50-79</v>
      </c>
      <c r="G150" s="87" t="s">
        <v>265</v>
      </c>
      <c r="H150" s="87" t="s">
        <v>22</v>
      </c>
      <c r="I150" s="87" t="s">
        <v>266</v>
      </c>
      <c r="J150" s="87" t="s">
        <v>2275</v>
      </c>
      <c r="K150" s="86" t="s">
        <v>37</v>
      </c>
      <c r="L150" s="86" t="s">
        <v>79</v>
      </c>
      <c r="M150" s="87">
        <v>3</v>
      </c>
      <c r="N150" s="97">
        <v>55674</v>
      </c>
      <c r="O150" s="87" t="s">
        <v>18</v>
      </c>
      <c r="P150" s="171"/>
      <c r="Q150" s="210"/>
    </row>
    <row r="151" spans="1:17" x14ac:dyDescent="0.2">
      <c r="A151" s="139" t="s">
        <v>19</v>
      </c>
      <c r="B151" s="82">
        <v>2012273</v>
      </c>
      <c r="C151" s="82">
        <v>9967</v>
      </c>
      <c r="D151" s="82" t="s">
        <v>1257</v>
      </c>
      <c r="E151" s="82">
        <v>67</v>
      </c>
      <c r="F151" s="82" t="str">
        <f>IF(E151&lt;=20,"0-19",
IF(E151&lt;=50,"20-49",
IF(E151&lt;=80,"50-79","80+")))</f>
        <v>50-79</v>
      </c>
      <c r="G151" s="82" t="s">
        <v>1258</v>
      </c>
      <c r="H151" s="82" t="s">
        <v>22</v>
      </c>
      <c r="I151" s="82" t="s">
        <v>1259</v>
      </c>
      <c r="J151" s="82" t="s">
        <v>2304</v>
      </c>
      <c r="K151" s="82" t="s">
        <v>1231</v>
      </c>
      <c r="L151" s="82" t="s">
        <v>1225</v>
      </c>
      <c r="M151" s="82">
        <v>3</v>
      </c>
      <c r="N151" s="84">
        <v>135746.5</v>
      </c>
      <c r="O151" s="82" t="s">
        <v>832</v>
      </c>
      <c r="P151" s="170"/>
      <c r="Q151" s="210"/>
    </row>
    <row r="152" spans="1:17" x14ac:dyDescent="0.2">
      <c r="A152" s="139" t="s">
        <v>43</v>
      </c>
      <c r="B152" s="82">
        <v>2001143</v>
      </c>
      <c r="C152" s="82">
        <v>14236</v>
      </c>
      <c r="D152" s="82" t="s">
        <v>920</v>
      </c>
      <c r="E152" s="82">
        <v>64</v>
      </c>
      <c r="F152" s="82" t="str">
        <f>IF(E152&lt;=20,"0-19",
IF(E152&lt;=50,"20-49",
IF(E152&lt;=80,"50-79","80+")))</f>
        <v>50-79</v>
      </c>
      <c r="G152" s="82" t="s">
        <v>921</v>
      </c>
      <c r="H152" s="82" t="s">
        <v>15</v>
      </c>
      <c r="I152" s="92" t="s">
        <v>922</v>
      </c>
      <c r="J152" s="92" t="s">
        <v>2304</v>
      </c>
      <c r="K152" s="92" t="s">
        <v>880</v>
      </c>
      <c r="L152" s="82" t="s">
        <v>846</v>
      </c>
      <c r="M152" s="82">
        <v>3</v>
      </c>
      <c r="N152" s="84">
        <v>120908.61</v>
      </c>
      <c r="O152" s="82" t="s">
        <v>832</v>
      </c>
      <c r="P152" s="170"/>
      <c r="Q152" s="210"/>
    </row>
    <row r="153" spans="1:17" x14ac:dyDescent="0.2">
      <c r="A153" s="139" t="s">
        <v>933</v>
      </c>
      <c r="B153" s="93">
        <v>2003093</v>
      </c>
      <c r="C153" s="82">
        <v>103537</v>
      </c>
      <c r="D153" s="93" t="s">
        <v>934</v>
      </c>
      <c r="E153" s="93">
        <v>66</v>
      </c>
      <c r="F153" s="93" t="str">
        <f>IF(E153&lt;=20,"0-19",
IF(E153&lt;=50,"20-49",
IF(E153&lt;=80,"50-79","80+")))</f>
        <v>50-79</v>
      </c>
      <c r="G153" s="93" t="s">
        <v>935</v>
      </c>
      <c r="H153" s="93" t="s">
        <v>22</v>
      </c>
      <c r="I153" s="93" t="s">
        <v>936</v>
      </c>
      <c r="J153" s="93" t="s">
        <v>2304</v>
      </c>
      <c r="K153" s="93" t="s">
        <v>289</v>
      </c>
      <c r="L153" s="93" t="s">
        <v>835</v>
      </c>
      <c r="M153" s="93">
        <v>3</v>
      </c>
      <c r="N153" s="94">
        <v>59130</v>
      </c>
      <c r="O153" s="82" t="s">
        <v>832</v>
      </c>
      <c r="P153" s="171"/>
      <c r="Q153" s="210"/>
    </row>
    <row r="154" spans="1:17" ht="21" x14ac:dyDescent="0.2">
      <c r="A154" s="139" t="s">
        <v>1503</v>
      </c>
      <c r="B154" s="93">
        <v>2021624</v>
      </c>
      <c r="C154" s="82">
        <v>55434</v>
      </c>
      <c r="D154" s="93" t="s">
        <v>976</v>
      </c>
      <c r="E154" s="93">
        <v>55</v>
      </c>
      <c r="F154" s="93" t="str">
        <f>IF(E154&lt;=20,"0-19",
IF(E154&lt;=50,"20-49",
IF(E154&lt;=80,"50-79","80+")))</f>
        <v>50-79</v>
      </c>
      <c r="G154" s="93" t="s">
        <v>977</v>
      </c>
      <c r="H154" s="93" t="s">
        <v>15</v>
      </c>
      <c r="I154" s="93" t="s">
        <v>978</v>
      </c>
      <c r="J154" s="93" t="s">
        <v>2304</v>
      </c>
      <c r="K154" s="93" t="s">
        <v>873</v>
      </c>
      <c r="L154" s="93" t="s">
        <v>880</v>
      </c>
      <c r="M154" s="93">
        <v>3</v>
      </c>
      <c r="N154" s="94">
        <v>85084</v>
      </c>
      <c r="O154" s="82" t="s">
        <v>832</v>
      </c>
      <c r="P154" s="171"/>
      <c r="Q154" s="210"/>
    </row>
    <row r="155" spans="1:17" ht="21" x14ac:dyDescent="0.2">
      <c r="A155" s="139" t="s">
        <v>155</v>
      </c>
      <c r="B155" s="92">
        <v>2407209</v>
      </c>
      <c r="C155" s="82">
        <v>58921</v>
      </c>
      <c r="D155" s="92" t="s">
        <v>864</v>
      </c>
      <c r="E155" s="92">
        <v>44</v>
      </c>
      <c r="F155" s="92" t="str">
        <f>IF(E155&lt;=20,"0-19",
IF(E155&lt;=50,"20-49",
IF(E155&lt;=80,"50-79","80+")))</f>
        <v>20-49</v>
      </c>
      <c r="G155" s="92" t="s">
        <v>1421</v>
      </c>
      <c r="H155" s="92" t="s">
        <v>15</v>
      </c>
      <c r="I155" s="92" t="s">
        <v>865</v>
      </c>
      <c r="J155" s="92" t="s">
        <v>2304</v>
      </c>
      <c r="K155" s="92" t="s">
        <v>860</v>
      </c>
      <c r="L155" s="92" t="s">
        <v>1260</v>
      </c>
      <c r="M155" s="92">
        <v>3</v>
      </c>
      <c r="N155" s="101">
        <v>83032</v>
      </c>
      <c r="O155" s="82" t="s">
        <v>832</v>
      </c>
      <c r="P155" s="170"/>
      <c r="Q155" s="210"/>
    </row>
    <row r="156" spans="1:17" x14ac:dyDescent="0.2">
      <c r="A156" s="104" t="s">
        <v>354</v>
      </c>
      <c r="B156" s="87">
        <v>2010295</v>
      </c>
      <c r="C156" s="87">
        <v>100193</v>
      </c>
      <c r="D156" s="87" t="s">
        <v>1633</v>
      </c>
      <c r="E156" s="87">
        <v>63</v>
      </c>
      <c r="F156" s="87" t="str">
        <f>IF(E156&lt;=20,"0-19",
IF(E156&lt;=50,"20-49",
IF(E156&lt;=80,"50-79","80+")))</f>
        <v>50-79</v>
      </c>
      <c r="G156" s="87" t="s">
        <v>1634</v>
      </c>
      <c r="H156" s="87" t="s">
        <v>15</v>
      </c>
      <c r="I156" s="86" t="s">
        <v>1635</v>
      </c>
      <c r="J156" s="86" t="s">
        <v>2304</v>
      </c>
      <c r="K156" s="87" t="s">
        <v>1543</v>
      </c>
      <c r="L156" s="87" t="s">
        <v>1551</v>
      </c>
      <c r="M156" s="87">
        <v>3</v>
      </c>
      <c r="N156" s="161">
        <v>41552.06</v>
      </c>
      <c r="O156" s="161" t="s">
        <v>2254</v>
      </c>
      <c r="P156" s="168">
        <v>254723975317</v>
      </c>
      <c r="Q156" s="210"/>
    </row>
    <row r="157" spans="1:17" x14ac:dyDescent="0.2">
      <c r="A157" s="139" t="s">
        <v>53</v>
      </c>
      <c r="B157" s="82">
        <v>2002779</v>
      </c>
      <c r="C157" s="82">
        <v>54318</v>
      </c>
      <c r="D157" s="82" t="s">
        <v>928</v>
      </c>
      <c r="E157" s="82">
        <v>70</v>
      </c>
      <c r="F157" s="82" t="str">
        <f>IF(E157&lt;=20,"0-19",
IF(E157&lt;=50,"20-49",
IF(E157&lt;=80,"50-79","80+")))</f>
        <v>50-79</v>
      </c>
      <c r="G157" s="82" t="s">
        <v>135</v>
      </c>
      <c r="H157" s="82" t="s">
        <v>22</v>
      </c>
      <c r="I157" s="92" t="s">
        <v>929</v>
      </c>
      <c r="J157" s="92" t="s">
        <v>2304</v>
      </c>
      <c r="K157" s="92" t="s">
        <v>896</v>
      </c>
      <c r="L157" s="82" t="s">
        <v>855</v>
      </c>
      <c r="M157" s="82">
        <v>3</v>
      </c>
      <c r="N157" s="84">
        <v>90023.64</v>
      </c>
      <c r="O157" s="82" t="s">
        <v>832</v>
      </c>
      <c r="P157" s="170"/>
      <c r="Q157" s="210"/>
    </row>
    <row r="158" spans="1:17" ht="31.5" x14ac:dyDescent="0.2">
      <c r="A158" s="108" t="s">
        <v>274</v>
      </c>
      <c r="B158" s="87">
        <v>2015037</v>
      </c>
      <c r="C158" s="87">
        <v>19683</v>
      </c>
      <c r="D158" s="87" t="s">
        <v>275</v>
      </c>
      <c r="E158" s="86">
        <v>61</v>
      </c>
      <c r="F158" s="86" t="str">
        <f>IF(E158&lt;=20,"0-19",
IF(E158&lt;=50,"20-49",
IF(E158&lt;=80,"50-79","80+")))</f>
        <v>50-79</v>
      </c>
      <c r="G158" s="87" t="s">
        <v>276</v>
      </c>
      <c r="H158" s="87" t="s">
        <v>22</v>
      </c>
      <c r="I158" s="87" t="s">
        <v>277</v>
      </c>
      <c r="J158" s="114" t="s">
        <v>2527</v>
      </c>
      <c r="K158" s="86" t="s">
        <v>278</v>
      </c>
      <c r="L158" s="86" t="s">
        <v>31</v>
      </c>
      <c r="M158" s="87">
        <v>3</v>
      </c>
      <c r="N158" s="97">
        <v>95262</v>
      </c>
      <c r="O158" s="87" t="s">
        <v>18</v>
      </c>
      <c r="P158" s="171"/>
      <c r="Q158" s="210"/>
    </row>
    <row r="159" spans="1:17" x14ac:dyDescent="0.2">
      <c r="A159" s="104" t="s">
        <v>72</v>
      </c>
      <c r="B159" s="87">
        <v>2013832</v>
      </c>
      <c r="C159" s="87">
        <v>15912</v>
      </c>
      <c r="D159" s="87" t="s">
        <v>282</v>
      </c>
      <c r="E159" s="86">
        <v>61</v>
      </c>
      <c r="F159" s="86" t="str">
        <f>IF(E159&lt;=20,"0-19",
IF(E159&lt;=50,"20-49",
IF(E159&lt;=80,"50-79","80+")))</f>
        <v>50-79</v>
      </c>
      <c r="G159" s="87" t="s">
        <v>283</v>
      </c>
      <c r="H159" s="87" t="s">
        <v>15</v>
      </c>
      <c r="I159" s="87" t="s">
        <v>284</v>
      </c>
      <c r="J159" s="87" t="s">
        <v>2328</v>
      </c>
      <c r="K159" s="86" t="s">
        <v>37</v>
      </c>
      <c r="L159" s="86" t="s">
        <v>141</v>
      </c>
      <c r="M159" s="87">
        <v>3</v>
      </c>
      <c r="N159" s="97">
        <v>467078.09</v>
      </c>
      <c r="O159" s="87" t="s">
        <v>18</v>
      </c>
      <c r="P159" s="171"/>
      <c r="Q159" s="210"/>
    </row>
    <row r="160" spans="1:17" x14ac:dyDescent="0.2">
      <c r="A160" s="139" t="s">
        <v>208</v>
      </c>
      <c r="B160" s="93">
        <v>2012902</v>
      </c>
      <c r="C160" s="82">
        <v>55794</v>
      </c>
      <c r="D160" s="93" t="s">
        <v>957</v>
      </c>
      <c r="E160" s="93">
        <v>63</v>
      </c>
      <c r="F160" s="93" t="str">
        <f>IF(E160&lt;=20,"0-19",
IF(E160&lt;=50,"20-49",
IF(E160&lt;=80,"50-79","80+")))</f>
        <v>50-79</v>
      </c>
      <c r="G160" s="92" t="s">
        <v>14</v>
      </c>
      <c r="H160" s="92" t="s">
        <v>15</v>
      </c>
      <c r="I160" s="93" t="s">
        <v>958</v>
      </c>
      <c r="J160" s="114" t="s">
        <v>2539</v>
      </c>
      <c r="K160" s="93" t="s">
        <v>901</v>
      </c>
      <c r="L160" s="92" t="s">
        <v>909</v>
      </c>
      <c r="M160" s="92">
        <v>3</v>
      </c>
      <c r="N160" s="94">
        <v>148005</v>
      </c>
      <c r="O160" s="82" t="s">
        <v>832</v>
      </c>
      <c r="P160" s="171"/>
      <c r="Q160" s="210"/>
    </row>
    <row r="161" spans="1:17" x14ac:dyDescent="0.2">
      <c r="A161" s="104" t="s">
        <v>1452</v>
      </c>
      <c r="B161" s="87">
        <v>2503198</v>
      </c>
      <c r="C161" s="87">
        <v>75071</v>
      </c>
      <c r="D161" s="87" t="s">
        <v>1579</v>
      </c>
      <c r="E161" s="183">
        <v>1.25</v>
      </c>
      <c r="F161" s="211" t="str">
        <f>IF(E161&lt;=20,"0-19",
IF(E161&lt;=50,"20-49",
IF(E161&lt;=80,"50-79","80+")))</f>
        <v>0-19</v>
      </c>
      <c r="G161" s="87" t="s">
        <v>1580</v>
      </c>
      <c r="H161" s="87" t="s">
        <v>88</v>
      </c>
      <c r="I161" s="86" t="s">
        <v>1581</v>
      </c>
      <c r="J161" s="114" t="s">
        <v>2311</v>
      </c>
      <c r="K161" s="87" t="s">
        <v>1542</v>
      </c>
      <c r="L161" s="87" t="s">
        <v>1556</v>
      </c>
      <c r="M161" s="87">
        <v>3</v>
      </c>
      <c r="N161" s="161">
        <v>15000</v>
      </c>
      <c r="O161" s="161" t="s">
        <v>2254</v>
      </c>
      <c r="P161" s="168">
        <v>254715509227</v>
      </c>
      <c r="Q161" s="210"/>
    </row>
    <row r="162" spans="1:17" x14ac:dyDescent="0.2">
      <c r="A162" s="139" t="s">
        <v>208</v>
      </c>
      <c r="B162" s="114">
        <v>2001925</v>
      </c>
      <c r="C162" s="113">
        <v>11055</v>
      </c>
      <c r="D162" s="114" t="s">
        <v>209</v>
      </c>
      <c r="E162" s="114">
        <v>70</v>
      </c>
      <c r="F162" s="114" t="str">
        <f>IF(E162&lt;=20,"0-19",
IF(E162&lt;=50,"20-49",
IF(E162&lt;=80,"50-79","80+")))</f>
        <v>50-79</v>
      </c>
      <c r="G162" s="114" t="s">
        <v>210</v>
      </c>
      <c r="H162" s="114" t="s">
        <v>22</v>
      </c>
      <c r="I162" s="114" t="s">
        <v>211</v>
      </c>
      <c r="J162" s="92" t="s">
        <v>2288</v>
      </c>
      <c r="K162" s="114" t="s">
        <v>104</v>
      </c>
      <c r="L162" s="111" t="s">
        <v>24</v>
      </c>
      <c r="M162" s="114">
        <v>3</v>
      </c>
      <c r="N162" s="116">
        <v>218615</v>
      </c>
      <c r="O162" s="87" t="s">
        <v>18</v>
      </c>
      <c r="P162" s="171"/>
      <c r="Q162" s="210"/>
    </row>
    <row r="163" spans="1:17" ht="21" x14ac:dyDescent="0.2">
      <c r="A163" s="139" t="s">
        <v>53</v>
      </c>
      <c r="B163" s="82">
        <v>2020238</v>
      </c>
      <c r="C163" s="82">
        <v>43253</v>
      </c>
      <c r="D163" s="82" t="s">
        <v>964</v>
      </c>
      <c r="E163" s="82">
        <v>62</v>
      </c>
      <c r="F163" s="82" t="str">
        <f>IF(E163&lt;=20,"0-19",
IF(E163&lt;=50,"20-49",
IF(E163&lt;=80,"50-79","80+")))</f>
        <v>50-79</v>
      </c>
      <c r="G163" s="82" t="s">
        <v>965</v>
      </c>
      <c r="H163" s="82" t="s">
        <v>15</v>
      </c>
      <c r="I163" s="82" t="s">
        <v>966</v>
      </c>
      <c r="J163" s="92" t="s">
        <v>2288</v>
      </c>
      <c r="K163" s="92" t="s">
        <v>967</v>
      </c>
      <c r="L163" s="92" t="s">
        <v>919</v>
      </c>
      <c r="M163" s="82">
        <v>3</v>
      </c>
      <c r="N163" s="84">
        <v>336560</v>
      </c>
      <c r="O163" s="82" t="s">
        <v>832</v>
      </c>
      <c r="P163" s="170"/>
      <c r="Q163" s="210"/>
    </row>
    <row r="164" spans="1:17" ht="21" x14ac:dyDescent="0.2">
      <c r="A164" s="139" t="s">
        <v>267</v>
      </c>
      <c r="B164" s="113">
        <v>2005735</v>
      </c>
      <c r="C164" s="113">
        <v>74055</v>
      </c>
      <c r="D164" s="114" t="s">
        <v>268</v>
      </c>
      <c r="E164" s="113">
        <v>17</v>
      </c>
      <c r="F164" s="113" t="str">
        <f>IF(E164&lt;=20,"0-19",
IF(E164&lt;=50,"20-49",
IF(E164&lt;=80,"50-79","80+")))</f>
        <v>0-19</v>
      </c>
      <c r="G164" s="113" t="s">
        <v>49</v>
      </c>
      <c r="H164" s="113" t="s">
        <v>132</v>
      </c>
      <c r="I164" s="114" t="s">
        <v>269</v>
      </c>
      <c r="J164" s="114" t="s">
        <v>2288</v>
      </c>
      <c r="K164" s="114" t="s">
        <v>270</v>
      </c>
      <c r="L164" s="113" t="s">
        <v>42</v>
      </c>
      <c r="M164" s="114">
        <v>3</v>
      </c>
      <c r="N164" s="115">
        <v>115518.16</v>
      </c>
      <c r="O164" s="87" t="s">
        <v>18</v>
      </c>
      <c r="P164" s="171"/>
      <c r="Q164" s="210"/>
    </row>
    <row r="165" spans="1:17" x14ac:dyDescent="0.2">
      <c r="A165" s="139" t="s">
        <v>19</v>
      </c>
      <c r="B165" s="87">
        <v>2001872</v>
      </c>
      <c r="C165" s="87">
        <v>13663</v>
      </c>
      <c r="D165" s="87" t="s">
        <v>105</v>
      </c>
      <c r="E165" s="86">
        <v>65</v>
      </c>
      <c r="F165" s="86" t="str">
        <f>IF(E165&lt;=20,"0-19",
IF(E165&lt;=50,"20-49",
IF(E165&lt;=80,"50-79","80+")))</f>
        <v>50-79</v>
      </c>
      <c r="G165" s="87" t="s">
        <v>106</v>
      </c>
      <c r="H165" s="87" t="s">
        <v>22</v>
      </c>
      <c r="I165" s="87" t="s">
        <v>197</v>
      </c>
      <c r="J165" s="87" t="s">
        <v>2288</v>
      </c>
      <c r="K165" s="86" t="s">
        <v>79</v>
      </c>
      <c r="L165" s="86" t="s">
        <v>94</v>
      </c>
      <c r="M165" s="87">
        <v>3</v>
      </c>
      <c r="N165" s="97">
        <v>88268</v>
      </c>
      <c r="O165" s="87" t="s">
        <v>18</v>
      </c>
      <c r="P165" s="171"/>
      <c r="Q165" s="210"/>
    </row>
    <row r="166" spans="1:17" x14ac:dyDescent="0.2">
      <c r="A166" s="104" t="s">
        <v>1606</v>
      </c>
      <c r="B166" s="87">
        <v>2009707</v>
      </c>
      <c r="C166" s="87">
        <v>14326</v>
      </c>
      <c r="D166" s="87" t="s">
        <v>1607</v>
      </c>
      <c r="E166" s="87">
        <v>68</v>
      </c>
      <c r="F166" s="87" t="str">
        <f>IF(E166&lt;=20,"0-19",
IF(E166&lt;=50,"20-49",
IF(E166&lt;=80,"50-79","80+")))</f>
        <v>50-79</v>
      </c>
      <c r="G166" s="87" t="s">
        <v>1608</v>
      </c>
      <c r="H166" s="87" t="s">
        <v>15</v>
      </c>
      <c r="I166" s="86" t="s">
        <v>1609</v>
      </c>
      <c r="J166" s="86" t="s">
        <v>2288</v>
      </c>
      <c r="K166" s="87" t="s">
        <v>1546</v>
      </c>
      <c r="L166" s="87" t="s">
        <v>1610</v>
      </c>
      <c r="M166" s="87">
        <v>3</v>
      </c>
      <c r="N166" s="161">
        <v>30440</v>
      </c>
      <c r="O166" s="161" t="s">
        <v>2254</v>
      </c>
      <c r="P166" s="168">
        <v>254711511665</v>
      </c>
      <c r="Q166" s="210"/>
    </row>
    <row r="167" spans="1:17" x14ac:dyDescent="0.2">
      <c r="A167" s="139" t="s">
        <v>53</v>
      </c>
      <c r="B167" s="82">
        <v>2014783</v>
      </c>
      <c r="C167" s="82">
        <v>100701</v>
      </c>
      <c r="D167" s="82" t="s">
        <v>1361</v>
      </c>
      <c r="E167" s="82">
        <v>61</v>
      </c>
      <c r="F167" s="82" t="str">
        <f>IF(E167&lt;=20,"0-19",
IF(E167&lt;=50,"20-49",
IF(E167&lt;=80,"50-79","80+")))</f>
        <v>50-79</v>
      </c>
      <c r="G167" s="82" t="s">
        <v>1362</v>
      </c>
      <c r="H167" s="82" t="s">
        <v>15</v>
      </c>
      <c r="I167" s="82" t="s">
        <v>1363</v>
      </c>
      <c r="J167" s="82" t="s">
        <v>2288</v>
      </c>
      <c r="K167" s="82" t="s">
        <v>1260</v>
      </c>
      <c r="L167" s="82" t="s">
        <v>1249</v>
      </c>
      <c r="M167" s="82">
        <v>3</v>
      </c>
      <c r="N167" s="84">
        <v>84812.43</v>
      </c>
      <c r="O167" s="82" t="s">
        <v>832</v>
      </c>
      <c r="P167" s="171"/>
      <c r="Q167" s="210"/>
    </row>
    <row r="168" spans="1:17" ht="21" x14ac:dyDescent="0.2">
      <c r="A168" s="104" t="s">
        <v>373</v>
      </c>
      <c r="B168" s="86">
        <v>2009449</v>
      </c>
      <c r="C168" s="87">
        <v>17555</v>
      </c>
      <c r="D168" s="86" t="s">
        <v>2198</v>
      </c>
      <c r="E168" s="86">
        <v>67</v>
      </c>
      <c r="F168" s="86" t="str">
        <f>IF(E168&lt;=20,"0-19",
IF(E168&lt;=50,"20-49",
IF(E168&lt;=80,"50-79","80+")))</f>
        <v>50-79</v>
      </c>
      <c r="G168" s="86" t="s">
        <v>2199</v>
      </c>
      <c r="H168" s="86" t="s">
        <v>15</v>
      </c>
      <c r="I168" s="86" t="s">
        <v>2200</v>
      </c>
      <c r="J168" s="86" t="s">
        <v>2288</v>
      </c>
      <c r="K168" s="86" t="s">
        <v>1923</v>
      </c>
      <c r="L168" s="88" t="s">
        <v>1906</v>
      </c>
      <c r="M168" s="86">
        <v>3</v>
      </c>
      <c r="N168" s="163">
        <v>248222.88</v>
      </c>
      <c r="O168" s="163" t="s">
        <v>2254</v>
      </c>
      <c r="P168" s="168">
        <v>254720659401</v>
      </c>
      <c r="Q168" s="210"/>
    </row>
    <row r="169" spans="1:17" ht="21" x14ac:dyDescent="0.2">
      <c r="A169" s="108" t="s">
        <v>1459</v>
      </c>
      <c r="B169" s="87">
        <v>2013670</v>
      </c>
      <c r="C169" s="87">
        <v>11644</v>
      </c>
      <c r="D169" s="87" t="s">
        <v>1973</v>
      </c>
      <c r="E169" s="87">
        <v>64</v>
      </c>
      <c r="F169" s="87" t="str">
        <f>IF(E169&lt;=20,"0-19",
IF(E169&lt;=50,"20-49",
IF(E169&lt;=80,"50-79","80+")))</f>
        <v>50-79</v>
      </c>
      <c r="G169" s="87" t="s">
        <v>1974</v>
      </c>
      <c r="H169" s="87" t="s">
        <v>15</v>
      </c>
      <c r="I169" s="87" t="s">
        <v>1975</v>
      </c>
      <c r="J169" s="87" t="s">
        <v>2288</v>
      </c>
      <c r="K169" s="86" t="s">
        <v>1976</v>
      </c>
      <c r="L169" s="87" t="s">
        <v>1928</v>
      </c>
      <c r="M169" s="87">
        <v>3</v>
      </c>
      <c r="N169" s="161">
        <v>33655</v>
      </c>
      <c r="O169" s="161" t="s">
        <v>2254</v>
      </c>
      <c r="P169" s="168">
        <v>254722111751</v>
      </c>
      <c r="Q169" s="210"/>
    </row>
    <row r="170" spans="1:17" x14ac:dyDescent="0.2">
      <c r="A170" s="139" t="s">
        <v>1482</v>
      </c>
      <c r="B170" s="82">
        <v>2007595</v>
      </c>
      <c r="C170" s="82">
        <v>17708</v>
      </c>
      <c r="D170" s="82" t="s">
        <v>852</v>
      </c>
      <c r="E170" s="82">
        <v>65</v>
      </c>
      <c r="F170" s="82" t="str">
        <f>IF(E170&lt;=20,"0-19",
IF(E170&lt;=50,"20-49",
IF(E170&lt;=80,"50-79","80+")))</f>
        <v>50-79</v>
      </c>
      <c r="G170" s="82" t="s">
        <v>1499</v>
      </c>
      <c r="H170" s="82" t="s">
        <v>15</v>
      </c>
      <c r="I170" s="82" t="s">
        <v>1500</v>
      </c>
      <c r="J170" s="82" t="s">
        <v>2288</v>
      </c>
      <c r="K170" s="82" t="s">
        <v>1249</v>
      </c>
      <c r="L170" s="82" t="s">
        <v>1231</v>
      </c>
      <c r="M170" s="82">
        <v>3</v>
      </c>
      <c r="N170" s="84">
        <v>68426</v>
      </c>
      <c r="O170" s="82" t="s">
        <v>832</v>
      </c>
      <c r="P170" s="170"/>
      <c r="Q170" s="210"/>
    </row>
    <row r="171" spans="1:17" x14ac:dyDescent="0.2">
      <c r="A171" s="105" t="s">
        <v>1810</v>
      </c>
      <c r="B171" s="82">
        <v>2022238</v>
      </c>
      <c r="C171" s="82">
        <v>60548</v>
      </c>
      <c r="D171" s="82" t="s">
        <v>1811</v>
      </c>
      <c r="E171" s="82">
        <v>62</v>
      </c>
      <c r="F171" s="82" t="str">
        <f>IF(E171&lt;=20,"0-19",
IF(E171&lt;=50,"20-49",
IF(E171&lt;=80,"50-79","80+")))</f>
        <v>50-79</v>
      </c>
      <c r="G171" s="82" t="s">
        <v>1812</v>
      </c>
      <c r="H171" s="82" t="s">
        <v>22</v>
      </c>
      <c r="I171" s="92" t="s">
        <v>1813</v>
      </c>
      <c r="J171" s="92" t="s">
        <v>2288</v>
      </c>
      <c r="K171" s="82" t="s">
        <v>1814</v>
      </c>
      <c r="L171" s="82" t="s">
        <v>1610</v>
      </c>
      <c r="M171" s="82">
        <v>3</v>
      </c>
      <c r="N171" s="151">
        <v>289814.13</v>
      </c>
      <c r="O171" s="151" t="s">
        <v>2254</v>
      </c>
      <c r="P171" s="152">
        <v>254722845819</v>
      </c>
      <c r="Q171" s="210"/>
    </row>
    <row r="172" spans="1:17" ht="21" x14ac:dyDescent="0.2">
      <c r="A172" s="139" t="s">
        <v>889</v>
      </c>
      <c r="B172" s="92">
        <v>2021140</v>
      </c>
      <c r="C172" s="92">
        <v>15630</v>
      </c>
      <c r="D172" s="92" t="s">
        <v>973</v>
      </c>
      <c r="E172" s="92">
        <v>54</v>
      </c>
      <c r="F172" s="92" t="str">
        <f>IF(E172&lt;=20,"0-19",
IF(E172&lt;=50,"20-49",
IF(E172&lt;=80,"50-79","80+")))</f>
        <v>50-79</v>
      </c>
      <c r="G172" s="92" t="s">
        <v>49</v>
      </c>
      <c r="H172" s="92" t="s">
        <v>15</v>
      </c>
      <c r="I172" s="92" t="s">
        <v>974</v>
      </c>
      <c r="J172" s="92" t="s">
        <v>2288</v>
      </c>
      <c r="K172" s="92" t="s">
        <v>975</v>
      </c>
      <c r="L172" s="93" t="s">
        <v>835</v>
      </c>
      <c r="M172" s="92">
        <v>3</v>
      </c>
      <c r="N172" s="101">
        <v>253940</v>
      </c>
      <c r="O172" s="82" t="s">
        <v>832</v>
      </c>
      <c r="P172" s="171"/>
      <c r="Q172" s="210"/>
    </row>
    <row r="173" spans="1:17" x14ac:dyDescent="0.2">
      <c r="A173" s="105" t="s">
        <v>544</v>
      </c>
      <c r="B173" s="82">
        <v>2602004</v>
      </c>
      <c r="C173" s="82">
        <v>62092</v>
      </c>
      <c r="D173" s="82" t="s">
        <v>1021</v>
      </c>
      <c r="E173" s="82">
        <v>59</v>
      </c>
      <c r="F173" s="82" t="str">
        <f>IF(E173&lt;=20,"0-19",
IF(E173&lt;=50,"20-49",
IF(E173&lt;=80,"50-79","80+")))</f>
        <v>50-79</v>
      </c>
      <c r="G173" s="82" t="s">
        <v>1022</v>
      </c>
      <c r="H173" s="82" t="s">
        <v>22</v>
      </c>
      <c r="I173" s="92" t="s">
        <v>1781</v>
      </c>
      <c r="J173" s="92" t="s">
        <v>2288</v>
      </c>
      <c r="K173" s="82" t="s">
        <v>1589</v>
      </c>
      <c r="L173" s="82" t="s">
        <v>1559</v>
      </c>
      <c r="M173" s="82">
        <v>3</v>
      </c>
      <c r="N173" s="151">
        <v>237918</v>
      </c>
      <c r="O173" s="151" t="s">
        <v>2254</v>
      </c>
      <c r="P173" s="152">
        <v>254722422235</v>
      </c>
      <c r="Q173" s="210"/>
    </row>
    <row r="174" spans="1:17" x14ac:dyDescent="0.2">
      <c r="A174" s="105" t="s">
        <v>515</v>
      </c>
      <c r="B174" s="92">
        <v>2002987</v>
      </c>
      <c r="C174" s="82">
        <v>60750</v>
      </c>
      <c r="D174" s="92" t="s">
        <v>1724</v>
      </c>
      <c r="E174" s="92">
        <v>51</v>
      </c>
      <c r="F174" s="92" t="str">
        <f>IF(E174&lt;=20,"0-19",
IF(E174&lt;=50,"20-49",
IF(E174&lt;=80,"50-79","80+")))</f>
        <v>50-79</v>
      </c>
      <c r="G174" s="92" t="s">
        <v>1067</v>
      </c>
      <c r="H174" s="92" t="s">
        <v>22</v>
      </c>
      <c r="I174" s="92" t="s">
        <v>1725</v>
      </c>
      <c r="J174" s="92" t="s">
        <v>2288</v>
      </c>
      <c r="K174" s="92" t="s">
        <v>1254</v>
      </c>
      <c r="L174" s="92" t="s">
        <v>1562</v>
      </c>
      <c r="M174" s="93">
        <v>3</v>
      </c>
      <c r="N174" s="159">
        <v>109828</v>
      </c>
      <c r="O174" s="159" t="s">
        <v>2254</v>
      </c>
      <c r="P174" s="152">
        <v>254722881608</v>
      </c>
      <c r="Q174" s="210"/>
    </row>
    <row r="175" spans="1:17" x14ac:dyDescent="0.2">
      <c r="A175" s="139" t="s">
        <v>58</v>
      </c>
      <c r="B175" s="82">
        <v>2004386</v>
      </c>
      <c r="C175" s="82">
        <v>13390</v>
      </c>
      <c r="D175" s="82" t="s">
        <v>1380</v>
      </c>
      <c r="E175" s="82">
        <v>65</v>
      </c>
      <c r="F175" s="82" t="str">
        <f>IF(E175&lt;=20,"0-19",
IF(E175&lt;=50,"20-49",
IF(E175&lt;=80,"50-79","80+")))</f>
        <v>50-79</v>
      </c>
      <c r="G175" s="82" t="s">
        <v>1381</v>
      </c>
      <c r="H175" s="82" t="s">
        <v>22</v>
      </c>
      <c r="I175" s="92" t="s">
        <v>1382</v>
      </c>
      <c r="J175" s="92" t="s">
        <v>2288</v>
      </c>
      <c r="K175" s="92" t="s">
        <v>1288</v>
      </c>
      <c r="L175" s="92" t="s">
        <v>1242</v>
      </c>
      <c r="M175" s="82">
        <v>3</v>
      </c>
      <c r="N175" s="84">
        <v>61539</v>
      </c>
      <c r="O175" s="82" t="s">
        <v>832</v>
      </c>
      <c r="P175" s="171"/>
      <c r="Q175" s="210"/>
    </row>
    <row r="176" spans="1:17" ht="21" x14ac:dyDescent="0.2">
      <c r="A176" s="139" t="s">
        <v>562</v>
      </c>
      <c r="B176" s="92">
        <v>2011543</v>
      </c>
      <c r="C176" s="82">
        <v>9552</v>
      </c>
      <c r="D176" s="92" t="s">
        <v>953</v>
      </c>
      <c r="E176" s="92">
        <v>21</v>
      </c>
      <c r="F176" s="92" t="str">
        <f>IF(E176&lt;=20,"0-19",
IF(E176&lt;=50,"20-49",
IF(E176&lt;=80,"50-79","80+")))</f>
        <v>20-49</v>
      </c>
      <c r="G176" s="92" t="s">
        <v>954</v>
      </c>
      <c r="H176" s="92" t="s">
        <v>955</v>
      </c>
      <c r="I176" s="92" t="s">
        <v>956</v>
      </c>
      <c r="J176" s="92" t="s">
        <v>2288</v>
      </c>
      <c r="K176" s="92" t="s">
        <v>835</v>
      </c>
      <c r="L176" s="93" t="s">
        <v>843</v>
      </c>
      <c r="M176" s="92">
        <v>3</v>
      </c>
      <c r="N176" s="101">
        <v>56677</v>
      </c>
      <c r="O176" s="82" t="s">
        <v>832</v>
      </c>
      <c r="P176" s="171"/>
      <c r="Q176" s="210"/>
    </row>
    <row r="177" spans="1:17" x14ac:dyDescent="0.2">
      <c r="A177" s="138" t="s">
        <v>249</v>
      </c>
      <c r="B177" s="111">
        <v>2003623</v>
      </c>
      <c r="C177" s="111">
        <v>10135</v>
      </c>
      <c r="D177" s="111" t="s">
        <v>250</v>
      </c>
      <c r="E177" s="111">
        <v>60</v>
      </c>
      <c r="F177" s="111" t="str">
        <f>IF(E177&lt;=20,"0-19",
IF(E177&lt;=50,"20-49",
IF(E177&lt;=80,"50-79","80+")))</f>
        <v>50-79</v>
      </c>
      <c r="G177" s="111" t="s">
        <v>251</v>
      </c>
      <c r="H177" s="111" t="s">
        <v>22</v>
      </c>
      <c r="I177" s="111" t="s">
        <v>252</v>
      </c>
      <c r="J177" s="114" t="s">
        <v>2421</v>
      </c>
      <c r="K177" s="111" t="s">
        <v>103</v>
      </c>
      <c r="L177" s="111" t="s">
        <v>46</v>
      </c>
      <c r="M177" s="111">
        <v>3</v>
      </c>
      <c r="N177" s="112">
        <v>100000</v>
      </c>
      <c r="O177" s="87" t="s">
        <v>18</v>
      </c>
      <c r="P177" s="171"/>
      <c r="Q177" s="210"/>
    </row>
    <row r="178" spans="1:17" x14ac:dyDescent="0.2">
      <c r="A178" s="139" t="s">
        <v>874</v>
      </c>
      <c r="B178" s="92">
        <v>2020728</v>
      </c>
      <c r="C178" s="92">
        <v>55582</v>
      </c>
      <c r="D178" s="92" t="s">
        <v>971</v>
      </c>
      <c r="E178" s="92">
        <v>62</v>
      </c>
      <c r="F178" s="92" t="str">
        <f>IF(E178&lt;=20,"0-19",
IF(E178&lt;=50,"20-49",
IF(E178&lt;=80,"50-79","80+")))</f>
        <v>50-79</v>
      </c>
      <c r="G178" s="92" t="s">
        <v>894</v>
      </c>
      <c r="H178" s="92" t="s">
        <v>22</v>
      </c>
      <c r="I178" s="92" t="s">
        <v>972</v>
      </c>
      <c r="J178" s="92" t="s">
        <v>2295</v>
      </c>
      <c r="K178" s="92" t="s">
        <v>193</v>
      </c>
      <c r="L178" s="93" t="s">
        <v>873</v>
      </c>
      <c r="M178" s="92">
        <v>3</v>
      </c>
      <c r="N178" s="101">
        <v>75372</v>
      </c>
      <c r="O178" s="82" t="s">
        <v>832</v>
      </c>
      <c r="P178" s="170"/>
      <c r="Q178" s="210"/>
    </row>
    <row r="179" spans="1:17" ht="21" x14ac:dyDescent="0.2">
      <c r="A179" s="139" t="s">
        <v>923</v>
      </c>
      <c r="B179" s="93">
        <v>2001511</v>
      </c>
      <c r="C179" s="82">
        <v>18974</v>
      </c>
      <c r="D179" s="93" t="s">
        <v>924</v>
      </c>
      <c r="E179" s="93">
        <v>56</v>
      </c>
      <c r="F179" s="93" t="str">
        <f>IF(E179&lt;=20,"0-19",
IF(E179&lt;=50,"20-49",
IF(E179&lt;=80,"50-79","80+")))</f>
        <v>50-79</v>
      </c>
      <c r="G179" s="93" t="s">
        <v>925</v>
      </c>
      <c r="H179" s="93" t="s">
        <v>22</v>
      </c>
      <c r="I179" s="93" t="s">
        <v>926</v>
      </c>
      <c r="J179" s="93" t="s">
        <v>2295</v>
      </c>
      <c r="K179" s="93" t="s">
        <v>927</v>
      </c>
      <c r="L179" s="93" t="s">
        <v>880</v>
      </c>
      <c r="M179" s="93">
        <v>3</v>
      </c>
      <c r="N179" s="94">
        <v>636441.79</v>
      </c>
      <c r="O179" s="82" t="s">
        <v>832</v>
      </c>
      <c r="P179" s="171"/>
      <c r="Q179" s="210"/>
    </row>
    <row r="180" spans="1:17" x14ac:dyDescent="0.2">
      <c r="A180" s="139" t="s">
        <v>58</v>
      </c>
      <c r="B180" s="82">
        <v>2020764</v>
      </c>
      <c r="C180" s="82">
        <v>42528</v>
      </c>
      <c r="D180" s="82" t="s">
        <v>1377</v>
      </c>
      <c r="E180" s="82">
        <v>64</v>
      </c>
      <c r="F180" s="82" t="str">
        <f>IF(E180&lt;=20,"0-19",
IF(E180&lt;=50,"20-49",
IF(E180&lt;=80,"50-79","80+")))</f>
        <v>50-79</v>
      </c>
      <c r="G180" s="82" t="s">
        <v>1378</v>
      </c>
      <c r="H180" s="82" t="s">
        <v>22</v>
      </c>
      <c r="I180" s="82" t="s">
        <v>1379</v>
      </c>
      <c r="J180" s="82" t="s">
        <v>2295</v>
      </c>
      <c r="K180" s="82" t="s">
        <v>1260</v>
      </c>
      <c r="L180" s="82" t="s">
        <v>1288</v>
      </c>
      <c r="M180" s="82">
        <v>3</v>
      </c>
      <c r="N180" s="84">
        <v>404929</v>
      </c>
      <c r="O180" s="82" t="s">
        <v>832</v>
      </c>
      <c r="P180" s="170"/>
      <c r="Q180" s="210"/>
    </row>
    <row r="181" spans="1:17" x14ac:dyDescent="0.2">
      <c r="A181" s="103" t="s">
        <v>129</v>
      </c>
      <c r="B181" s="82">
        <v>2407508</v>
      </c>
      <c r="C181" s="82">
        <v>57704</v>
      </c>
      <c r="D181" s="82" t="s">
        <v>225</v>
      </c>
      <c r="E181" s="92">
        <v>61</v>
      </c>
      <c r="F181" s="92" t="str">
        <f>IF(E181&lt;=20,"0-19",
IF(E181&lt;=50,"20-49",
IF(E181&lt;=80,"50-79","80+")))</f>
        <v>50-79</v>
      </c>
      <c r="G181" s="82" t="s">
        <v>226</v>
      </c>
      <c r="H181" s="82" t="s">
        <v>22</v>
      </c>
      <c r="I181" s="82" t="s">
        <v>227</v>
      </c>
      <c r="J181" s="82" t="s">
        <v>2295</v>
      </c>
      <c r="K181" s="92" t="s">
        <v>62</v>
      </c>
      <c r="L181" s="92" t="s">
        <v>108</v>
      </c>
      <c r="M181" s="82">
        <v>3</v>
      </c>
      <c r="N181" s="101">
        <v>266375</v>
      </c>
      <c r="O181" s="82" t="s">
        <v>18</v>
      </c>
      <c r="P181" s="170"/>
      <c r="Q181" s="210"/>
    </row>
    <row r="182" spans="1:17" x14ac:dyDescent="0.2">
      <c r="A182" s="105" t="s">
        <v>72</v>
      </c>
      <c r="B182" s="82">
        <v>2005052</v>
      </c>
      <c r="C182" s="82">
        <v>13711</v>
      </c>
      <c r="D182" s="82" t="s">
        <v>279</v>
      </c>
      <c r="E182" s="92">
        <v>57</v>
      </c>
      <c r="F182" s="92" t="str">
        <f>IF(E182&lt;=20,"0-19",
IF(E182&lt;=50,"20-49",
IF(E182&lt;=80,"50-79","80+")))</f>
        <v>50-79</v>
      </c>
      <c r="G182" s="82" t="s">
        <v>280</v>
      </c>
      <c r="H182" s="82" t="s">
        <v>15</v>
      </c>
      <c r="I182" s="82" t="s">
        <v>281</v>
      </c>
      <c r="J182" s="82" t="s">
        <v>2295</v>
      </c>
      <c r="K182" s="92" t="s">
        <v>37</v>
      </c>
      <c r="L182" s="92" t="s">
        <v>141</v>
      </c>
      <c r="M182" s="82">
        <v>3</v>
      </c>
      <c r="N182" s="101">
        <v>286504.59999999998</v>
      </c>
      <c r="O182" s="82" t="s">
        <v>18</v>
      </c>
      <c r="P182" s="170"/>
      <c r="Q182" s="210"/>
    </row>
    <row r="183" spans="1:17" x14ac:dyDescent="0.2">
      <c r="A183" s="139" t="s">
        <v>1502</v>
      </c>
      <c r="B183" s="82">
        <v>2020636</v>
      </c>
      <c r="C183" s="82">
        <v>18572</v>
      </c>
      <c r="D183" s="82" t="s">
        <v>968</v>
      </c>
      <c r="E183" s="82">
        <v>63</v>
      </c>
      <c r="F183" s="82" t="str">
        <f>IF(E183&lt;=20,"0-19",
IF(E183&lt;=50,"20-49",
IF(E183&lt;=80,"50-79","80+")))</f>
        <v>50-79</v>
      </c>
      <c r="G183" s="82" t="s">
        <v>969</v>
      </c>
      <c r="H183" s="82" t="s">
        <v>22</v>
      </c>
      <c r="I183" s="92" t="s">
        <v>970</v>
      </c>
      <c r="J183" s="92" t="s">
        <v>2295</v>
      </c>
      <c r="K183" s="92" t="s">
        <v>831</v>
      </c>
      <c r="L183" s="82" t="s">
        <v>901</v>
      </c>
      <c r="M183" s="82">
        <v>3</v>
      </c>
      <c r="N183" s="84">
        <v>127240</v>
      </c>
      <c r="O183" s="82" t="s">
        <v>832</v>
      </c>
      <c r="P183" s="171"/>
      <c r="Q183" s="210"/>
    </row>
    <row r="184" spans="1:17" ht="21" x14ac:dyDescent="0.2">
      <c r="A184" s="103" t="s">
        <v>212</v>
      </c>
      <c r="B184" s="82">
        <v>2003111</v>
      </c>
      <c r="C184" s="82">
        <v>53272</v>
      </c>
      <c r="D184" s="82" t="s">
        <v>59</v>
      </c>
      <c r="E184" s="92">
        <v>67</v>
      </c>
      <c r="F184" s="92" t="str">
        <f>IF(E184&lt;=20,"0-19",
IF(E184&lt;=50,"20-49",
IF(E184&lt;=80,"50-79","80+")))</f>
        <v>50-79</v>
      </c>
      <c r="G184" s="82" t="s">
        <v>213</v>
      </c>
      <c r="H184" s="82" t="s">
        <v>22</v>
      </c>
      <c r="I184" s="82" t="s">
        <v>214</v>
      </c>
      <c r="J184" s="82" t="s">
        <v>2295</v>
      </c>
      <c r="K184" s="92" t="s">
        <v>215</v>
      </c>
      <c r="L184" s="92" t="s">
        <v>66</v>
      </c>
      <c r="M184" s="82">
        <v>3</v>
      </c>
      <c r="N184" s="101">
        <v>30457</v>
      </c>
      <c r="O184" s="82" t="s">
        <v>18</v>
      </c>
      <c r="P184" s="170"/>
      <c r="Q184" s="210"/>
    </row>
    <row r="185" spans="1:17" x14ac:dyDescent="0.2">
      <c r="A185" s="139" t="s">
        <v>63</v>
      </c>
      <c r="B185" s="82">
        <v>2602058</v>
      </c>
      <c r="C185" s="82">
        <v>65446</v>
      </c>
      <c r="D185" s="82" t="s">
        <v>1392</v>
      </c>
      <c r="E185" s="82">
        <v>61</v>
      </c>
      <c r="F185" s="82" t="str">
        <f>IF(E185&lt;=20,"0-19",
IF(E185&lt;=50,"20-49",
IF(E185&lt;=80,"50-79","80+")))</f>
        <v>50-79</v>
      </c>
      <c r="G185" s="82" t="s">
        <v>1393</v>
      </c>
      <c r="H185" s="82" t="s">
        <v>22</v>
      </c>
      <c r="I185" s="92" t="s">
        <v>1394</v>
      </c>
      <c r="J185" s="92" t="s">
        <v>2295</v>
      </c>
      <c r="K185" s="92" t="s">
        <v>1236</v>
      </c>
      <c r="L185" s="92" t="s">
        <v>1241</v>
      </c>
      <c r="M185" s="82">
        <v>3</v>
      </c>
      <c r="N185" s="84">
        <v>357533</v>
      </c>
      <c r="O185" s="82" t="s">
        <v>832</v>
      </c>
      <c r="P185" s="170"/>
      <c r="Q185" s="210"/>
    </row>
    <row r="186" spans="1:17" ht="21" x14ac:dyDescent="0.2">
      <c r="A186" s="107" t="s">
        <v>198</v>
      </c>
      <c r="B186" s="82">
        <v>2022970</v>
      </c>
      <c r="C186" s="82">
        <v>59899</v>
      </c>
      <c r="D186" s="82" t="s">
        <v>205</v>
      </c>
      <c r="E186" s="92">
        <v>63</v>
      </c>
      <c r="F186" s="92" t="str">
        <f>IF(E186&lt;=20,"0-19",
IF(E186&lt;=50,"20-49",
IF(E186&lt;=80,"50-79","80+")))</f>
        <v>50-79</v>
      </c>
      <c r="G186" s="82" t="s">
        <v>60</v>
      </c>
      <c r="H186" s="82" t="s">
        <v>22</v>
      </c>
      <c r="I186" s="82" t="s">
        <v>206</v>
      </c>
      <c r="J186" s="82" t="s">
        <v>2295</v>
      </c>
      <c r="K186" s="92" t="s">
        <v>207</v>
      </c>
      <c r="L186" s="92" t="s">
        <v>193</v>
      </c>
      <c r="M186" s="82">
        <v>3</v>
      </c>
      <c r="N186" s="101">
        <v>48100</v>
      </c>
      <c r="O186" s="82" t="s">
        <v>18</v>
      </c>
      <c r="P186" s="170"/>
      <c r="Q186" s="210"/>
    </row>
    <row r="187" spans="1:17" x14ac:dyDescent="0.2">
      <c r="A187" s="139" t="s">
        <v>208</v>
      </c>
      <c r="B187" s="82">
        <v>2011255</v>
      </c>
      <c r="C187" s="82">
        <v>11055</v>
      </c>
      <c r="D187" s="82" t="s">
        <v>950</v>
      </c>
      <c r="E187" s="82">
        <v>20</v>
      </c>
      <c r="F187" s="82" t="str">
        <f>IF(E187&lt;=20,"0-19",
IF(E187&lt;=50,"20-49",
IF(E187&lt;=80,"50-79","80+")))</f>
        <v>0-19</v>
      </c>
      <c r="G187" s="82" t="s">
        <v>951</v>
      </c>
      <c r="H187" s="82" t="s">
        <v>132</v>
      </c>
      <c r="I187" s="92" t="s">
        <v>952</v>
      </c>
      <c r="J187" s="92" t="s">
        <v>2270</v>
      </c>
      <c r="K187" s="92" t="s">
        <v>190</v>
      </c>
      <c r="L187" s="82" t="s">
        <v>834</v>
      </c>
      <c r="M187" s="82">
        <v>3</v>
      </c>
      <c r="N187" s="84">
        <v>132500</v>
      </c>
      <c r="O187" s="82" t="s">
        <v>832</v>
      </c>
      <c r="P187" s="171"/>
      <c r="Q187" s="210"/>
    </row>
    <row r="188" spans="1:17" ht="21" x14ac:dyDescent="0.2">
      <c r="A188" s="138" t="s">
        <v>249</v>
      </c>
      <c r="B188" s="111">
        <v>2011690</v>
      </c>
      <c r="C188" s="111">
        <v>6844</v>
      </c>
      <c r="D188" s="111" t="s">
        <v>253</v>
      </c>
      <c r="E188" s="111">
        <v>67</v>
      </c>
      <c r="F188" s="111" t="str">
        <f>IF(E188&lt;=20,"0-19",
IF(E188&lt;=50,"20-49",
IF(E188&lt;=80,"50-79","80+")))</f>
        <v>50-79</v>
      </c>
      <c r="G188" s="111" t="s">
        <v>254</v>
      </c>
      <c r="H188" s="111" t="s">
        <v>15</v>
      </c>
      <c r="I188" s="111" t="s">
        <v>255</v>
      </c>
      <c r="J188" s="114" t="s">
        <v>2288</v>
      </c>
      <c r="K188" s="111" t="s">
        <v>2259</v>
      </c>
      <c r="L188" s="111" t="s">
        <v>46</v>
      </c>
      <c r="M188" s="111">
        <v>3</v>
      </c>
      <c r="N188" s="112">
        <v>106968</v>
      </c>
      <c r="O188" s="82" t="s">
        <v>18</v>
      </c>
      <c r="P188" s="170"/>
      <c r="Q188" s="210"/>
    </row>
    <row r="189" spans="1:17" x14ac:dyDescent="0.2">
      <c r="A189" s="106" t="s">
        <v>198</v>
      </c>
      <c r="B189" s="87">
        <v>2505128</v>
      </c>
      <c r="C189" s="87">
        <v>13883</v>
      </c>
      <c r="D189" s="87" t="s">
        <v>202</v>
      </c>
      <c r="E189" s="86">
        <v>66</v>
      </c>
      <c r="F189" s="86" t="str">
        <f>IF(E189&lt;=20,"0-19",
IF(E189&lt;=50,"20-49",
IF(E189&lt;=80,"50-79","80+")))</f>
        <v>50-79</v>
      </c>
      <c r="G189" s="87" t="s">
        <v>203</v>
      </c>
      <c r="H189" s="87" t="s">
        <v>22</v>
      </c>
      <c r="I189" s="87" t="s">
        <v>204</v>
      </c>
      <c r="J189" s="114" t="s">
        <v>2546</v>
      </c>
      <c r="K189" s="86" t="s">
        <v>94</v>
      </c>
      <c r="L189" s="86" t="s">
        <v>66</v>
      </c>
      <c r="M189" s="87">
        <v>3</v>
      </c>
      <c r="N189" s="97">
        <v>70060</v>
      </c>
      <c r="O189" s="87" t="s">
        <v>18</v>
      </c>
      <c r="P189" s="171"/>
      <c r="Q189" s="210"/>
    </row>
    <row r="190" spans="1:17" x14ac:dyDescent="0.2">
      <c r="A190" s="138" t="s">
        <v>109</v>
      </c>
      <c r="B190" s="111">
        <v>2018563</v>
      </c>
      <c r="C190" s="111">
        <v>32126</v>
      </c>
      <c r="D190" s="111" t="s">
        <v>216</v>
      </c>
      <c r="E190" s="111">
        <v>64</v>
      </c>
      <c r="F190" s="111" t="str">
        <f>IF(E190&lt;=20,"0-19",
IF(E190&lt;=50,"20-49",
IF(E190&lt;=80,"50-79","80+")))</f>
        <v>50-79</v>
      </c>
      <c r="G190" s="111" t="s">
        <v>217</v>
      </c>
      <c r="H190" s="111" t="s">
        <v>22</v>
      </c>
      <c r="I190" s="111" t="s">
        <v>149</v>
      </c>
      <c r="J190" s="114" t="s">
        <v>2546</v>
      </c>
      <c r="K190" s="111" t="s">
        <v>103</v>
      </c>
      <c r="L190" s="111" t="s">
        <v>46</v>
      </c>
      <c r="M190" s="111">
        <v>3</v>
      </c>
      <c r="N190" s="112">
        <v>98901</v>
      </c>
      <c r="O190" s="87" t="s">
        <v>18</v>
      </c>
      <c r="P190" s="171"/>
      <c r="Q190" s="210"/>
    </row>
    <row r="191" spans="1:17" x14ac:dyDescent="0.2">
      <c r="A191" s="106" t="s">
        <v>221</v>
      </c>
      <c r="B191" s="87">
        <v>2403101</v>
      </c>
      <c r="C191" s="87">
        <v>90937</v>
      </c>
      <c r="D191" s="87" t="s">
        <v>222</v>
      </c>
      <c r="E191" s="86">
        <v>36</v>
      </c>
      <c r="F191" s="86" t="str">
        <f>IF(E191&lt;=20,"0-19",
IF(E191&lt;=50,"20-49",
IF(E191&lt;=80,"50-79","80+")))</f>
        <v>20-49</v>
      </c>
      <c r="G191" s="87" t="s">
        <v>223</v>
      </c>
      <c r="H191" s="87" t="s">
        <v>15</v>
      </c>
      <c r="I191" s="87" t="s">
        <v>224</v>
      </c>
      <c r="J191" s="114" t="s">
        <v>2546</v>
      </c>
      <c r="K191" s="86" t="s">
        <v>78</v>
      </c>
      <c r="L191" s="86" t="s">
        <v>154</v>
      </c>
      <c r="M191" s="87">
        <v>3</v>
      </c>
      <c r="N191" s="97">
        <v>92981.61</v>
      </c>
      <c r="O191" s="87" t="s">
        <v>18</v>
      </c>
      <c r="P191" s="171"/>
      <c r="Q191" s="210"/>
    </row>
    <row r="192" spans="1:17" x14ac:dyDescent="0.2">
      <c r="A192" s="104" t="s">
        <v>1672</v>
      </c>
      <c r="B192" s="87">
        <v>2406122</v>
      </c>
      <c r="C192" s="87">
        <v>94629</v>
      </c>
      <c r="D192" s="87" t="s">
        <v>2053</v>
      </c>
      <c r="E192" s="87">
        <v>5</v>
      </c>
      <c r="F192" s="87" t="str">
        <f>IF(E192&lt;=20,"0-19",
IF(E192&lt;=50,"20-49",
IF(E192&lt;=80,"50-79","80+")))</f>
        <v>0-19</v>
      </c>
      <c r="G192" s="87" t="s">
        <v>2054</v>
      </c>
      <c r="H192" s="87" t="s">
        <v>132</v>
      </c>
      <c r="I192" s="87" t="s">
        <v>2055</v>
      </c>
      <c r="J192" s="114" t="s">
        <v>2546</v>
      </c>
      <c r="K192" s="86" t="s">
        <v>1551</v>
      </c>
      <c r="L192" s="87" t="s">
        <v>1908</v>
      </c>
      <c r="M192" s="87">
        <v>3</v>
      </c>
      <c r="N192" s="161">
        <v>69954</v>
      </c>
      <c r="O192" s="161" t="s">
        <v>2254</v>
      </c>
      <c r="P192" s="168">
        <v>254720256563</v>
      </c>
      <c r="Q192" s="210"/>
    </row>
    <row r="193" spans="1:17" ht="21" x14ac:dyDescent="0.2">
      <c r="A193" s="139" t="s">
        <v>53</v>
      </c>
      <c r="B193" s="113">
        <v>2001506</v>
      </c>
      <c r="C193" s="113">
        <v>5299</v>
      </c>
      <c r="D193" s="114" t="s">
        <v>236</v>
      </c>
      <c r="E193" s="113">
        <v>73</v>
      </c>
      <c r="F193" s="113" t="str">
        <f>IF(E193&lt;=20,"0-19",
IF(E193&lt;=50,"20-49",
IF(E193&lt;=80,"50-79","80+")))</f>
        <v>50-79</v>
      </c>
      <c r="G193" s="113" t="s">
        <v>237</v>
      </c>
      <c r="H193" s="113" t="s">
        <v>22</v>
      </c>
      <c r="I193" s="114" t="s">
        <v>238</v>
      </c>
      <c r="J193" s="114" t="s">
        <v>2546</v>
      </c>
      <c r="K193" s="114" t="s">
        <v>239</v>
      </c>
      <c r="L193" s="113" t="s">
        <v>25</v>
      </c>
      <c r="M193" s="114">
        <v>3</v>
      </c>
      <c r="N193" s="115">
        <v>134466</v>
      </c>
      <c r="O193" s="87" t="s">
        <v>18</v>
      </c>
      <c r="P193" s="171"/>
      <c r="Q193" s="210"/>
    </row>
    <row r="194" spans="1:17" x14ac:dyDescent="0.2">
      <c r="A194" s="139" t="s">
        <v>53</v>
      </c>
      <c r="B194" s="82">
        <v>2002878</v>
      </c>
      <c r="C194" s="82">
        <v>17707</v>
      </c>
      <c r="D194" s="82" t="s">
        <v>240</v>
      </c>
      <c r="E194" s="92">
        <v>68</v>
      </c>
      <c r="F194" s="92" t="str">
        <f>IF(E194&lt;=20,"0-19",
IF(E194&lt;=50,"20-49",
IF(E194&lt;=80,"50-79","80+")))</f>
        <v>50-79</v>
      </c>
      <c r="G194" s="82" t="s">
        <v>60</v>
      </c>
      <c r="H194" s="82" t="s">
        <v>22</v>
      </c>
      <c r="I194" s="82" t="s">
        <v>241</v>
      </c>
      <c r="J194" s="114" t="s">
        <v>2546</v>
      </c>
      <c r="K194" s="92" t="s">
        <v>31</v>
      </c>
      <c r="L194" s="92" t="s">
        <v>85</v>
      </c>
      <c r="M194" s="82">
        <v>3</v>
      </c>
      <c r="N194" s="101">
        <v>110750</v>
      </c>
      <c r="O194" s="82" t="s">
        <v>18</v>
      </c>
      <c r="P194" s="170"/>
      <c r="Q194" s="210"/>
    </row>
    <row r="195" spans="1:17" x14ac:dyDescent="0.2">
      <c r="A195" s="103" t="s">
        <v>1969</v>
      </c>
      <c r="B195" s="82">
        <v>2004129</v>
      </c>
      <c r="C195" s="82">
        <v>101680</v>
      </c>
      <c r="D195" s="82" t="s">
        <v>1970</v>
      </c>
      <c r="E195" s="82">
        <v>70</v>
      </c>
      <c r="F195" s="82" t="str">
        <f>IF(E195&lt;=20,"0-19",
IF(E195&lt;=50,"20-49",
IF(E195&lt;=80,"50-79","80+")))</f>
        <v>50-79</v>
      </c>
      <c r="G195" s="82" t="s">
        <v>1971</v>
      </c>
      <c r="H195" s="82" t="s">
        <v>22</v>
      </c>
      <c r="I195" s="82" t="s">
        <v>1972</v>
      </c>
      <c r="J195" s="114" t="s">
        <v>2546</v>
      </c>
      <c r="K195" s="92" t="s">
        <v>1908</v>
      </c>
      <c r="L195" s="82" t="s">
        <v>1928</v>
      </c>
      <c r="M195" s="82">
        <v>3</v>
      </c>
      <c r="N195" s="151">
        <v>32440</v>
      </c>
      <c r="O195" s="151" t="s">
        <v>2254</v>
      </c>
      <c r="P195" s="152">
        <v>254720284944</v>
      </c>
      <c r="Q195" s="210"/>
    </row>
    <row r="196" spans="1:17" x14ac:dyDescent="0.2">
      <c r="A196" s="107" t="s">
        <v>198</v>
      </c>
      <c r="B196" s="93">
        <v>2001553</v>
      </c>
      <c r="C196" s="82">
        <v>17939</v>
      </c>
      <c r="D196" s="93" t="s">
        <v>199</v>
      </c>
      <c r="E196" s="93">
        <v>65</v>
      </c>
      <c r="F196" s="93" t="str">
        <f>IF(E196&lt;=20,"0-19",
IF(E196&lt;=50,"20-49",
IF(E196&lt;=80,"50-79","80+")))</f>
        <v>50-79</v>
      </c>
      <c r="G196" s="93" t="s">
        <v>200</v>
      </c>
      <c r="H196" s="93" t="s">
        <v>22</v>
      </c>
      <c r="I196" s="93" t="s">
        <v>201</v>
      </c>
      <c r="J196" s="114" t="s">
        <v>2546</v>
      </c>
      <c r="K196" s="93" t="s">
        <v>36</v>
      </c>
      <c r="L196" s="93" t="s">
        <v>78</v>
      </c>
      <c r="M196" s="93">
        <v>3</v>
      </c>
      <c r="N196" s="94">
        <v>42200</v>
      </c>
      <c r="O196" s="82" t="s">
        <v>18</v>
      </c>
      <c r="P196" s="170"/>
      <c r="Q196" s="210"/>
    </row>
    <row r="197" spans="1:17" x14ac:dyDescent="0.2">
      <c r="A197" s="139" t="s">
        <v>221</v>
      </c>
      <c r="B197" s="82">
        <v>2005002</v>
      </c>
      <c r="C197" s="82">
        <v>105502</v>
      </c>
      <c r="D197" s="82" t="s">
        <v>947</v>
      </c>
      <c r="E197" s="82">
        <v>18</v>
      </c>
      <c r="F197" s="82" t="str">
        <f>IF(E197&lt;=20,"0-19",
IF(E197&lt;=50,"20-49",
IF(E197&lt;=80,"50-79","80+")))</f>
        <v>0-19</v>
      </c>
      <c r="G197" s="82" t="s">
        <v>948</v>
      </c>
      <c r="H197" s="82" t="s">
        <v>132</v>
      </c>
      <c r="I197" s="92" t="s">
        <v>949</v>
      </c>
      <c r="J197" s="114" t="s">
        <v>2546</v>
      </c>
      <c r="K197" s="92" t="s">
        <v>834</v>
      </c>
      <c r="L197" s="82" t="s">
        <v>846</v>
      </c>
      <c r="M197" s="82">
        <v>3</v>
      </c>
      <c r="N197" s="84">
        <v>82713</v>
      </c>
      <c r="O197" s="82" t="s">
        <v>832</v>
      </c>
      <c r="P197" s="170"/>
      <c r="Q197" s="210"/>
    </row>
    <row r="198" spans="1:17" x14ac:dyDescent="0.2">
      <c r="A198" s="139" t="s">
        <v>1227</v>
      </c>
      <c r="B198" s="82">
        <v>2002798</v>
      </c>
      <c r="C198" s="82">
        <v>13067</v>
      </c>
      <c r="D198" s="82" t="s">
        <v>930</v>
      </c>
      <c r="E198" s="82">
        <v>69</v>
      </c>
      <c r="F198" s="82" t="str">
        <f>IF(E198&lt;=20,"0-19",
IF(E198&lt;=50,"20-49",
IF(E198&lt;=80,"50-79","80+")))</f>
        <v>50-79</v>
      </c>
      <c r="G198" s="82" t="s">
        <v>931</v>
      </c>
      <c r="H198" s="82" t="s">
        <v>22</v>
      </c>
      <c r="I198" s="92" t="s">
        <v>932</v>
      </c>
      <c r="J198" s="114" t="s">
        <v>2546</v>
      </c>
      <c r="K198" s="92" t="s">
        <v>846</v>
      </c>
      <c r="L198" s="82" t="s">
        <v>851</v>
      </c>
      <c r="M198" s="82">
        <v>3</v>
      </c>
      <c r="N198" s="84">
        <v>130514</v>
      </c>
      <c r="O198" s="82" t="s">
        <v>832</v>
      </c>
      <c r="P198" s="171"/>
      <c r="Q198" s="210"/>
    </row>
    <row r="199" spans="1:17" x14ac:dyDescent="0.2">
      <c r="A199" s="104" t="s">
        <v>1452</v>
      </c>
      <c r="B199" s="86">
        <v>2004344</v>
      </c>
      <c r="C199" s="87">
        <v>57353</v>
      </c>
      <c r="D199" s="86" t="s">
        <v>1997</v>
      </c>
      <c r="E199" s="86">
        <v>65</v>
      </c>
      <c r="F199" s="86" t="str">
        <f>IF(E199&lt;=20,"0-19",
IF(E199&lt;=50,"20-49",
IF(E199&lt;=80,"50-79","80+")))</f>
        <v>50-79</v>
      </c>
      <c r="G199" s="86" t="s">
        <v>1998</v>
      </c>
      <c r="H199" s="86" t="s">
        <v>22</v>
      </c>
      <c r="I199" s="86" t="s">
        <v>1999</v>
      </c>
      <c r="J199" s="114" t="s">
        <v>2546</v>
      </c>
      <c r="K199" s="86" t="s">
        <v>1916</v>
      </c>
      <c r="L199" s="86" t="s">
        <v>1923</v>
      </c>
      <c r="M199" s="86">
        <v>3</v>
      </c>
      <c r="N199" s="163">
        <v>42642</v>
      </c>
      <c r="O199" s="163" t="s">
        <v>2254</v>
      </c>
      <c r="P199" s="168">
        <v>254720010099</v>
      </c>
      <c r="Q199" s="210"/>
    </row>
    <row r="200" spans="1:17" x14ac:dyDescent="0.2">
      <c r="A200" s="108" t="s">
        <v>257</v>
      </c>
      <c r="B200" s="87">
        <v>2019944</v>
      </c>
      <c r="C200" s="87">
        <v>85557</v>
      </c>
      <c r="D200" s="87" t="s">
        <v>258</v>
      </c>
      <c r="E200" s="86">
        <v>8</v>
      </c>
      <c r="F200" s="86" t="str">
        <f>IF(E200&lt;=20,"0-19",
IF(E200&lt;=50,"20-49",
IF(E200&lt;=80,"50-79","80+")))</f>
        <v>0-19</v>
      </c>
      <c r="G200" s="87" t="s">
        <v>259</v>
      </c>
      <c r="H200" s="87" t="s">
        <v>132</v>
      </c>
      <c r="I200" s="87" t="s">
        <v>260</v>
      </c>
      <c r="J200" s="114" t="s">
        <v>2546</v>
      </c>
      <c r="K200" s="86" t="s">
        <v>78</v>
      </c>
      <c r="L200" s="86" t="s">
        <v>154</v>
      </c>
      <c r="M200" s="87">
        <v>3</v>
      </c>
      <c r="N200" s="97">
        <v>72190</v>
      </c>
      <c r="O200" s="87" t="s">
        <v>18</v>
      </c>
      <c r="P200" s="171"/>
      <c r="Q200" s="210"/>
    </row>
    <row r="201" spans="1:17" ht="21" x14ac:dyDescent="0.2">
      <c r="A201" s="139" t="s">
        <v>137</v>
      </c>
      <c r="B201" s="113">
        <v>2001458</v>
      </c>
      <c r="C201" s="113">
        <v>100165</v>
      </c>
      <c r="D201" s="114" t="s">
        <v>242</v>
      </c>
      <c r="E201" s="113">
        <v>73</v>
      </c>
      <c r="F201" s="113" t="str">
        <f>IF(E201&lt;=20,"0-19",
IF(E201&lt;=50,"20-49",
IF(E201&lt;=80,"50-79","80+")))</f>
        <v>50-79</v>
      </c>
      <c r="G201" s="113" t="s">
        <v>243</v>
      </c>
      <c r="H201" s="113" t="s">
        <v>22</v>
      </c>
      <c r="I201" s="114" t="s">
        <v>244</v>
      </c>
      <c r="J201" s="114" t="s">
        <v>2546</v>
      </c>
      <c r="K201" s="114" t="s">
        <v>245</v>
      </c>
      <c r="L201" s="113" t="s">
        <v>25</v>
      </c>
      <c r="M201" s="114">
        <v>3</v>
      </c>
      <c r="N201" s="115">
        <v>54105</v>
      </c>
      <c r="O201" s="87" t="s">
        <v>18</v>
      </c>
      <c r="P201" s="171"/>
      <c r="Q201" s="210"/>
    </row>
    <row r="202" spans="1:17" ht="21" x14ac:dyDescent="0.2">
      <c r="A202" s="187" t="s">
        <v>294</v>
      </c>
      <c r="B202" s="189">
        <v>2018394</v>
      </c>
      <c r="C202" s="189">
        <v>58884</v>
      </c>
      <c r="D202" s="189" t="s">
        <v>295</v>
      </c>
      <c r="E202" s="189">
        <v>60</v>
      </c>
      <c r="F202" s="189" t="str">
        <f>IF(E202&lt;=20,"0-19",
IF(E202&lt;=50,"20-49",
IF(E202&lt;=80,"50-79","80+")))</f>
        <v>50-79</v>
      </c>
      <c r="G202" s="189" t="s">
        <v>296</v>
      </c>
      <c r="H202" s="189" t="s">
        <v>15</v>
      </c>
      <c r="I202" s="189" t="s">
        <v>297</v>
      </c>
      <c r="J202" s="114" t="s">
        <v>2546</v>
      </c>
      <c r="K202" s="189" t="s">
        <v>108</v>
      </c>
      <c r="L202" s="190" t="s">
        <v>289</v>
      </c>
      <c r="M202" s="92">
        <v>3</v>
      </c>
      <c r="N202" s="205">
        <v>139057.07999999999</v>
      </c>
      <c r="O202" s="82" t="s">
        <v>18</v>
      </c>
      <c r="P202" s="170"/>
      <c r="Q202" s="210"/>
    </row>
    <row r="203" spans="1:17" x14ac:dyDescent="0.2">
      <c r="A203" s="194" t="s">
        <v>298</v>
      </c>
      <c r="B203" s="199">
        <v>2013074</v>
      </c>
      <c r="C203" s="199">
        <v>101343</v>
      </c>
      <c r="D203" s="199" t="s">
        <v>299</v>
      </c>
      <c r="E203" s="199">
        <v>64</v>
      </c>
      <c r="F203" s="199" t="str">
        <f>IF(E203&lt;=20,"0-19",
IF(E203&lt;=50,"20-49",
IF(E203&lt;=80,"50-79","80+")))</f>
        <v>50-79</v>
      </c>
      <c r="G203" s="199" t="s">
        <v>300</v>
      </c>
      <c r="H203" s="199" t="s">
        <v>22</v>
      </c>
      <c r="I203" s="199" t="s">
        <v>301</v>
      </c>
      <c r="J203" s="114" t="s">
        <v>2546</v>
      </c>
      <c r="K203" s="199" t="s">
        <v>108</v>
      </c>
      <c r="L203" s="188" t="s">
        <v>289</v>
      </c>
      <c r="M203" s="86">
        <v>3</v>
      </c>
      <c r="N203" s="192">
        <v>53855.74</v>
      </c>
      <c r="O203" s="87" t="s">
        <v>18</v>
      </c>
      <c r="P203" s="171"/>
      <c r="Q203" s="210"/>
    </row>
    <row r="204" spans="1:17" x14ac:dyDescent="0.2">
      <c r="A204" s="105" t="s">
        <v>274</v>
      </c>
      <c r="B204" s="82">
        <v>2017321</v>
      </c>
      <c r="C204" s="82">
        <v>104018</v>
      </c>
      <c r="D204" s="82" t="s">
        <v>1805</v>
      </c>
      <c r="E204" s="82">
        <v>63</v>
      </c>
      <c r="F204" s="82" t="str">
        <f>IF(E204&lt;=20,"0-19",
IF(E204&lt;=50,"20-49",
IF(E204&lt;=80,"50-79","80+")))</f>
        <v>50-79</v>
      </c>
      <c r="G204" s="82" t="s">
        <v>60</v>
      </c>
      <c r="H204" s="82" t="s">
        <v>22</v>
      </c>
      <c r="I204" s="92" t="s">
        <v>1806</v>
      </c>
      <c r="J204" s="92" t="s">
        <v>2310</v>
      </c>
      <c r="K204" s="82" t="s">
        <v>1610</v>
      </c>
      <c r="L204" s="82" t="s">
        <v>1543</v>
      </c>
      <c r="M204" s="82">
        <v>3</v>
      </c>
      <c r="N204" s="151">
        <v>281350</v>
      </c>
      <c r="O204" s="151" t="s">
        <v>2254</v>
      </c>
      <c r="P204" s="152">
        <v>254722845819</v>
      </c>
      <c r="Q204" s="210"/>
    </row>
    <row r="205" spans="1:17" x14ac:dyDescent="0.2">
      <c r="A205" s="104" t="s">
        <v>856</v>
      </c>
      <c r="B205" s="87">
        <v>2016077</v>
      </c>
      <c r="C205" s="87">
        <v>18754</v>
      </c>
      <c r="D205" s="87" t="s">
        <v>1773</v>
      </c>
      <c r="E205" s="87">
        <v>56</v>
      </c>
      <c r="F205" s="87" t="str">
        <f>IF(E205&lt;=20,"0-19",
IF(E205&lt;=50,"20-49",
IF(E205&lt;=80,"50-79","80+")))</f>
        <v>50-79</v>
      </c>
      <c r="G205" s="87" t="s">
        <v>1774</v>
      </c>
      <c r="H205" s="87" t="s">
        <v>706</v>
      </c>
      <c r="I205" s="86" t="s">
        <v>1775</v>
      </c>
      <c r="J205" s="86" t="s">
        <v>2310</v>
      </c>
      <c r="K205" s="87" t="s">
        <v>1556</v>
      </c>
      <c r="L205" s="87" t="s">
        <v>1589</v>
      </c>
      <c r="M205" s="87">
        <v>3</v>
      </c>
      <c r="N205" s="161">
        <v>225243.22</v>
      </c>
      <c r="O205" s="161" t="s">
        <v>2254</v>
      </c>
      <c r="P205" s="168">
        <v>254722422235</v>
      </c>
      <c r="Q205" s="210"/>
    </row>
    <row r="206" spans="1:17" ht="21" x14ac:dyDescent="0.2">
      <c r="A206" s="139" t="s">
        <v>1503</v>
      </c>
      <c r="B206" s="82">
        <v>2602001</v>
      </c>
      <c r="C206" s="82">
        <v>79151</v>
      </c>
      <c r="D206" s="82" t="s">
        <v>979</v>
      </c>
      <c r="E206" s="82">
        <v>40</v>
      </c>
      <c r="F206" s="82" t="str">
        <f>IF(E206&lt;=20,"0-19",
IF(E206&lt;=50,"20-49",
IF(E206&lt;=80,"50-79","80+")))</f>
        <v>20-49</v>
      </c>
      <c r="G206" s="82" t="s">
        <v>980</v>
      </c>
      <c r="H206" s="82" t="s">
        <v>22</v>
      </c>
      <c r="I206" s="92" t="s">
        <v>981</v>
      </c>
      <c r="J206" s="92" t="s">
        <v>2310</v>
      </c>
      <c r="K206" s="92" t="s">
        <v>982</v>
      </c>
      <c r="L206" s="82" t="s">
        <v>855</v>
      </c>
      <c r="M206" s="82">
        <v>3</v>
      </c>
      <c r="N206" s="84">
        <v>204032.02</v>
      </c>
      <c r="O206" s="82" t="s">
        <v>832</v>
      </c>
      <c r="P206" s="171"/>
      <c r="Q206" s="210"/>
    </row>
    <row r="207" spans="1:17" x14ac:dyDescent="0.2">
      <c r="A207" s="139" t="s">
        <v>847</v>
      </c>
      <c r="B207" s="82">
        <v>2009176</v>
      </c>
      <c r="C207" s="82">
        <v>59732</v>
      </c>
      <c r="D207" s="82" t="s">
        <v>1233</v>
      </c>
      <c r="E207" s="82">
        <v>56</v>
      </c>
      <c r="F207" s="82" t="str">
        <f>IF(E207&lt;=20,"0-19",
IF(E207&lt;=50,"20-49",
IF(E207&lt;=80,"50-79","80+")))</f>
        <v>50-79</v>
      </c>
      <c r="G207" s="82" t="s">
        <v>1234</v>
      </c>
      <c r="H207" s="82" t="s">
        <v>15</v>
      </c>
      <c r="I207" s="82" t="s">
        <v>1235</v>
      </c>
      <c r="J207" s="82" t="s">
        <v>2328</v>
      </c>
      <c r="K207" s="82" t="s">
        <v>859</v>
      </c>
      <c r="L207" s="82" t="s">
        <v>1236</v>
      </c>
      <c r="M207" s="82">
        <v>3</v>
      </c>
      <c r="N207" s="84">
        <v>151486</v>
      </c>
      <c r="O207" s="82" t="s">
        <v>832</v>
      </c>
      <c r="P207" s="171"/>
      <c r="Q207" s="210"/>
    </row>
    <row r="208" spans="1:17" ht="21" x14ac:dyDescent="0.2">
      <c r="A208" s="186" t="s">
        <v>354</v>
      </c>
      <c r="B208" s="188">
        <v>2407267</v>
      </c>
      <c r="C208" s="188">
        <v>56814</v>
      </c>
      <c r="D208" s="188" t="s">
        <v>355</v>
      </c>
      <c r="E208" s="188">
        <v>62</v>
      </c>
      <c r="F208" s="188" t="str">
        <f>IF(E208&lt;=20,"0-19",
IF(E208&lt;=50,"20-49",
IF(E208&lt;=80,"50-79","80+")))</f>
        <v>50-79</v>
      </c>
      <c r="G208" s="188" t="s">
        <v>356</v>
      </c>
      <c r="H208" s="188" t="s">
        <v>15</v>
      </c>
      <c r="I208" s="188" t="s">
        <v>357</v>
      </c>
      <c r="J208" s="188" t="s">
        <v>2328</v>
      </c>
      <c r="K208" s="188" t="s">
        <v>85</v>
      </c>
      <c r="L208" s="188" t="s">
        <v>190</v>
      </c>
      <c r="M208" s="88">
        <v>3</v>
      </c>
      <c r="N208" s="192">
        <v>25721</v>
      </c>
      <c r="O208" s="87" t="s">
        <v>18</v>
      </c>
      <c r="P208" s="171"/>
      <c r="Q208" s="210"/>
    </row>
    <row r="209" spans="1:17" x14ac:dyDescent="0.2">
      <c r="A209" s="108" t="s">
        <v>90</v>
      </c>
      <c r="B209" s="87">
        <v>2003072</v>
      </c>
      <c r="C209" s="87">
        <v>104118</v>
      </c>
      <c r="D209" s="87" t="s">
        <v>191</v>
      </c>
      <c r="E209" s="86">
        <v>66</v>
      </c>
      <c r="F209" s="86" t="str">
        <f>IF(E209&lt;=20,"0-19",
IF(E209&lt;=50,"20-49",
IF(E209&lt;=80,"50-79","80+")))</f>
        <v>50-79</v>
      </c>
      <c r="G209" s="87" t="s">
        <v>60</v>
      </c>
      <c r="H209" s="87" t="s">
        <v>22</v>
      </c>
      <c r="I209" s="87" t="s">
        <v>192</v>
      </c>
      <c r="J209" s="87" t="s">
        <v>2328</v>
      </c>
      <c r="K209" s="86" t="s">
        <v>31</v>
      </c>
      <c r="L209" s="86" t="s">
        <v>193</v>
      </c>
      <c r="M209" s="87">
        <v>3</v>
      </c>
      <c r="N209" s="97">
        <v>395281</v>
      </c>
      <c r="O209" s="87" t="s">
        <v>18</v>
      </c>
      <c r="P209" s="171"/>
      <c r="Q209" s="210"/>
    </row>
    <row r="210" spans="1:17" x14ac:dyDescent="0.2">
      <c r="A210" s="139" t="s">
        <v>874</v>
      </c>
      <c r="B210" s="82">
        <v>2406019</v>
      </c>
      <c r="C210" s="82">
        <v>32211</v>
      </c>
      <c r="D210" s="82" t="s">
        <v>1286</v>
      </c>
      <c r="E210" s="82">
        <v>50</v>
      </c>
      <c r="F210" s="82" t="str">
        <f>IF(E210&lt;=20,"0-19",
IF(E210&lt;=50,"20-49",
IF(E210&lt;=80,"50-79","80+")))</f>
        <v>20-49</v>
      </c>
      <c r="G210" s="82" t="s">
        <v>49</v>
      </c>
      <c r="H210" s="82" t="s">
        <v>15</v>
      </c>
      <c r="I210" s="82" t="s">
        <v>1287</v>
      </c>
      <c r="J210" s="82" t="s">
        <v>2328</v>
      </c>
      <c r="K210" s="82" t="s">
        <v>1238</v>
      </c>
      <c r="L210" s="82" t="s">
        <v>1288</v>
      </c>
      <c r="M210" s="82">
        <v>3</v>
      </c>
      <c r="N210" s="84">
        <v>97954</v>
      </c>
      <c r="O210" s="82" t="s">
        <v>832</v>
      </c>
      <c r="P210" s="170"/>
      <c r="Q210" s="210"/>
    </row>
    <row r="211" spans="1:17" x14ac:dyDescent="0.2">
      <c r="A211" s="139" t="s">
        <v>63</v>
      </c>
      <c r="B211" s="82">
        <v>2502100</v>
      </c>
      <c r="C211" s="82">
        <v>60353</v>
      </c>
      <c r="D211" s="82" t="s">
        <v>246</v>
      </c>
      <c r="E211" s="92">
        <v>45</v>
      </c>
      <c r="F211" s="92" t="str">
        <f>IF(E211&lt;=20,"0-19",
IF(E211&lt;=50,"20-49",
IF(E211&lt;=80,"50-79","80+")))</f>
        <v>20-49</v>
      </c>
      <c r="G211" s="82" t="s">
        <v>247</v>
      </c>
      <c r="H211" s="82" t="s">
        <v>15</v>
      </c>
      <c r="I211" s="82" t="s">
        <v>248</v>
      </c>
      <c r="J211" s="82" t="s">
        <v>2328</v>
      </c>
      <c r="K211" s="92" t="s">
        <v>78</v>
      </c>
      <c r="L211" s="92" t="s">
        <v>154</v>
      </c>
      <c r="M211" s="82">
        <v>3</v>
      </c>
      <c r="N211" s="101">
        <v>128419</v>
      </c>
      <c r="O211" s="82" t="s">
        <v>18</v>
      </c>
      <c r="P211" s="170"/>
      <c r="Q211" s="210"/>
    </row>
    <row r="212" spans="1:17" x14ac:dyDescent="0.2">
      <c r="A212" s="107" t="s">
        <v>232</v>
      </c>
      <c r="B212" s="93">
        <v>2502163</v>
      </c>
      <c r="C212" s="93">
        <v>58577</v>
      </c>
      <c r="D212" s="93" t="s">
        <v>233</v>
      </c>
      <c r="E212" s="93">
        <v>64</v>
      </c>
      <c r="F212" s="93" t="str">
        <f>IF(E212&lt;=20,"0-19",
IF(E212&lt;=50,"20-49",
IF(E212&lt;=80,"50-79","80+")))</f>
        <v>50-79</v>
      </c>
      <c r="G212" s="93" t="s">
        <v>234</v>
      </c>
      <c r="H212" s="93" t="s">
        <v>22</v>
      </c>
      <c r="I212" s="93" t="s">
        <v>235</v>
      </c>
      <c r="J212" s="93" t="s">
        <v>2314</v>
      </c>
      <c r="K212" s="93" t="s">
        <v>141</v>
      </c>
      <c r="L212" s="93" t="s">
        <v>95</v>
      </c>
      <c r="M212" s="93">
        <v>3</v>
      </c>
      <c r="N212" s="94">
        <v>121220</v>
      </c>
      <c r="O212" s="82" t="s">
        <v>18</v>
      </c>
      <c r="P212" s="170"/>
      <c r="Q212" s="210"/>
    </row>
    <row r="213" spans="1:17" x14ac:dyDescent="0.2">
      <c r="A213" s="103" t="s">
        <v>75</v>
      </c>
      <c r="B213" s="82">
        <v>2005082</v>
      </c>
      <c r="C213" s="82">
        <v>101741</v>
      </c>
      <c r="D213" s="82" t="s">
        <v>76</v>
      </c>
      <c r="E213" s="92">
        <v>69</v>
      </c>
      <c r="F213" s="92" t="str">
        <f>IF(E213&lt;=20,"0-19",
IF(E213&lt;=50,"20-49",
IF(E213&lt;=80,"50-79","80+")))</f>
        <v>50-79</v>
      </c>
      <c r="G213" s="82" t="s">
        <v>49</v>
      </c>
      <c r="H213" s="82" t="s">
        <v>15</v>
      </c>
      <c r="I213" s="82" t="s">
        <v>77</v>
      </c>
      <c r="J213" s="82" t="s">
        <v>2270</v>
      </c>
      <c r="K213" s="92" t="s">
        <v>79</v>
      </c>
      <c r="L213" s="92" t="s">
        <v>94</v>
      </c>
      <c r="M213" s="82">
        <v>3</v>
      </c>
      <c r="N213" s="101">
        <v>31636.59</v>
      </c>
      <c r="O213" s="82" t="s">
        <v>18</v>
      </c>
      <c r="P213" s="170"/>
      <c r="Q213" s="210"/>
    </row>
    <row r="214" spans="1:17" x14ac:dyDescent="0.2">
      <c r="A214" s="139" t="s">
        <v>1482</v>
      </c>
      <c r="B214" s="82">
        <v>2013525</v>
      </c>
      <c r="C214" s="82">
        <v>10031</v>
      </c>
      <c r="D214" s="82" t="s">
        <v>959</v>
      </c>
      <c r="E214" s="82">
        <v>66</v>
      </c>
      <c r="F214" s="82" t="str">
        <f>IF(E214&lt;=20,"0-19",
IF(E214&lt;=50,"20-49",
IF(E214&lt;=80,"50-79","80+")))</f>
        <v>50-79</v>
      </c>
      <c r="G214" s="82" t="s">
        <v>960</v>
      </c>
      <c r="H214" s="82" t="s">
        <v>15</v>
      </c>
      <c r="I214" s="92" t="s">
        <v>961</v>
      </c>
      <c r="J214" s="92" t="s">
        <v>2270</v>
      </c>
      <c r="K214" s="92" t="s">
        <v>896</v>
      </c>
      <c r="L214" s="82" t="s">
        <v>855</v>
      </c>
      <c r="M214" s="82">
        <v>3</v>
      </c>
      <c r="N214" s="84">
        <v>58202</v>
      </c>
      <c r="O214" s="82" t="s">
        <v>832</v>
      </c>
      <c r="P214" s="171"/>
      <c r="Q214" s="210"/>
    </row>
    <row r="215" spans="1:17" x14ac:dyDescent="0.2">
      <c r="A215" s="104" t="s">
        <v>422</v>
      </c>
      <c r="B215" s="87">
        <v>2014982</v>
      </c>
      <c r="C215" s="87">
        <v>13660</v>
      </c>
      <c r="D215" s="87" t="s">
        <v>1779</v>
      </c>
      <c r="E215" s="87">
        <v>66</v>
      </c>
      <c r="F215" s="87" t="str">
        <f>IF(E215&lt;=20,"0-19",
IF(E215&lt;=50,"20-49",
IF(E215&lt;=80,"50-79","80+")))</f>
        <v>50-79</v>
      </c>
      <c r="G215" s="87" t="s">
        <v>1780</v>
      </c>
      <c r="H215" s="87" t="s">
        <v>22</v>
      </c>
      <c r="I215" s="86" t="s">
        <v>780</v>
      </c>
      <c r="J215" s="86" t="s">
        <v>2270</v>
      </c>
      <c r="K215" s="87" t="s">
        <v>1589</v>
      </c>
      <c r="L215" s="87" t="s">
        <v>1675</v>
      </c>
      <c r="M215" s="87">
        <v>3</v>
      </c>
      <c r="N215" s="161">
        <v>237007</v>
      </c>
      <c r="O215" s="161" t="s">
        <v>2254</v>
      </c>
      <c r="P215" s="168">
        <v>254722422235</v>
      </c>
      <c r="Q215" s="210"/>
    </row>
    <row r="216" spans="1:17" ht="21" x14ac:dyDescent="0.2">
      <c r="A216" s="105" t="s">
        <v>1984</v>
      </c>
      <c r="B216" s="82">
        <v>2003072</v>
      </c>
      <c r="C216" s="82">
        <v>104118</v>
      </c>
      <c r="D216" s="82" t="s">
        <v>191</v>
      </c>
      <c r="E216" s="82">
        <v>65</v>
      </c>
      <c r="F216" s="82" t="str">
        <f>IF(E216&lt;=20,"0-19",
IF(E216&lt;=50,"20-49",
IF(E216&lt;=80,"50-79","80+")))</f>
        <v>50-79</v>
      </c>
      <c r="G216" s="82" t="s">
        <v>1432</v>
      </c>
      <c r="H216" s="82" t="s">
        <v>22</v>
      </c>
      <c r="I216" s="82" t="s">
        <v>2103</v>
      </c>
      <c r="J216" s="82" t="s">
        <v>2270</v>
      </c>
      <c r="K216" s="92" t="s">
        <v>2104</v>
      </c>
      <c r="L216" s="82" t="s">
        <v>1921</v>
      </c>
      <c r="M216" s="82">
        <v>3</v>
      </c>
      <c r="N216" s="151">
        <v>97284</v>
      </c>
      <c r="O216" s="151" t="s">
        <v>2254</v>
      </c>
      <c r="P216" s="152">
        <v>254721775077</v>
      </c>
      <c r="Q216" s="210"/>
    </row>
    <row r="217" spans="1:17" x14ac:dyDescent="0.2">
      <c r="A217" s="139" t="s">
        <v>373</v>
      </c>
      <c r="B217" s="82">
        <v>2015319</v>
      </c>
      <c r="C217" s="82">
        <v>18635</v>
      </c>
      <c r="D217" s="82" t="s">
        <v>962</v>
      </c>
      <c r="E217" s="82">
        <v>63</v>
      </c>
      <c r="F217" s="82" t="str">
        <f>IF(E217&lt;=20,"0-19",
IF(E217&lt;=50,"20-49",
IF(E217&lt;=80,"50-79","80+")))</f>
        <v>50-79</v>
      </c>
      <c r="G217" s="82" t="s">
        <v>126</v>
      </c>
      <c r="H217" s="82" t="s">
        <v>22</v>
      </c>
      <c r="I217" s="92" t="s">
        <v>963</v>
      </c>
      <c r="J217" s="92" t="s">
        <v>2270</v>
      </c>
      <c r="K217" s="92" t="s">
        <v>843</v>
      </c>
      <c r="L217" s="82" t="s">
        <v>896</v>
      </c>
      <c r="M217" s="82">
        <v>3</v>
      </c>
      <c r="N217" s="84">
        <v>353603</v>
      </c>
      <c r="O217" s="82" t="s">
        <v>832</v>
      </c>
      <c r="P217" s="171"/>
      <c r="Q217" s="210"/>
    </row>
    <row r="218" spans="1:17" x14ac:dyDescent="0.2">
      <c r="A218" s="103" t="s">
        <v>75</v>
      </c>
      <c r="B218" s="82">
        <v>2011004</v>
      </c>
      <c r="C218" s="82">
        <v>101184</v>
      </c>
      <c r="D218" s="82" t="s">
        <v>261</v>
      </c>
      <c r="E218" s="92">
        <v>64</v>
      </c>
      <c r="F218" s="92" t="str">
        <f>IF(E218&lt;=20,"0-19",
IF(E218&lt;=50,"20-49",
IF(E218&lt;=80,"50-79","80+")))</f>
        <v>50-79</v>
      </c>
      <c r="G218" s="82" t="s">
        <v>262</v>
      </c>
      <c r="H218" s="82" t="s">
        <v>15</v>
      </c>
      <c r="I218" s="82" t="s">
        <v>263</v>
      </c>
      <c r="J218" s="82" t="s">
        <v>2270</v>
      </c>
      <c r="K218" s="92" t="s">
        <v>94</v>
      </c>
      <c r="L218" s="92" t="s">
        <v>66</v>
      </c>
      <c r="M218" s="82">
        <v>3</v>
      </c>
      <c r="N218" s="101">
        <v>52351</v>
      </c>
      <c r="O218" s="82" t="s">
        <v>18</v>
      </c>
      <c r="P218" s="170"/>
      <c r="Q218" s="210"/>
    </row>
    <row r="219" spans="1:17" ht="21" x14ac:dyDescent="0.2">
      <c r="A219" s="139" t="s">
        <v>43</v>
      </c>
      <c r="B219" s="92">
        <v>2003928</v>
      </c>
      <c r="C219" s="82">
        <v>101178</v>
      </c>
      <c r="D219" s="92" t="s">
        <v>937</v>
      </c>
      <c r="E219" s="92">
        <v>65</v>
      </c>
      <c r="F219" s="92" t="str">
        <f>IF(E219&lt;=20,"0-19",
IF(E219&lt;=50,"20-49",
IF(E219&lt;=80,"50-79","80+")))</f>
        <v>50-79</v>
      </c>
      <c r="G219" s="92" t="s">
        <v>938</v>
      </c>
      <c r="H219" s="92" t="s">
        <v>22</v>
      </c>
      <c r="I219" s="92" t="s">
        <v>939</v>
      </c>
      <c r="J219" s="114" t="s">
        <v>2328</v>
      </c>
      <c r="K219" s="92" t="s">
        <v>940</v>
      </c>
      <c r="L219" s="93" t="s">
        <v>843</v>
      </c>
      <c r="M219" s="92">
        <v>3</v>
      </c>
      <c r="N219" s="101">
        <v>204504</v>
      </c>
      <c r="O219" s="82" t="s">
        <v>832</v>
      </c>
      <c r="P219" s="170"/>
      <c r="Q219" s="210"/>
    </row>
    <row r="220" spans="1:17" x14ac:dyDescent="0.2">
      <c r="A220" s="139" t="s">
        <v>1410</v>
      </c>
      <c r="B220" s="82">
        <v>2504059</v>
      </c>
      <c r="C220" s="82">
        <v>43518</v>
      </c>
      <c r="D220" s="82" t="s">
        <v>1411</v>
      </c>
      <c r="E220" s="82">
        <v>53</v>
      </c>
      <c r="F220" s="82" t="str">
        <f>IF(E220&lt;=20,"0-19",
IF(E220&lt;=50,"20-49",
IF(E220&lt;=80,"50-79","80+")))</f>
        <v>50-79</v>
      </c>
      <c r="G220" s="82" t="s">
        <v>1412</v>
      </c>
      <c r="H220" s="82" t="s">
        <v>15</v>
      </c>
      <c r="I220" s="92" t="s">
        <v>1413</v>
      </c>
      <c r="J220" s="92" t="s">
        <v>2322</v>
      </c>
      <c r="K220" s="92" t="s">
        <v>1288</v>
      </c>
      <c r="L220" s="92" t="s">
        <v>1242</v>
      </c>
      <c r="M220" s="82">
        <v>3</v>
      </c>
      <c r="N220" s="84">
        <v>68985</v>
      </c>
      <c r="O220" s="82" t="s">
        <v>832</v>
      </c>
      <c r="P220" s="171"/>
      <c r="Q220" s="210"/>
    </row>
    <row r="221" spans="1:17" x14ac:dyDescent="0.2">
      <c r="A221" s="138" t="s">
        <v>228</v>
      </c>
      <c r="B221" s="114">
        <v>2507233</v>
      </c>
      <c r="C221" s="114">
        <v>63124</v>
      </c>
      <c r="D221" s="114" t="s">
        <v>229</v>
      </c>
      <c r="E221" s="114">
        <v>57</v>
      </c>
      <c r="F221" s="114" t="str">
        <f>IF(E221&lt;=20,"0-19",
IF(E221&lt;=50,"20-49",
IF(E221&lt;=80,"50-79","80+")))</f>
        <v>50-79</v>
      </c>
      <c r="G221" s="114" t="s">
        <v>230</v>
      </c>
      <c r="H221" s="114" t="s">
        <v>22</v>
      </c>
      <c r="I221" s="114" t="s">
        <v>231</v>
      </c>
      <c r="J221" s="114" t="s">
        <v>2546</v>
      </c>
      <c r="K221" s="114" t="s">
        <v>103</v>
      </c>
      <c r="L221" s="114" t="s">
        <v>46</v>
      </c>
      <c r="M221" s="114">
        <v>3</v>
      </c>
      <c r="N221" s="116">
        <v>122397.91</v>
      </c>
      <c r="O221" s="87" t="s">
        <v>18</v>
      </c>
      <c r="P221" s="171"/>
      <c r="Q221" s="210"/>
    </row>
    <row r="222" spans="1:17" x14ac:dyDescent="0.2">
      <c r="A222" s="139" t="s">
        <v>916</v>
      </c>
      <c r="B222" s="82">
        <v>2000713</v>
      </c>
      <c r="C222" s="82">
        <v>19277</v>
      </c>
      <c r="D222" s="82" t="s">
        <v>917</v>
      </c>
      <c r="E222" s="82">
        <v>71</v>
      </c>
      <c r="F222" s="82" t="str">
        <f>IF(E222&lt;=20,"0-19",
IF(E222&lt;=50,"20-49",
IF(E222&lt;=80,"50-79","80+")))</f>
        <v>50-79</v>
      </c>
      <c r="G222" s="82" t="s">
        <v>60</v>
      </c>
      <c r="H222" s="82" t="s">
        <v>22</v>
      </c>
      <c r="I222" s="82" t="s">
        <v>918</v>
      </c>
      <c r="J222" s="114" t="str">
        <f>VLOOKUP(Table4[[#This Row],[Diagnosis]],Sheet3!A:B,2,0)</f>
        <v>Pulmonology / Infectious (TB)</v>
      </c>
      <c r="K222" s="92" t="s">
        <v>909</v>
      </c>
      <c r="L222" s="92" t="s">
        <v>919</v>
      </c>
      <c r="M222" s="82">
        <v>3</v>
      </c>
      <c r="N222" s="84">
        <v>117500</v>
      </c>
      <c r="O222" s="82" t="s">
        <v>832</v>
      </c>
      <c r="P222" s="170"/>
      <c r="Q222" s="210"/>
    </row>
    <row r="223" spans="1:17" x14ac:dyDescent="0.2">
      <c r="A223" s="194" t="s">
        <v>290</v>
      </c>
      <c r="B223" s="199">
        <v>2018795</v>
      </c>
      <c r="C223" s="199">
        <v>110494</v>
      </c>
      <c r="D223" s="199" t="s">
        <v>291</v>
      </c>
      <c r="E223" s="199">
        <v>12</v>
      </c>
      <c r="F223" s="199" t="str">
        <f>IF(E223&lt;=20,"0-19",
IF(E223&lt;=50,"20-49",
IF(E223&lt;=80,"50-79","80+")))</f>
        <v>0-19</v>
      </c>
      <c r="G223" s="199" t="s">
        <v>292</v>
      </c>
      <c r="H223" s="199" t="s">
        <v>132</v>
      </c>
      <c r="I223" s="199" t="s">
        <v>293</v>
      </c>
      <c r="J223" s="199" t="s">
        <v>2283</v>
      </c>
      <c r="K223" s="199" t="s">
        <v>108</v>
      </c>
      <c r="L223" s="188" t="s">
        <v>289</v>
      </c>
      <c r="M223" s="86">
        <v>3</v>
      </c>
      <c r="N223" s="192">
        <v>61312.29</v>
      </c>
      <c r="O223" s="87" t="s">
        <v>18</v>
      </c>
      <c r="P223" s="171"/>
      <c r="Q223" s="210"/>
    </row>
    <row r="224" spans="1:17" x14ac:dyDescent="0.2">
      <c r="A224" s="104" t="s">
        <v>1565</v>
      </c>
      <c r="B224" s="87">
        <v>2018550</v>
      </c>
      <c r="C224" s="87">
        <v>32301</v>
      </c>
      <c r="D224" s="87" t="s">
        <v>2169</v>
      </c>
      <c r="E224" s="87">
        <v>62</v>
      </c>
      <c r="F224" s="87" t="str">
        <f>IF(E224&lt;=20,"0-19",
IF(E224&lt;=50,"20-49",
IF(E224&lt;=80,"50-79","80+")))</f>
        <v>50-79</v>
      </c>
      <c r="G224" s="87" t="s">
        <v>2170</v>
      </c>
      <c r="H224" s="87" t="s">
        <v>22</v>
      </c>
      <c r="I224" s="87" t="s">
        <v>2171</v>
      </c>
      <c r="J224" s="87" t="s">
        <v>2283</v>
      </c>
      <c r="K224" s="86" t="s">
        <v>1908</v>
      </c>
      <c r="L224" s="87" t="s">
        <v>1895</v>
      </c>
      <c r="M224" s="87">
        <v>3</v>
      </c>
      <c r="N224" s="161">
        <v>184467</v>
      </c>
      <c r="O224" s="161" t="s">
        <v>2254</v>
      </c>
      <c r="P224" s="168">
        <v>254721421817</v>
      </c>
      <c r="Q224" s="210"/>
    </row>
    <row r="225" spans="1:17" x14ac:dyDescent="0.2">
      <c r="A225" s="139" t="s">
        <v>836</v>
      </c>
      <c r="B225" s="82">
        <v>2004507</v>
      </c>
      <c r="C225" s="82">
        <v>16289</v>
      </c>
      <c r="D225" s="82" t="s">
        <v>944</v>
      </c>
      <c r="E225" s="82">
        <v>64</v>
      </c>
      <c r="F225" s="82" t="str">
        <f>IF(E225&lt;=20,"0-19",
IF(E225&lt;=50,"20-49",
IF(E225&lt;=80,"50-79","80+")))</f>
        <v>50-79</v>
      </c>
      <c r="G225" s="82" t="s">
        <v>945</v>
      </c>
      <c r="H225" s="82" t="s">
        <v>22</v>
      </c>
      <c r="I225" s="92" t="s">
        <v>946</v>
      </c>
      <c r="J225" s="92" t="s">
        <v>2283</v>
      </c>
      <c r="K225" s="92" t="s">
        <v>880</v>
      </c>
      <c r="L225" s="82" t="s">
        <v>846</v>
      </c>
      <c r="M225" s="82">
        <v>3</v>
      </c>
      <c r="N225" s="84">
        <v>77121</v>
      </c>
      <c r="O225" s="82" t="s">
        <v>832</v>
      </c>
      <c r="P225" s="171"/>
      <c r="Q225" s="210"/>
    </row>
    <row r="226" spans="1:17" x14ac:dyDescent="0.2">
      <c r="A226" s="139" t="s">
        <v>32</v>
      </c>
      <c r="B226" s="82">
        <v>2021285</v>
      </c>
      <c r="C226" s="82">
        <v>60702</v>
      </c>
      <c r="D226" s="82" t="s">
        <v>218</v>
      </c>
      <c r="E226" s="92">
        <v>8</v>
      </c>
      <c r="F226" s="92" t="str">
        <f>IF(E226&lt;=20,"0-19",
IF(E226&lt;=50,"20-49",
IF(E226&lt;=80,"50-79","80+")))</f>
        <v>0-19</v>
      </c>
      <c r="G226" s="82" t="s">
        <v>219</v>
      </c>
      <c r="H226" s="82" t="s">
        <v>132</v>
      </c>
      <c r="I226" s="82" t="s">
        <v>220</v>
      </c>
      <c r="J226" s="82" t="s">
        <v>2283</v>
      </c>
      <c r="K226" s="92" t="s">
        <v>37</v>
      </c>
      <c r="L226" s="92" t="s">
        <v>79</v>
      </c>
      <c r="M226" s="82">
        <v>3</v>
      </c>
      <c r="N226" s="101">
        <v>61634</v>
      </c>
      <c r="O226" s="82" t="s">
        <v>18</v>
      </c>
      <c r="P226" s="170"/>
      <c r="Q226" s="210"/>
    </row>
    <row r="227" spans="1:17" x14ac:dyDescent="0.2">
      <c r="A227" s="138" t="s">
        <v>12</v>
      </c>
      <c r="B227" s="82">
        <v>2006683</v>
      </c>
      <c r="C227" s="82">
        <v>57632</v>
      </c>
      <c r="D227" s="82" t="s">
        <v>194</v>
      </c>
      <c r="E227" s="92">
        <v>57</v>
      </c>
      <c r="F227" s="92" t="str">
        <f>IF(E227&lt;=20,"0-19",
IF(E227&lt;=50,"20-49",
IF(E227&lt;=80,"50-79","80+")))</f>
        <v>50-79</v>
      </c>
      <c r="G227" s="82" t="s">
        <v>195</v>
      </c>
      <c r="H227" s="82" t="s">
        <v>15</v>
      </c>
      <c r="I227" s="82" t="s">
        <v>196</v>
      </c>
      <c r="J227" s="82" t="s">
        <v>2283</v>
      </c>
      <c r="K227" s="92" t="s">
        <v>37</v>
      </c>
      <c r="L227" s="92" t="s">
        <v>79</v>
      </c>
      <c r="M227" s="82">
        <v>3</v>
      </c>
      <c r="N227" s="101">
        <v>26277</v>
      </c>
      <c r="O227" s="82" t="s">
        <v>18</v>
      </c>
      <c r="P227" s="170"/>
      <c r="Q227" s="210"/>
    </row>
    <row r="228" spans="1:17" ht="21" x14ac:dyDescent="0.2">
      <c r="A228" s="105" t="s">
        <v>1700</v>
      </c>
      <c r="B228" s="82">
        <v>2000084</v>
      </c>
      <c r="C228" s="82">
        <v>17767</v>
      </c>
      <c r="D228" s="82" t="s">
        <v>1934</v>
      </c>
      <c r="E228" s="82">
        <v>70</v>
      </c>
      <c r="F228" s="82" t="str">
        <f>IF(E228&lt;=20,"0-19",
IF(E228&lt;=50,"20-49",
IF(E228&lt;=80,"50-79","80+")))</f>
        <v>50-79</v>
      </c>
      <c r="G228" s="82" t="s">
        <v>1935</v>
      </c>
      <c r="H228" s="82" t="s">
        <v>22</v>
      </c>
      <c r="I228" s="82" t="s">
        <v>1936</v>
      </c>
      <c r="J228" s="82" t="s">
        <v>2275</v>
      </c>
      <c r="K228" s="92" t="s">
        <v>1937</v>
      </c>
      <c r="L228" s="82" t="s">
        <v>1908</v>
      </c>
      <c r="M228" s="82">
        <v>4</v>
      </c>
      <c r="N228" s="151">
        <v>15043.16</v>
      </c>
      <c r="O228" s="151" t="s">
        <v>2254</v>
      </c>
      <c r="P228" s="152">
        <v>254725356426</v>
      </c>
      <c r="Q228" s="210"/>
    </row>
    <row r="229" spans="1:17" x14ac:dyDescent="0.2">
      <c r="A229" s="104" t="s">
        <v>1690</v>
      </c>
      <c r="B229" s="87">
        <v>2006478</v>
      </c>
      <c r="C229" s="87">
        <v>8834</v>
      </c>
      <c r="D229" s="87" t="s">
        <v>1815</v>
      </c>
      <c r="E229" s="87">
        <v>64</v>
      </c>
      <c r="F229" s="87" t="str">
        <f>IF(E229&lt;=20,"0-19",
IF(E229&lt;=50,"20-49",
IF(E229&lt;=80,"50-79","80+")))</f>
        <v>50-79</v>
      </c>
      <c r="G229" s="87" t="s">
        <v>1816</v>
      </c>
      <c r="H229" s="87" t="s">
        <v>15</v>
      </c>
      <c r="I229" s="86" t="s">
        <v>1817</v>
      </c>
      <c r="J229" s="86" t="s">
        <v>2275</v>
      </c>
      <c r="K229" s="87" t="s">
        <v>1562</v>
      </c>
      <c r="L229" s="87" t="s">
        <v>1610</v>
      </c>
      <c r="M229" s="87">
        <v>4</v>
      </c>
      <c r="N229" s="161">
        <v>295319</v>
      </c>
      <c r="O229" s="161" t="s">
        <v>2254</v>
      </c>
      <c r="P229" s="168">
        <v>254728762115</v>
      </c>
      <c r="Q229" s="210"/>
    </row>
    <row r="230" spans="1:17" x14ac:dyDescent="0.2">
      <c r="A230" s="138" t="s">
        <v>309</v>
      </c>
      <c r="B230" s="82">
        <v>2018941</v>
      </c>
      <c r="C230" s="82">
        <v>31738</v>
      </c>
      <c r="D230" s="82" t="s">
        <v>310</v>
      </c>
      <c r="E230" s="92">
        <v>67</v>
      </c>
      <c r="F230" s="92" t="str">
        <f>IF(E230&lt;=20,"0-19",
IF(E230&lt;=50,"20-49",
IF(E230&lt;=80,"50-79","80+")))</f>
        <v>50-79</v>
      </c>
      <c r="G230" s="82" t="s">
        <v>311</v>
      </c>
      <c r="H230" s="82" t="s">
        <v>15</v>
      </c>
      <c r="I230" s="82" t="s">
        <v>312</v>
      </c>
      <c r="J230" s="82" t="s">
        <v>2275</v>
      </c>
      <c r="K230" s="92" t="s">
        <v>94</v>
      </c>
      <c r="L230" s="92" t="s">
        <v>67</v>
      </c>
      <c r="M230" s="82">
        <v>4</v>
      </c>
      <c r="N230" s="101">
        <v>230024</v>
      </c>
      <c r="O230" s="82" t="s">
        <v>18</v>
      </c>
      <c r="P230" s="170"/>
      <c r="Q230" s="210"/>
    </row>
    <row r="231" spans="1:17" ht="21" x14ac:dyDescent="0.2">
      <c r="A231" s="139" t="s">
        <v>836</v>
      </c>
      <c r="B231" s="82">
        <v>2005052</v>
      </c>
      <c r="C231" s="82">
        <v>13711</v>
      </c>
      <c r="D231" s="82" t="s">
        <v>73</v>
      </c>
      <c r="E231" s="82">
        <v>57</v>
      </c>
      <c r="F231" s="82" t="str">
        <f>IF(E231&lt;=20,"0-19",
IF(E231&lt;=50,"20-49",
IF(E231&lt;=80,"50-79","80+")))</f>
        <v>50-79</v>
      </c>
      <c r="G231" s="82" t="s">
        <v>280</v>
      </c>
      <c r="H231" s="82" t="s">
        <v>15</v>
      </c>
      <c r="I231" s="92" t="s">
        <v>996</v>
      </c>
      <c r="J231" s="92" t="s">
        <v>2275</v>
      </c>
      <c r="K231" s="92" t="s">
        <v>997</v>
      </c>
      <c r="L231" s="82" t="s">
        <v>851</v>
      </c>
      <c r="M231" s="82">
        <v>4</v>
      </c>
      <c r="N231" s="84">
        <v>125590.39999999999</v>
      </c>
      <c r="O231" s="82" t="s">
        <v>832</v>
      </c>
      <c r="P231" s="170"/>
      <c r="Q231" s="210"/>
    </row>
    <row r="232" spans="1:17" x14ac:dyDescent="0.2">
      <c r="A232" s="105" t="s">
        <v>19</v>
      </c>
      <c r="B232" s="82">
        <v>2017821</v>
      </c>
      <c r="C232" s="82">
        <v>18146</v>
      </c>
      <c r="D232" s="82" t="s">
        <v>1765</v>
      </c>
      <c r="E232" s="82">
        <v>64</v>
      </c>
      <c r="F232" s="82" t="str">
        <f>IF(E232&lt;=20,"0-19",
IF(E232&lt;=50,"20-49",
IF(E232&lt;=80,"50-79","80+")))</f>
        <v>50-79</v>
      </c>
      <c r="G232" s="82" t="s">
        <v>1766</v>
      </c>
      <c r="H232" s="82" t="s">
        <v>22</v>
      </c>
      <c r="I232" s="92" t="s">
        <v>1767</v>
      </c>
      <c r="J232" s="92" t="s">
        <v>2275</v>
      </c>
      <c r="K232" s="82" t="s">
        <v>1594</v>
      </c>
      <c r="L232" s="82" t="s">
        <v>1546</v>
      </c>
      <c r="M232" s="82">
        <v>4</v>
      </c>
      <c r="N232" s="151">
        <v>192101.8</v>
      </c>
      <c r="O232" s="151" t="s">
        <v>2254</v>
      </c>
      <c r="P232" s="152">
        <v>254722862647</v>
      </c>
      <c r="Q232" s="210"/>
    </row>
    <row r="233" spans="1:17" x14ac:dyDescent="0.2">
      <c r="A233" s="104" t="s">
        <v>1768</v>
      </c>
      <c r="B233" s="87">
        <v>2004274</v>
      </c>
      <c r="C233" s="87">
        <v>12673</v>
      </c>
      <c r="D233" s="87" t="s">
        <v>2112</v>
      </c>
      <c r="E233" s="87">
        <v>68</v>
      </c>
      <c r="F233" s="87" t="str">
        <f>IF(E233&lt;=20,"0-19",
IF(E233&lt;=50,"20-49",
IF(E233&lt;=80,"50-79","80+")))</f>
        <v>50-79</v>
      </c>
      <c r="G233" s="87" t="s">
        <v>517</v>
      </c>
      <c r="H233" s="87" t="s">
        <v>22</v>
      </c>
      <c r="I233" s="87" t="s">
        <v>2113</v>
      </c>
      <c r="J233" s="87" t="s">
        <v>2275</v>
      </c>
      <c r="K233" s="86" t="s">
        <v>1567</v>
      </c>
      <c r="L233" s="87" t="s">
        <v>1908</v>
      </c>
      <c r="M233" s="87">
        <v>4</v>
      </c>
      <c r="N233" s="161">
        <v>107761</v>
      </c>
      <c r="O233" s="161" t="s">
        <v>2254</v>
      </c>
      <c r="P233" s="168">
        <v>254721929930</v>
      </c>
      <c r="Q233" s="210"/>
    </row>
    <row r="234" spans="1:17" x14ac:dyDescent="0.2">
      <c r="A234" s="139" t="s">
        <v>874</v>
      </c>
      <c r="B234" s="93">
        <v>2407407</v>
      </c>
      <c r="C234" s="82">
        <v>67066</v>
      </c>
      <c r="D234" s="82" t="s">
        <v>905</v>
      </c>
      <c r="E234" s="93">
        <v>60</v>
      </c>
      <c r="F234" s="93" t="str">
        <f>IF(E234&lt;=20,"0-19",
IF(E234&lt;=50,"20-49",
IF(E234&lt;=80,"50-79","80+")))</f>
        <v>50-79</v>
      </c>
      <c r="G234" s="93" t="s">
        <v>1011</v>
      </c>
      <c r="H234" s="93" t="s">
        <v>22</v>
      </c>
      <c r="I234" s="93" t="s">
        <v>1012</v>
      </c>
      <c r="J234" s="93" t="s">
        <v>2275</v>
      </c>
      <c r="K234" s="93" t="s">
        <v>190</v>
      </c>
      <c r="L234" s="93" t="s">
        <v>880</v>
      </c>
      <c r="M234" s="93">
        <v>4</v>
      </c>
      <c r="N234" s="94">
        <v>151582</v>
      </c>
      <c r="O234" s="82" t="s">
        <v>832</v>
      </c>
      <c r="P234" s="170"/>
      <c r="Q234" s="210"/>
    </row>
    <row r="235" spans="1:17" x14ac:dyDescent="0.2">
      <c r="A235" s="139" t="s">
        <v>208</v>
      </c>
      <c r="B235" s="82">
        <v>2503001</v>
      </c>
      <c r="C235" s="82">
        <v>64779</v>
      </c>
      <c r="D235" s="82" t="s">
        <v>1275</v>
      </c>
      <c r="E235" s="82">
        <v>65</v>
      </c>
      <c r="F235" s="82" t="str">
        <f>IF(E235&lt;=20,"0-19",
IF(E235&lt;=50,"20-49",
IF(E235&lt;=80,"50-79","80+")))</f>
        <v>50-79</v>
      </c>
      <c r="G235" s="82" t="s">
        <v>1276</v>
      </c>
      <c r="H235" s="82" t="s">
        <v>22</v>
      </c>
      <c r="I235" s="92" t="s">
        <v>1277</v>
      </c>
      <c r="J235" s="92" t="s">
        <v>2275</v>
      </c>
      <c r="K235" s="92" t="s">
        <v>919</v>
      </c>
      <c r="L235" s="92" t="s">
        <v>1241</v>
      </c>
      <c r="M235" s="82">
        <v>4</v>
      </c>
      <c r="N235" s="84">
        <v>279559</v>
      </c>
      <c r="O235" s="82" t="s">
        <v>832</v>
      </c>
      <c r="P235" s="171"/>
      <c r="Q235" s="210"/>
    </row>
    <row r="236" spans="1:17" x14ac:dyDescent="0.2">
      <c r="A236" s="104" t="s">
        <v>274</v>
      </c>
      <c r="B236" s="87">
        <v>2016153</v>
      </c>
      <c r="C236" s="87">
        <v>62948</v>
      </c>
      <c r="D236" s="87" t="s">
        <v>1654</v>
      </c>
      <c r="E236" s="87">
        <v>62</v>
      </c>
      <c r="F236" s="87" t="str">
        <f>IF(E236&lt;=20,"0-19",
IF(E236&lt;=50,"20-49",
IF(E236&lt;=80,"50-79","80+")))</f>
        <v>50-79</v>
      </c>
      <c r="G236" s="87" t="s">
        <v>1655</v>
      </c>
      <c r="H236" s="87" t="s">
        <v>664</v>
      </c>
      <c r="I236" s="86" t="s">
        <v>383</v>
      </c>
      <c r="J236" s="86" t="s">
        <v>2275</v>
      </c>
      <c r="K236" s="87" t="s">
        <v>1556</v>
      </c>
      <c r="L236" s="87" t="s">
        <v>1543</v>
      </c>
      <c r="M236" s="87">
        <v>4</v>
      </c>
      <c r="N236" s="161">
        <v>58968.12</v>
      </c>
      <c r="O236" s="161" t="s">
        <v>2254</v>
      </c>
      <c r="P236" s="168">
        <v>254720308687</v>
      </c>
      <c r="Q236" s="210"/>
    </row>
    <row r="237" spans="1:17" x14ac:dyDescent="0.2">
      <c r="A237" s="194" t="s">
        <v>380</v>
      </c>
      <c r="B237" s="199">
        <v>2002927</v>
      </c>
      <c r="C237" s="199">
        <v>16219</v>
      </c>
      <c r="D237" s="199" t="s">
        <v>381</v>
      </c>
      <c r="E237" s="199">
        <v>72</v>
      </c>
      <c r="F237" s="199" t="str">
        <f>IF(E237&lt;=20,"0-19",
IF(E237&lt;=50,"20-49",
IF(E237&lt;=80,"50-79","80+")))</f>
        <v>50-79</v>
      </c>
      <c r="G237" s="199" t="s">
        <v>382</v>
      </c>
      <c r="H237" s="199" t="s">
        <v>22</v>
      </c>
      <c r="I237" s="199" t="s">
        <v>383</v>
      </c>
      <c r="J237" s="199" t="s">
        <v>2275</v>
      </c>
      <c r="K237" s="199" t="s">
        <v>108</v>
      </c>
      <c r="L237" s="188" t="s">
        <v>190</v>
      </c>
      <c r="M237" s="86">
        <v>4</v>
      </c>
      <c r="N237" s="192">
        <v>180455</v>
      </c>
      <c r="O237" s="87" t="s">
        <v>18</v>
      </c>
      <c r="P237" s="171"/>
      <c r="Q237" s="210"/>
    </row>
    <row r="238" spans="1:17" ht="21" x14ac:dyDescent="0.2">
      <c r="A238" s="139" t="s">
        <v>142</v>
      </c>
      <c r="B238" s="113">
        <v>2407161</v>
      </c>
      <c r="C238" s="113">
        <v>104386</v>
      </c>
      <c r="D238" s="114" t="s">
        <v>344</v>
      </c>
      <c r="E238" s="113">
        <v>60</v>
      </c>
      <c r="F238" s="113" t="str">
        <f>IF(E238&lt;=20,"0-19",
IF(E238&lt;=50,"20-49",
IF(E238&lt;=80,"50-79","80+")))</f>
        <v>50-79</v>
      </c>
      <c r="G238" s="113" t="s">
        <v>345</v>
      </c>
      <c r="H238" s="113" t="s">
        <v>15</v>
      </c>
      <c r="I238" s="114" t="s">
        <v>346</v>
      </c>
      <c r="J238" s="114" t="s">
        <v>2275</v>
      </c>
      <c r="K238" s="114" t="s">
        <v>51</v>
      </c>
      <c r="L238" s="113" t="s">
        <v>37</v>
      </c>
      <c r="M238" s="114">
        <v>4</v>
      </c>
      <c r="N238" s="115">
        <v>187681.97</v>
      </c>
      <c r="O238" s="82" t="s">
        <v>18</v>
      </c>
      <c r="P238" s="170"/>
      <c r="Q238" s="210"/>
    </row>
    <row r="239" spans="1:17" x14ac:dyDescent="0.2">
      <c r="A239" s="104" t="s">
        <v>1690</v>
      </c>
      <c r="B239" s="86">
        <v>2407114</v>
      </c>
      <c r="C239" s="87">
        <v>67490</v>
      </c>
      <c r="D239" s="86" t="s">
        <v>1832</v>
      </c>
      <c r="E239" s="86">
        <v>58</v>
      </c>
      <c r="F239" s="86" t="str">
        <f>IF(E239&lt;=20,"0-19",
IF(E239&lt;=50,"20-49",
IF(E239&lt;=80,"50-79","80+")))</f>
        <v>50-79</v>
      </c>
      <c r="G239" s="86" t="s">
        <v>1833</v>
      </c>
      <c r="H239" s="86" t="s">
        <v>22</v>
      </c>
      <c r="I239" s="86" t="s">
        <v>2231</v>
      </c>
      <c r="J239" s="86" t="s">
        <v>2275</v>
      </c>
      <c r="K239" s="86" t="s">
        <v>1551</v>
      </c>
      <c r="L239" s="88" t="s">
        <v>1911</v>
      </c>
      <c r="M239" s="86">
        <v>4</v>
      </c>
      <c r="N239" s="164">
        <v>596571</v>
      </c>
      <c r="O239" s="164" t="s">
        <v>2254</v>
      </c>
      <c r="P239" s="168">
        <v>254759231438</v>
      </c>
      <c r="Q239" s="210"/>
    </row>
    <row r="240" spans="1:17" x14ac:dyDescent="0.2">
      <c r="A240" s="103" t="s">
        <v>146</v>
      </c>
      <c r="B240" s="82">
        <v>2021058</v>
      </c>
      <c r="C240" s="82">
        <v>58340</v>
      </c>
      <c r="D240" s="82" t="s">
        <v>2056</v>
      </c>
      <c r="E240" s="82">
        <v>60</v>
      </c>
      <c r="F240" s="82" t="str">
        <f>IF(E240&lt;=20,"0-19",
IF(E240&lt;=50,"20-49",
IF(E240&lt;=80,"50-79","80+")))</f>
        <v>50-79</v>
      </c>
      <c r="G240" s="82" t="s">
        <v>2057</v>
      </c>
      <c r="H240" s="82" t="s">
        <v>15</v>
      </c>
      <c r="I240" s="82" t="s">
        <v>2058</v>
      </c>
      <c r="J240" s="82" t="s">
        <v>2304</v>
      </c>
      <c r="K240" s="92" t="s">
        <v>1559</v>
      </c>
      <c r="L240" s="82" t="s">
        <v>1895</v>
      </c>
      <c r="M240" s="82">
        <v>4</v>
      </c>
      <c r="N240" s="151">
        <v>72744.02</v>
      </c>
      <c r="O240" s="151" t="s">
        <v>2254</v>
      </c>
      <c r="P240" s="152">
        <v>254790911593</v>
      </c>
      <c r="Q240" s="210"/>
    </row>
    <row r="241" spans="1:17" x14ac:dyDescent="0.2">
      <c r="A241" s="139" t="s">
        <v>19</v>
      </c>
      <c r="B241" s="113">
        <v>2008980</v>
      </c>
      <c r="C241" s="113">
        <v>59457</v>
      </c>
      <c r="D241" s="114" t="s">
        <v>313</v>
      </c>
      <c r="E241" s="113">
        <v>65</v>
      </c>
      <c r="F241" s="113" t="str">
        <f>IF(E241&lt;=20,"0-19",
IF(E241&lt;=50,"20-49",
IF(E241&lt;=80,"50-79","80+")))</f>
        <v>50-79</v>
      </c>
      <c r="G241" s="113" t="s">
        <v>314</v>
      </c>
      <c r="H241" s="113" t="s">
        <v>15</v>
      </c>
      <c r="I241" s="114" t="s">
        <v>315</v>
      </c>
      <c r="J241" s="114" t="s">
        <v>2304</v>
      </c>
      <c r="K241" s="114" t="s">
        <v>51</v>
      </c>
      <c r="L241" s="113" t="s">
        <v>37</v>
      </c>
      <c r="M241" s="114">
        <v>4</v>
      </c>
      <c r="N241" s="115">
        <v>108913</v>
      </c>
      <c r="O241" s="87" t="s">
        <v>18</v>
      </c>
      <c r="P241" s="171"/>
      <c r="Q241" s="210"/>
    </row>
    <row r="242" spans="1:17" x14ac:dyDescent="0.2">
      <c r="A242" s="186" t="s">
        <v>354</v>
      </c>
      <c r="B242" s="188">
        <v>2001273</v>
      </c>
      <c r="C242" s="188">
        <v>20535</v>
      </c>
      <c r="D242" s="188" t="s">
        <v>387</v>
      </c>
      <c r="E242" s="188">
        <v>80</v>
      </c>
      <c r="F242" s="188" t="str">
        <f>IF(E242&lt;=20,"0-19",
IF(E242&lt;=50,"20-49",
IF(E242&lt;=80,"50-79","80+")))</f>
        <v>50-79</v>
      </c>
      <c r="G242" s="188" t="s">
        <v>388</v>
      </c>
      <c r="H242" s="188" t="s">
        <v>22</v>
      </c>
      <c r="I242" s="188" t="s">
        <v>389</v>
      </c>
      <c r="J242" s="188" t="s">
        <v>2304</v>
      </c>
      <c r="K242" s="188" t="s">
        <v>108</v>
      </c>
      <c r="L242" s="188" t="s">
        <v>190</v>
      </c>
      <c r="M242" s="88">
        <v>4</v>
      </c>
      <c r="N242" s="204">
        <v>71187.899999999994</v>
      </c>
      <c r="O242" s="87" t="s">
        <v>18</v>
      </c>
      <c r="P242" s="171"/>
      <c r="Q242" s="210"/>
    </row>
    <row r="243" spans="1:17" x14ac:dyDescent="0.2">
      <c r="A243" s="103" t="s">
        <v>350</v>
      </c>
      <c r="B243" s="82">
        <v>2019013</v>
      </c>
      <c r="C243" s="82">
        <v>105870</v>
      </c>
      <c r="D243" s="82" t="s">
        <v>358</v>
      </c>
      <c r="E243" s="92">
        <v>49</v>
      </c>
      <c r="F243" s="92" t="str">
        <f>IF(E243&lt;=20,"0-19",
IF(E243&lt;=50,"20-49",
IF(E243&lt;=80,"50-79","80+")))</f>
        <v>20-49</v>
      </c>
      <c r="G243" s="82" t="s">
        <v>359</v>
      </c>
      <c r="H243" s="82" t="s">
        <v>15</v>
      </c>
      <c r="I243" s="82" t="s">
        <v>360</v>
      </c>
      <c r="J243" s="82" t="s">
        <v>2304</v>
      </c>
      <c r="K243" s="92" t="s">
        <v>30</v>
      </c>
      <c r="L243" s="92" t="s">
        <v>85</v>
      </c>
      <c r="M243" s="82">
        <v>4</v>
      </c>
      <c r="N243" s="101">
        <v>50173</v>
      </c>
      <c r="O243" s="82" t="s">
        <v>18</v>
      </c>
      <c r="P243" s="170"/>
      <c r="Q243" s="210"/>
    </row>
    <row r="244" spans="1:17" x14ac:dyDescent="0.2">
      <c r="A244" s="105" t="s">
        <v>72</v>
      </c>
      <c r="B244" s="82">
        <v>2407491</v>
      </c>
      <c r="C244" s="82">
        <v>58327</v>
      </c>
      <c r="D244" s="82" t="s">
        <v>370</v>
      </c>
      <c r="E244" s="92">
        <v>59</v>
      </c>
      <c r="F244" s="92" t="str">
        <f>IF(E244&lt;=20,"0-19",
IF(E244&lt;=50,"20-49",
IF(E244&lt;=80,"50-79","80+")))</f>
        <v>50-79</v>
      </c>
      <c r="G244" s="82" t="s">
        <v>371</v>
      </c>
      <c r="H244" s="82" t="s">
        <v>15</v>
      </c>
      <c r="I244" s="82" t="s">
        <v>372</v>
      </c>
      <c r="J244" s="82" t="s">
        <v>2328</v>
      </c>
      <c r="K244" s="92" t="s">
        <v>67</v>
      </c>
      <c r="L244" s="92" t="s">
        <v>108</v>
      </c>
      <c r="M244" s="82">
        <v>4</v>
      </c>
      <c r="N244" s="101">
        <v>149582.6</v>
      </c>
      <c r="O244" s="82" t="s">
        <v>18</v>
      </c>
      <c r="P244" s="170"/>
      <c r="Q244" s="210"/>
    </row>
    <row r="245" spans="1:17" x14ac:dyDescent="0.2">
      <c r="A245" s="139" t="s">
        <v>856</v>
      </c>
      <c r="B245" s="82">
        <v>2002605</v>
      </c>
      <c r="C245" s="82">
        <v>11287</v>
      </c>
      <c r="D245" s="82" t="s">
        <v>1340</v>
      </c>
      <c r="E245" s="82">
        <v>67</v>
      </c>
      <c r="F245" s="82" t="str">
        <f>IF(E245&lt;=20,"0-19",
IF(E245&lt;=50,"20-49",
IF(E245&lt;=80,"50-79","80+")))</f>
        <v>50-79</v>
      </c>
      <c r="G245" s="82" t="s">
        <v>1293</v>
      </c>
      <c r="H245" s="82" t="s">
        <v>22</v>
      </c>
      <c r="I245" s="82" t="s">
        <v>1341</v>
      </c>
      <c r="J245" s="82" t="s">
        <v>2328</v>
      </c>
      <c r="K245" s="82" t="s">
        <v>909</v>
      </c>
      <c r="L245" s="82" t="s">
        <v>1236</v>
      </c>
      <c r="M245" s="82">
        <v>4</v>
      </c>
      <c r="N245" s="84">
        <v>419329.62</v>
      </c>
      <c r="O245" s="82" t="s">
        <v>832</v>
      </c>
      <c r="P245" s="170"/>
      <c r="Q245" s="210"/>
    </row>
    <row r="246" spans="1:17" x14ac:dyDescent="0.2">
      <c r="A246" s="139" t="s">
        <v>68</v>
      </c>
      <c r="B246" s="113">
        <v>2011133</v>
      </c>
      <c r="C246" s="113">
        <v>12331</v>
      </c>
      <c r="D246" s="114" t="s">
        <v>347</v>
      </c>
      <c r="E246" s="113">
        <v>68</v>
      </c>
      <c r="F246" s="113" t="str">
        <f>IF(E246&lt;=20,"0-19",
IF(E246&lt;=50,"20-49",
IF(E246&lt;=80,"50-79","80+")))</f>
        <v>50-79</v>
      </c>
      <c r="G246" s="113" t="s">
        <v>348</v>
      </c>
      <c r="H246" s="113" t="s">
        <v>15</v>
      </c>
      <c r="I246" s="114" t="s">
        <v>349</v>
      </c>
      <c r="J246" s="114" t="s">
        <v>2328</v>
      </c>
      <c r="K246" s="114" t="s">
        <v>57</v>
      </c>
      <c r="L246" s="113" t="s">
        <v>36</v>
      </c>
      <c r="M246" s="114">
        <v>4</v>
      </c>
      <c r="N246" s="115">
        <v>568737</v>
      </c>
      <c r="O246" s="87" t="s">
        <v>18</v>
      </c>
      <c r="P246" s="171"/>
      <c r="Q246" s="210"/>
    </row>
    <row r="247" spans="1:17" ht="21" x14ac:dyDescent="0.2">
      <c r="A247" s="139" t="s">
        <v>1399</v>
      </c>
      <c r="B247" s="92">
        <v>2508065</v>
      </c>
      <c r="C247" s="82">
        <v>33978</v>
      </c>
      <c r="D247" s="92" t="s">
        <v>1400</v>
      </c>
      <c r="E247" s="92">
        <v>61</v>
      </c>
      <c r="F247" s="92" t="str">
        <f>IF(E247&lt;=20,"0-19",
IF(E247&lt;=50,"20-49",
IF(E247&lt;=80,"50-79","80+")))</f>
        <v>50-79</v>
      </c>
      <c r="G247" s="92" t="s">
        <v>1401</v>
      </c>
      <c r="H247" s="92" t="s">
        <v>22</v>
      </c>
      <c r="I247" s="92" t="s">
        <v>1402</v>
      </c>
      <c r="J247" s="92" t="s">
        <v>2288</v>
      </c>
      <c r="K247" s="92" t="s">
        <v>1288</v>
      </c>
      <c r="L247" s="93" t="s">
        <v>1232</v>
      </c>
      <c r="M247" s="93">
        <v>4</v>
      </c>
      <c r="N247" s="94">
        <v>89510</v>
      </c>
      <c r="O247" s="82" t="s">
        <v>832</v>
      </c>
      <c r="P247" s="171"/>
      <c r="Q247" s="210"/>
    </row>
    <row r="248" spans="1:17" x14ac:dyDescent="0.2">
      <c r="A248" s="139" t="s">
        <v>340</v>
      </c>
      <c r="B248" s="82">
        <v>2003427</v>
      </c>
      <c r="C248" s="82">
        <v>9108</v>
      </c>
      <c r="D248" s="82" t="s">
        <v>341</v>
      </c>
      <c r="E248" s="82">
        <v>67</v>
      </c>
      <c r="F248" s="82" t="str">
        <f>IF(E248&lt;=20,"0-19",
IF(E248&lt;=50,"20-49",
IF(E248&lt;=80,"50-79","80+")))</f>
        <v>50-79</v>
      </c>
      <c r="G248" s="82" t="s">
        <v>342</v>
      </c>
      <c r="H248" s="82" t="s">
        <v>22</v>
      </c>
      <c r="I248" s="92" t="s">
        <v>995</v>
      </c>
      <c r="J248" s="92" t="s">
        <v>2288</v>
      </c>
      <c r="K248" s="92" t="s">
        <v>193</v>
      </c>
      <c r="L248" s="82" t="s">
        <v>834</v>
      </c>
      <c r="M248" s="82">
        <v>4</v>
      </c>
      <c r="N248" s="84">
        <v>65236</v>
      </c>
      <c r="O248" s="82" t="s">
        <v>832</v>
      </c>
      <c r="P248" s="171"/>
      <c r="Q248" s="210"/>
    </row>
    <row r="249" spans="1:17" ht="21" x14ac:dyDescent="0.2">
      <c r="A249" s="106" t="s">
        <v>221</v>
      </c>
      <c r="B249" s="88">
        <v>2020117</v>
      </c>
      <c r="C249" s="88">
        <v>7872</v>
      </c>
      <c r="D249" s="88" t="s">
        <v>326</v>
      </c>
      <c r="E249" s="88">
        <v>60</v>
      </c>
      <c r="F249" s="88" t="str">
        <f>IF(E249&lt;=20,"0-19",
IF(E249&lt;=50,"20-49",
IF(E249&lt;=80,"50-79","80+")))</f>
        <v>50-79</v>
      </c>
      <c r="G249" s="88" t="s">
        <v>327</v>
      </c>
      <c r="H249" s="88" t="s">
        <v>15</v>
      </c>
      <c r="I249" s="88" t="s">
        <v>328</v>
      </c>
      <c r="J249" s="92" t="s">
        <v>2288</v>
      </c>
      <c r="K249" s="88" t="s">
        <v>79</v>
      </c>
      <c r="L249" s="88" t="s">
        <v>99</v>
      </c>
      <c r="M249" s="88">
        <v>4</v>
      </c>
      <c r="N249" s="90">
        <v>97505.07</v>
      </c>
      <c r="O249" s="87" t="s">
        <v>18</v>
      </c>
      <c r="P249" s="171"/>
      <c r="Q249" s="210"/>
    </row>
    <row r="250" spans="1:17" x14ac:dyDescent="0.2">
      <c r="A250" s="139" t="s">
        <v>562</v>
      </c>
      <c r="B250" s="82">
        <v>2008670</v>
      </c>
      <c r="C250" s="82">
        <v>77163</v>
      </c>
      <c r="D250" s="82" t="s">
        <v>1368</v>
      </c>
      <c r="E250" s="82">
        <v>17</v>
      </c>
      <c r="F250" s="82" t="str">
        <f>IF(E250&lt;=20,"0-19",
IF(E250&lt;=50,"20-49",
IF(E250&lt;=80,"50-79","80+")))</f>
        <v>0-19</v>
      </c>
      <c r="G250" s="82" t="s">
        <v>1369</v>
      </c>
      <c r="H250" s="82" t="s">
        <v>132</v>
      </c>
      <c r="I250" s="82" t="s">
        <v>1370</v>
      </c>
      <c r="J250" s="82" t="s">
        <v>2288</v>
      </c>
      <c r="K250" s="82" t="s">
        <v>1241</v>
      </c>
      <c r="L250" s="82" t="s">
        <v>1231</v>
      </c>
      <c r="M250" s="82">
        <v>4</v>
      </c>
      <c r="N250" s="84">
        <v>143756.5</v>
      </c>
      <c r="O250" s="82" t="s">
        <v>832</v>
      </c>
      <c r="P250" s="170"/>
      <c r="Q250" s="210"/>
    </row>
    <row r="251" spans="1:17" x14ac:dyDescent="0.2">
      <c r="A251" s="103" t="s">
        <v>337</v>
      </c>
      <c r="B251" s="82">
        <v>2009883</v>
      </c>
      <c r="C251" s="82">
        <v>7601</v>
      </c>
      <c r="D251" s="82" t="s">
        <v>338</v>
      </c>
      <c r="E251" s="82">
        <v>69</v>
      </c>
      <c r="F251" s="82" t="str">
        <f>IF(E251&lt;=20,"0-19",
IF(E251&lt;=50,"20-49",
IF(E251&lt;=80,"50-79","80+")))</f>
        <v>50-79</v>
      </c>
      <c r="G251" s="82" t="s">
        <v>60</v>
      </c>
      <c r="H251" s="82" t="s">
        <v>22</v>
      </c>
      <c r="I251" s="82" t="s">
        <v>339</v>
      </c>
      <c r="J251" s="82" t="s">
        <v>2288</v>
      </c>
      <c r="K251" s="82" t="s">
        <v>66</v>
      </c>
      <c r="L251" s="82" t="s">
        <v>31</v>
      </c>
      <c r="M251" s="82">
        <v>4</v>
      </c>
      <c r="N251" s="84">
        <v>178761</v>
      </c>
      <c r="O251" s="82" t="s">
        <v>18</v>
      </c>
      <c r="P251" s="170"/>
      <c r="Q251" s="210"/>
    </row>
    <row r="252" spans="1:17" x14ac:dyDescent="0.2">
      <c r="A252" s="139" t="s">
        <v>1020</v>
      </c>
      <c r="B252" s="82">
        <v>2602004</v>
      </c>
      <c r="C252" s="82">
        <v>62092</v>
      </c>
      <c r="D252" s="82" t="s">
        <v>1021</v>
      </c>
      <c r="E252" s="82">
        <v>59</v>
      </c>
      <c r="F252" s="82" t="str">
        <f>IF(E252&lt;=20,"0-19",
IF(E252&lt;=50,"20-49",
IF(E252&lt;=80,"50-79","80+")))</f>
        <v>50-79</v>
      </c>
      <c r="G252" s="82" t="s">
        <v>1022</v>
      </c>
      <c r="H252" s="82" t="s">
        <v>22</v>
      </c>
      <c r="I252" s="92" t="s">
        <v>1023</v>
      </c>
      <c r="J252" s="92" t="s">
        <v>2288</v>
      </c>
      <c r="K252" s="92" t="s">
        <v>834</v>
      </c>
      <c r="L252" s="82" t="s">
        <v>846</v>
      </c>
      <c r="M252" s="82">
        <v>4</v>
      </c>
      <c r="N252" s="84">
        <v>114734</v>
      </c>
      <c r="O252" s="82" t="s">
        <v>832</v>
      </c>
      <c r="P252" s="170"/>
      <c r="Q252" s="210"/>
    </row>
    <row r="253" spans="1:17" x14ac:dyDescent="0.2">
      <c r="A253" s="108" t="s">
        <v>340</v>
      </c>
      <c r="B253" s="87">
        <v>2003427</v>
      </c>
      <c r="C253" s="87">
        <v>9108</v>
      </c>
      <c r="D253" s="87" t="s">
        <v>341</v>
      </c>
      <c r="E253" s="86">
        <v>68</v>
      </c>
      <c r="F253" s="86" t="str">
        <f>IF(E253&lt;=20,"0-19",
IF(E253&lt;=50,"20-49",
IF(E253&lt;=80,"50-79","80+")))</f>
        <v>50-79</v>
      </c>
      <c r="G253" s="87" t="s">
        <v>342</v>
      </c>
      <c r="H253" s="87" t="s">
        <v>22</v>
      </c>
      <c r="I253" s="87" t="s">
        <v>343</v>
      </c>
      <c r="J253" s="87" t="s">
        <v>2288</v>
      </c>
      <c r="K253" s="86" t="s">
        <v>67</v>
      </c>
      <c r="L253" s="86" t="s">
        <v>108</v>
      </c>
      <c r="M253" s="87">
        <v>4</v>
      </c>
      <c r="N253" s="97">
        <v>62800</v>
      </c>
      <c r="O253" s="87" t="s">
        <v>18</v>
      </c>
      <c r="P253" s="171"/>
      <c r="Q253" s="210"/>
    </row>
    <row r="254" spans="1:17" x14ac:dyDescent="0.2">
      <c r="A254" s="103" t="s">
        <v>350</v>
      </c>
      <c r="B254" s="82">
        <v>2003346</v>
      </c>
      <c r="C254" s="82">
        <v>11127</v>
      </c>
      <c r="D254" s="82" t="s">
        <v>351</v>
      </c>
      <c r="E254" s="92">
        <v>68</v>
      </c>
      <c r="F254" s="92" t="str">
        <f>IF(E254&lt;=20,"0-19",
IF(E254&lt;=50,"20-49",
IF(E254&lt;=80,"50-79","80+")))</f>
        <v>50-79</v>
      </c>
      <c r="G254" s="82" t="s">
        <v>352</v>
      </c>
      <c r="H254" s="82" t="s">
        <v>22</v>
      </c>
      <c r="I254" s="82" t="s">
        <v>353</v>
      </c>
      <c r="J254" s="82" t="s">
        <v>2288</v>
      </c>
      <c r="K254" s="92" t="s">
        <v>36</v>
      </c>
      <c r="L254" s="92" t="s">
        <v>79</v>
      </c>
      <c r="M254" s="82">
        <v>4</v>
      </c>
      <c r="N254" s="101">
        <v>201643</v>
      </c>
      <c r="O254" s="82" t="s">
        <v>18</v>
      </c>
      <c r="P254" s="170"/>
      <c r="Q254" s="210"/>
    </row>
    <row r="255" spans="1:17" x14ac:dyDescent="0.2">
      <c r="A255" s="104" t="s">
        <v>1684</v>
      </c>
      <c r="B255" s="87">
        <v>2004863</v>
      </c>
      <c r="C255" s="87">
        <v>104510</v>
      </c>
      <c r="D255" s="87" t="s">
        <v>1685</v>
      </c>
      <c r="E255" s="87">
        <v>40</v>
      </c>
      <c r="F255" s="87" t="str">
        <f>IF(E255&lt;=20,"0-19",
IF(E255&lt;=50,"20-49",
IF(E255&lt;=80,"50-79","80+")))</f>
        <v>20-49</v>
      </c>
      <c r="G255" s="87" t="s">
        <v>1686</v>
      </c>
      <c r="H255" s="87" t="s">
        <v>706</v>
      </c>
      <c r="I255" s="86" t="s">
        <v>1687</v>
      </c>
      <c r="J255" s="86" t="s">
        <v>2288</v>
      </c>
      <c r="K255" s="87" t="s">
        <v>1610</v>
      </c>
      <c r="L255" s="87" t="s">
        <v>1543</v>
      </c>
      <c r="M255" s="87">
        <v>4</v>
      </c>
      <c r="N255" s="161">
        <v>73167.5</v>
      </c>
      <c r="O255" s="161" t="s">
        <v>2254</v>
      </c>
      <c r="P255" s="168">
        <v>254722720356</v>
      </c>
      <c r="Q255" s="210"/>
    </row>
    <row r="256" spans="1:17" x14ac:dyDescent="0.2">
      <c r="A256" s="139" t="s">
        <v>373</v>
      </c>
      <c r="B256" s="87">
        <v>2007704</v>
      </c>
      <c r="C256" s="87">
        <v>100569</v>
      </c>
      <c r="D256" s="87" t="s">
        <v>374</v>
      </c>
      <c r="E256" s="86">
        <v>64</v>
      </c>
      <c r="F256" s="86" t="str">
        <f>IF(E256&lt;=20,"0-19",
IF(E256&lt;=50,"20-49",
IF(E256&lt;=80,"50-79","80+")))</f>
        <v>50-79</v>
      </c>
      <c r="G256" s="87" t="s">
        <v>375</v>
      </c>
      <c r="H256" s="87" t="s">
        <v>22</v>
      </c>
      <c r="I256" s="87" t="s">
        <v>376</v>
      </c>
      <c r="J256" s="87" t="s">
        <v>2288</v>
      </c>
      <c r="K256" s="86" t="s">
        <v>36</v>
      </c>
      <c r="L256" s="86" t="s">
        <v>141</v>
      </c>
      <c r="M256" s="87">
        <v>4</v>
      </c>
      <c r="N256" s="97">
        <v>384200</v>
      </c>
      <c r="O256" s="87" t="s">
        <v>18</v>
      </c>
      <c r="P256" s="171"/>
      <c r="Q256" s="210"/>
    </row>
    <row r="257" spans="1:17" x14ac:dyDescent="0.2">
      <c r="A257" s="139" t="s">
        <v>1482</v>
      </c>
      <c r="B257" s="82">
        <v>2017426</v>
      </c>
      <c r="C257" s="82">
        <v>103194</v>
      </c>
      <c r="D257" s="82" t="s">
        <v>1003</v>
      </c>
      <c r="E257" s="82">
        <v>57</v>
      </c>
      <c r="F257" s="82" t="str">
        <f>IF(E257&lt;=20,"0-19",
IF(E257&lt;=50,"20-49",
IF(E257&lt;=80,"50-79","80+")))</f>
        <v>50-79</v>
      </c>
      <c r="G257" s="82" t="s">
        <v>1004</v>
      </c>
      <c r="H257" s="82" t="s">
        <v>15</v>
      </c>
      <c r="I257" s="92" t="s">
        <v>1005</v>
      </c>
      <c r="J257" s="92" t="s">
        <v>2288</v>
      </c>
      <c r="K257" s="92" t="s">
        <v>834</v>
      </c>
      <c r="L257" s="82" t="s">
        <v>846</v>
      </c>
      <c r="M257" s="82">
        <v>4</v>
      </c>
      <c r="N257" s="84">
        <v>154345.79</v>
      </c>
      <c r="O257" s="82" t="s">
        <v>832</v>
      </c>
      <c r="P257" s="170"/>
      <c r="Q257" s="210"/>
    </row>
    <row r="258" spans="1:17" x14ac:dyDescent="0.2">
      <c r="A258" s="139" t="s">
        <v>1237</v>
      </c>
      <c r="B258" s="82">
        <v>2406083</v>
      </c>
      <c r="C258" s="82">
        <v>54863</v>
      </c>
      <c r="D258" s="82" t="s">
        <v>1009</v>
      </c>
      <c r="E258" s="82">
        <v>63</v>
      </c>
      <c r="F258" s="82" t="str">
        <f>IF(E258&lt;=20,"0-19",
IF(E258&lt;=50,"20-49",
IF(E258&lt;=80,"50-79","80+")))</f>
        <v>50-79</v>
      </c>
      <c r="G258" s="82" t="s">
        <v>1010</v>
      </c>
      <c r="H258" s="82" t="s">
        <v>22</v>
      </c>
      <c r="I258" s="92" t="s">
        <v>227</v>
      </c>
      <c r="J258" s="92" t="s">
        <v>2295</v>
      </c>
      <c r="K258" s="92" t="s">
        <v>880</v>
      </c>
      <c r="L258" s="82" t="s">
        <v>896</v>
      </c>
      <c r="M258" s="82">
        <v>4</v>
      </c>
      <c r="N258" s="84">
        <v>321578</v>
      </c>
      <c r="O258" s="82" t="s">
        <v>832</v>
      </c>
      <c r="P258" s="170"/>
      <c r="Q258" s="210"/>
    </row>
    <row r="259" spans="1:17" x14ac:dyDescent="0.2">
      <c r="A259" s="139" t="s">
        <v>19</v>
      </c>
      <c r="B259" s="82">
        <v>2010997</v>
      </c>
      <c r="C259" s="82">
        <v>13144</v>
      </c>
      <c r="D259" s="82" t="s">
        <v>998</v>
      </c>
      <c r="E259" s="82">
        <v>73</v>
      </c>
      <c r="F259" s="82" t="str">
        <f>IF(E259&lt;=20,"0-19",
IF(E259&lt;=50,"20-49",
IF(E259&lt;=80,"50-79","80+")))</f>
        <v>50-79</v>
      </c>
      <c r="G259" s="82" t="s">
        <v>60</v>
      </c>
      <c r="H259" s="82" t="s">
        <v>22</v>
      </c>
      <c r="I259" s="82" t="s">
        <v>379</v>
      </c>
      <c r="J259" s="82" t="s">
        <v>2295</v>
      </c>
      <c r="K259" s="92" t="s">
        <v>901</v>
      </c>
      <c r="L259" s="92" t="s">
        <v>860</v>
      </c>
      <c r="M259" s="82">
        <v>4</v>
      </c>
      <c r="N259" s="84">
        <v>366866.1</v>
      </c>
      <c r="O259" s="82" t="s">
        <v>832</v>
      </c>
      <c r="P259" s="171"/>
      <c r="Q259" s="210"/>
    </row>
    <row r="260" spans="1:17" x14ac:dyDescent="0.2">
      <c r="A260" s="187" t="s">
        <v>377</v>
      </c>
      <c r="B260" s="189">
        <v>2019239</v>
      </c>
      <c r="C260" s="189">
        <v>16425</v>
      </c>
      <c r="D260" s="189" t="s">
        <v>378</v>
      </c>
      <c r="E260" s="189">
        <v>63</v>
      </c>
      <c r="F260" s="189" t="str">
        <f>IF(E260&lt;=20,"0-19",
IF(E260&lt;=50,"20-49",
IF(E260&lt;=80,"50-79","80+")))</f>
        <v>50-79</v>
      </c>
      <c r="G260" s="189" t="s">
        <v>60</v>
      </c>
      <c r="H260" s="189" t="s">
        <v>22</v>
      </c>
      <c r="I260" s="189" t="s">
        <v>379</v>
      </c>
      <c r="J260" s="189" t="s">
        <v>2295</v>
      </c>
      <c r="K260" s="189" t="s">
        <v>31</v>
      </c>
      <c r="L260" s="189" t="s">
        <v>289</v>
      </c>
      <c r="M260" s="92">
        <v>4</v>
      </c>
      <c r="N260" s="205">
        <v>337550</v>
      </c>
      <c r="O260" s="82" t="s">
        <v>18</v>
      </c>
      <c r="P260" s="170"/>
      <c r="Q260" s="210"/>
    </row>
    <row r="261" spans="1:17" x14ac:dyDescent="0.2">
      <c r="A261" s="104" t="s">
        <v>1700</v>
      </c>
      <c r="B261" s="87">
        <v>2006695</v>
      </c>
      <c r="C261" s="87">
        <v>100802</v>
      </c>
      <c r="D261" s="87" t="s">
        <v>1732</v>
      </c>
      <c r="E261" s="87">
        <v>66</v>
      </c>
      <c r="F261" s="87" t="str">
        <f>IF(E261&lt;=20,"0-19",
IF(E261&lt;=50,"20-49",
IF(E261&lt;=80,"50-79","80+")))</f>
        <v>50-79</v>
      </c>
      <c r="G261" s="87" t="s">
        <v>1733</v>
      </c>
      <c r="H261" s="87" t="s">
        <v>22</v>
      </c>
      <c r="I261" s="86" t="s">
        <v>1734</v>
      </c>
      <c r="J261" s="86" t="s">
        <v>2295</v>
      </c>
      <c r="K261" s="87" t="s">
        <v>1562</v>
      </c>
      <c r="L261" s="87" t="s">
        <v>1556</v>
      </c>
      <c r="M261" s="87">
        <v>4</v>
      </c>
      <c r="N261" s="161">
        <v>111522</v>
      </c>
      <c r="O261" s="161" t="s">
        <v>2254</v>
      </c>
      <c r="P261" s="168">
        <v>254727502382</v>
      </c>
      <c r="Q261" s="210"/>
    </row>
    <row r="262" spans="1:17" x14ac:dyDescent="0.2">
      <c r="A262" s="104" t="s">
        <v>72</v>
      </c>
      <c r="B262" s="87">
        <v>2017014</v>
      </c>
      <c r="C262" s="87">
        <v>59161</v>
      </c>
      <c r="D262" s="87" t="s">
        <v>1835</v>
      </c>
      <c r="E262" s="87">
        <v>61</v>
      </c>
      <c r="F262" s="87" t="str">
        <f>IF(E262&lt;=20,"0-19",
IF(E262&lt;=50,"20-49",
IF(E262&lt;=80,"50-79","80+")))</f>
        <v>50-79</v>
      </c>
      <c r="G262" s="87" t="s">
        <v>1836</v>
      </c>
      <c r="H262" s="87" t="s">
        <v>22</v>
      </c>
      <c r="I262" s="86" t="s">
        <v>1837</v>
      </c>
      <c r="J262" s="86" t="s">
        <v>2295</v>
      </c>
      <c r="K262" s="87" t="s">
        <v>1546</v>
      </c>
      <c r="L262" s="87" t="s">
        <v>1572</v>
      </c>
      <c r="M262" s="87">
        <v>4</v>
      </c>
      <c r="N262" s="161">
        <v>363704.8</v>
      </c>
      <c r="O262" s="161" t="s">
        <v>2254</v>
      </c>
      <c r="P262" s="168">
        <v>254722680420</v>
      </c>
      <c r="Q262" s="210"/>
    </row>
    <row r="263" spans="1:17" x14ac:dyDescent="0.2">
      <c r="A263" s="105" t="s">
        <v>1690</v>
      </c>
      <c r="B263" s="82">
        <v>2001355</v>
      </c>
      <c r="C263" s="82">
        <v>4799</v>
      </c>
      <c r="D263" s="82" t="s">
        <v>2160</v>
      </c>
      <c r="E263" s="82">
        <v>78</v>
      </c>
      <c r="F263" s="82" t="str">
        <f>IF(E263&lt;=20,"0-19",
IF(E263&lt;=50,"20-49",
IF(E263&lt;=80,"50-79","80+")))</f>
        <v>50-79</v>
      </c>
      <c r="G263" s="82" t="s">
        <v>2161</v>
      </c>
      <c r="H263" s="82" t="s">
        <v>22</v>
      </c>
      <c r="I263" s="82" t="s">
        <v>2162</v>
      </c>
      <c r="J263" s="82" t="s">
        <v>2295</v>
      </c>
      <c r="K263" s="92" t="s">
        <v>1923</v>
      </c>
      <c r="L263" s="82" t="s">
        <v>1921</v>
      </c>
      <c r="M263" s="82">
        <v>4</v>
      </c>
      <c r="N263" s="151">
        <v>173509</v>
      </c>
      <c r="O263" s="151" t="s">
        <v>2254</v>
      </c>
      <c r="P263" s="152">
        <v>254722301464</v>
      </c>
      <c r="Q263" s="210"/>
    </row>
    <row r="264" spans="1:17" x14ac:dyDescent="0.2">
      <c r="A264" s="139" t="s">
        <v>38</v>
      </c>
      <c r="B264" s="87">
        <v>2012328</v>
      </c>
      <c r="C264" s="87">
        <v>101557</v>
      </c>
      <c r="D264" s="87" t="s">
        <v>334</v>
      </c>
      <c r="E264" s="86">
        <v>67</v>
      </c>
      <c r="F264" s="86" t="str">
        <f>IF(E264&lt;=20,"0-19",
IF(E264&lt;=50,"20-49",
IF(E264&lt;=80,"50-79","80+")))</f>
        <v>50-79</v>
      </c>
      <c r="G264" s="87" t="s">
        <v>335</v>
      </c>
      <c r="H264" s="87" t="s">
        <v>22</v>
      </c>
      <c r="I264" s="87" t="s">
        <v>336</v>
      </c>
      <c r="J264" s="87" t="s">
        <v>2295</v>
      </c>
      <c r="K264" s="86" t="s">
        <v>36</v>
      </c>
      <c r="L264" s="86" t="s">
        <v>79</v>
      </c>
      <c r="M264" s="87">
        <v>4</v>
      </c>
      <c r="N264" s="97">
        <v>173896</v>
      </c>
      <c r="O264" s="87" t="s">
        <v>18</v>
      </c>
      <c r="P264" s="171"/>
      <c r="Q264" s="210"/>
    </row>
    <row r="265" spans="1:17" x14ac:dyDescent="0.2">
      <c r="A265" s="139" t="s">
        <v>687</v>
      </c>
      <c r="B265" s="82">
        <v>2001404</v>
      </c>
      <c r="C265" s="82">
        <v>37163</v>
      </c>
      <c r="D265" s="82" t="s">
        <v>688</v>
      </c>
      <c r="E265" s="82">
        <v>63</v>
      </c>
      <c r="F265" s="82" t="str">
        <f>IF(E265&lt;=20,"0-19",
IF(E265&lt;=50,"20-49",
IF(E265&lt;=80,"50-79","80+")))</f>
        <v>50-79</v>
      </c>
      <c r="G265" s="82" t="s">
        <v>1462</v>
      </c>
      <c r="H265" s="82" t="s">
        <v>22</v>
      </c>
      <c r="I265" s="82" t="s">
        <v>1463</v>
      </c>
      <c r="J265" s="82" t="s">
        <v>2295</v>
      </c>
      <c r="K265" s="82" t="s">
        <v>1464</v>
      </c>
      <c r="L265" s="82" t="s">
        <v>1288</v>
      </c>
      <c r="M265" s="82">
        <v>4</v>
      </c>
      <c r="N265" s="84">
        <v>184739</v>
      </c>
      <c r="O265" s="82" t="s">
        <v>832</v>
      </c>
      <c r="P265" s="170"/>
      <c r="Q265" s="210"/>
    </row>
    <row r="266" spans="1:17" ht="31.5" x14ac:dyDescent="0.2">
      <c r="A266" s="139" t="s">
        <v>1503</v>
      </c>
      <c r="B266" s="82">
        <v>2020636</v>
      </c>
      <c r="C266" s="82">
        <v>18572</v>
      </c>
      <c r="D266" s="82" t="s">
        <v>968</v>
      </c>
      <c r="E266" s="82">
        <v>63</v>
      </c>
      <c r="F266" s="82" t="str">
        <f>IF(E266&lt;=20,"0-19",
IF(E266&lt;=50,"20-49",
IF(E266&lt;=80,"50-79","80+")))</f>
        <v>50-79</v>
      </c>
      <c r="G266" s="82" t="s">
        <v>969</v>
      </c>
      <c r="H266" s="82" t="s">
        <v>22</v>
      </c>
      <c r="I266" s="92" t="s">
        <v>1517</v>
      </c>
      <c r="J266" s="92" t="s">
        <v>2295</v>
      </c>
      <c r="K266" s="92" t="s">
        <v>1518</v>
      </c>
      <c r="L266" s="92" t="s">
        <v>851</v>
      </c>
      <c r="M266" s="82">
        <v>4</v>
      </c>
      <c r="N266" s="84">
        <v>127240</v>
      </c>
      <c r="O266" s="82" t="s">
        <v>832</v>
      </c>
      <c r="P266" s="171"/>
      <c r="Q266" s="210"/>
    </row>
    <row r="267" spans="1:17" ht="21" x14ac:dyDescent="0.2">
      <c r="A267" s="107" t="s">
        <v>329</v>
      </c>
      <c r="B267" s="93">
        <v>2002219</v>
      </c>
      <c r="C267" s="82">
        <v>13196</v>
      </c>
      <c r="D267" s="93" t="s">
        <v>330</v>
      </c>
      <c r="E267" s="93">
        <v>70</v>
      </c>
      <c r="F267" s="93" t="str">
        <f>IF(E267&lt;=20,"0-19",
IF(E267&lt;=50,"20-49",
IF(E267&lt;=80,"50-79","80+")))</f>
        <v>50-79</v>
      </c>
      <c r="G267" s="93" t="s">
        <v>331</v>
      </c>
      <c r="H267" s="93" t="s">
        <v>22</v>
      </c>
      <c r="I267" s="93" t="s">
        <v>332</v>
      </c>
      <c r="J267" s="93" t="s">
        <v>2295</v>
      </c>
      <c r="K267" s="93" t="s">
        <v>333</v>
      </c>
      <c r="L267" s="93" t="s">
        <v>78</v>
      </c>
      <c r="M267" s="93">
        <v>4</v>
      </c>
      <c r="N267" s="94">
        <v>42420</v>
      </c>
      <c r="O267" s="82" t="s">
        <v>18</v>
      </c>
      <c r="P267" s="170"/>
      <c r="Q267" s="210"/>
    </row>
    <row r="268" spans="1:17" x14ac:dyDescent="0.2">
      <c r="A268" s="139" t="s">
        <v>208</v>
      </c>
      <c r="B268" s="82">
        <v>2012013</v>
      </c>
      <c r="C268" s="82">
        <v>106164</v>
      </c>
      <c r="D268" s="82" t="s">
        <v>323</v>
      </c>
      <c r="E268" s="92">
        <v>51</v>
      </c>
      <c r="F268" s="92" t="str">
        <f>IF(E268&lt;=20,"0-19",
IF(E268&lt;=50,"20-49",
IF(E268&lt;=80,"50-79","80+")))</f>
        <v>50-79</v>
      </c>
      <c r="G268" s="82" t="s">
        <v>324</v>
      </c>
      <c r="H268" s="82" t="s">
        <v>15</v>
      </c>
      <c r="I268" s="82" t="s">
        <v>325</v>
      </c>
      <c r="J268" s="82" t="s">
        <v>2295</v>
      </c>
      <c r="K268" s="92" t="s">
        <v>94</v>
      </c>
      <c r="L268" s="92" t="s">
        <v>67</v>
      </c>
      <c r="M268" s="82">
        <v>4</v>
      </c>
      <c r="N268" s="101">
        <v>248160</v>
      </c>
      <c r="O268" s="82" t="s">
        <v>18</v>
      </c>
      <c r="P268" s="170"/>
      <c r="Q268" s="210"/>
    </row>
    <row r="269" spans="1:17" x14ac:dyDescent="0.2">
      <c r="A269" s="139" t="s">
        <v>19</v>
      </c>
      <c r="B269" s="82">
        <v>2020673</v>
      </c>
      <c r="C269" s="82">
        <v>19381</v>
      </c>
      <c r="D269" s="82" t="s">
        <v>316</v>
      </c>
      <c r="E269" s="92">
        <v>54</v>
      </c>
      <c r="F269" s="92" t="str">
        <f>IF(E269&lt;=20,"0-19",
IF(E269&lt;=50,"20-49",
IF(E269&lt;=80,"50-79","80+")))</f>
        <v>50-79</v>
      </c>
      <c r="G269" s="82" t="s">
        <v>317</v>
      </c>
      <c r="H269" s="82" t="s">
        <v>15</v>
      </c>
      <c r="I269" s="82" t="s">
        <v>318</v>
      </c>
      <c r="J269" s="114" t="s">
        <v>2295</v>
      </c>
      <c r="K269" s="92" t="s">
        <v>99</v>
      </c>
      <c r="L269" s="92" t="s">
        <v>62</v>
      </c>
      <c r="M269" s="82">
        <v>4</v>
      </c>
      <c r="N269" s="101">
        <v>320000</v>
      </c>
      <c r="O269" s="82" t="s">
        <v>18</v>
      </c>
      <c r="P269" s="170"/>
      <c r="Q269" s="210"/>
    </row>
    <row r="270" spans="1:17" x14ac:dyDescent="0.2">
      <c r="A270" s="139" t="s">
        <v>38</v>
      </c>
      <c r="B270" s="82">
        <v>2019609</v>
      </c>
      <c r="C270" s="82">
        <v>61525</v>
      </c>
      <c r="D270" s="82" t="s">
        <v>848</v>
      </c>
      <c r="E270" s="82">
        <v>45</v>
      </c>
      <c r="F270" s="82" t="str">
        <f>IF(E270&lt;=20,"0-19",
IF(E270&lt;=50,"20-49",
IF(E270&lt;=80,"50-79","80+")))</f>
        <v>20-49</v>
      </c>
      <c r="G270" s="82" t="s">
        <v>14</v>
      </c>
      <c r="H270" s="82" t="s">
        <v>15</v>
      </c>
      <c r="I270" s="92" t="s">
        <v>1006</v>
      </c>
      <c r="J270" s="114" t="s">
        <v>2288</v>
      </c>
      <c r="K270" s="92" t="s">
        <v>843</v>
      </c>
      <c r="L270" s="82" t="s">
        <v>901</v>
      </c>
      <c r="M270" s="82">
        <v>4</v>
      </c>
      <c r="N270" s="84">
        <v>185034</v>
      </c>
      <c r="O270" s="82" t="s">
        <v>832</v>
      </c>
      <c r="P270" s="170"/>
      <c r="Q270" s="210"/>
    </row>
    <row r="271" spans="1:17" x14ac:dyDescent="0.2">
      <c r="A271" s="139" t="s">
        <v>53</v>
      </c>
      <c r="B271" s="82">
        <v>2020238</v>
      </c>
      <c r="C271" s="82">
        <v>43253</v>
      </c>
      <c r="D271" s="82" t="s">
        <v>964</v>
      </c>
      <c r="E271" s="82">
        <v>62</v>
      </c>
      <c r="F271" s="82" t="str">
        <f>IF(E271&lt;=20,"0-19",
IF(E271&lt;=50,"20-49",
IF(E271&lt;=80,"50-79","80+")))</f>
        <v>50-79</v>
      </c>
      <c r="G271" s="82" t="s">
        <v>965</v>
      </c>
      <c r="H271" s="82" t="s">
        <v>15</v>
      </c>
      <c r="I271" s="92" t="s">
        <v>1360</v>
      </c>
      <c r="J271" s="114" t="s">
        <v>2546</v>
      </c>
      <c r="K271" s="92" t="s">
        <v>919</v>
      </c>
      <c r="L271" s="92" t="s">
        <v>1241</v>
      </c>
      <c r="M271" s="82">
        <v>4</v>
      </c>
      <c r="N271" s="84">
        <v>239368</v>
      </c>
      <c r="O271" s="82" t="s">
        <v>832</v>
      </c>
      <c r="P271" s="170"/>
      <c r="Q271" s="210"/>
    </row>
    <row r="272" spans="1:17" ht="21" x14ac:dyDescent="0.2">
      <c r="A272" s="139" t="s">
        <v>267</v>
      </c>
      <c r="B272" s="113">
        <v>2022956</v>
      </c>
      <c r="C272" s="113">
        <v>62197</v>
      </c>
      <c r="D272" s="114" t="s">
        <v>384</v>
      </c>
      <c r="E272" s="113">
        <v>61</v>
      </c>
      <c r="F272" s="113" t="str">
        <f>IF(E272&lt;=20,"0-19",
IF(E272&lt;=50,"20-49",
IF(E272&lt;=80,"50-79","80+")))</f>
        <v>50-79</v>
      </c>
      <c r="G272" s="113" t="s">
        <v>385</v>
      </c>
      <c r="H272" s="113" t="s">
        <v>22</v>
      </c>
      <c r="I272" s="114" t="s">
        <v>386</v>
      </c>
      <c r="J272" s="114" t="s">
        <v>2546</v>
      </c>
      <c r="K272" s="114" t="s">
        <v>270</v>
      </c>
      <c r="L272" s="113" t="s">
        <v>42</v>
      </c>
      <c r="M272" s="114">
        <v>4</v>
      </c>
      <c r="N272" s="115">
        <v>104004</v>
      </c>
      <c r="O272" s="82" t="s">
        <v>18</v>
      </c>
      <c r="P272" s="170"/>
      <c r="Q272" s="210"/>
    </row>
    <row r="273" spans="1:17" x14ac:dyDescent="0.2">
      <c r="A273" s="139" t="s">
        <v>990</v>
      </c>
      <c r="B273" s="82">
        <v>2002085</v>
      </c>
      <c r="C273" s="82">
        <v>18453</v>
      </c>
      <c r="D273" s="82" t="s">
        <v>991</v>
      </c>
      <c r="E273" s="82">
        <v>66</v>
      </c>
      <c r="F273" s="82" t="str">
        <f>IF(E273&lt;=20,"0-19",
IF(E273&lt;=50,"20-49",
IF(E273&lt;=80,"50-79","80+")))</f>
        <v>50-79</v>
      </c>
      <c r="G273" s="82" t="s">
        <v>992</v>
      </c>
      <c r="H273" s="82" t="s">
        <v>22</v>
      </c>
      <c r="I273" s="92" t="s">
        <v>993</v>
      </c>
      <c r="J273" s="114" t="s">
        <v>2546</v>
      </c>
      <c r="K273" s="92" t="s">
        <v>831</v>
      </c>
      <c r="L273" s="82" t="s">
        <v>851</v>
      </c>
      <c r="M273" s="82">
        <v>4</v>
      </c>
      <c r="N273" s="84">
        <v>139402</v>
      </c>
      <c r="O273" s="82" t="s">
        <v>832</v>
      </c>
      <c r="P273" s="170"/>
      <c r="Q273" s="210"/>
    </row>
    <row r="274" spans="1:17" x14ac:dyDescent="0.2">
      <c r="A274" s="104" t="s">
        <v>1565</v>
      </c>
      <c r="B274" s="86">
        <v>2023394</v>
      </c>
      <c r="C274" s="87">
        <v>57893</v>
      </c>
      <c r="D274" s="86" t="s">
        <v>2105</v>
      </c>
      <c r="E274" s="86">
        <v>4</v>
      </c>
      <c r="F274" s="86" t="str">
        <f>IF(E274&lt;=20,"0-19",
IF(E274&lt;=50,"20-49",
IF(E274&lt;=80,"50-79","80+")))</f>
        <v>0-19</v>
      </c>
      <c r="G274" s="86" t="s">
        <v>2106</v>
      </c>
      <c r="H274" s="86" t="s">
        <v>132</v>
      </c>
      <c r="I274" s="86" t="s">
        <v>2107</v>
      </c>
      <c r="J274" s="114" t="s">
        <v>2546</v>
      </c>
      <c r="K274" s="86" t="s">
        <v>2108</v>
      </c>
      <c r="L274" s="88" t="s">
        <v>1906</v>
      </c>
      <c r="M274" s="86">
        <v>4</v>
      </c>
      <c r="N274" s="163">
        <v>97837</v>
      </c>
      <c r="O274" s="163" t="s">
        <v>2254</v>
      </c>
      <c r="P274" s="168">
        <v>254723977077</v>
      </c>
      <c r="Q274" s="210"/>
    </row>
    <row r="275" spans="1:17" x14ac:dyDescent="0.2">
      <c r="A275" s="104" t="s">
        <v>150</v>
      </c>
      <c r="B275" s="87">
        <v>2407285</v>
      </c>
      <c r="C275" s="87">
        <v>66109</v>
      </c>
      <c r="D275" s="87" t="s">
        <v>1570</v>
      </c>
      <c r="E275" s="87">
        <v>49</v>
      </c>
      <c r="F275" s="87" t="str">
        <f>IF(E275&lt;=20,"0-19",
IF(E275&lt;=50,"20-49",
IF(E275&lt;=80,"50-79","80+")))</f>
        <v>20-49</v>
      </c>
      <c r="G275" s="87" t="s">
        <v>1571</v>
      </c>
      <c r="H275" s="87" t="s">
        <v>15</v>
      </c>
      <c r="I275" s="86" t="s">
        <v>260</v>
      </c>
      <c r="J275" s="114" t="s">
        <v>2546</v>
      </c>
      <c r="K275" s="87" t="s">
        <v>1572</v>
      </c>
      <c r="L275" s="87" t="s">
        <v>1551</v>
      </c>
      <c r="M275" s="87">
        <v>4</v>
      </c>
      <c r="N275" s="161">
        <v>11095</v>
      </c>
      <c r="O275" s="161" t="s">
        <v>2254</v>
      </c>
      <c r="P275" s="168">
        <v>254794266660</v>
      </c>
      <c r="Q275" s="210"/>
    </row>
    <row r="276" spans="1:17" x14ac:dyDescent="0.2">
      <c r="A276" s="103" t="s">
        <v>1250</v>
      </c>
      <c r="B276" s="82">
        <v>2017891</v>
      </c>
      <c r="C276" s="82">
        <v>15761</v>
      </c>
      <c r="D276" s="82" t="s">
        <v>2172</v>
      </c>
      <c r="E276" s="82">
        <v>40</v>
      </c>
      <c r="F276" s="82" t="str">
        <f>IF(E276&lt;=20,"0-19",
IF(E276&lt;=50,"20-49",
IF(E276&lt;=80,"50-79","80+")))</f>
        <v>20-49</v>
      </c>
      <c r="G276" s="82" t="s">
        <v>49</v>
      </c>
      <c r="H276" s="82" t="s">
        <v>15</v>
      </c>
      <c r="I276" s="82" t="s">
        <v>2173</v>
      </c>
      <c r="J276" s="82" t="s">
        <v>2310</v>
      </c>
      <c r="K276" s="92" t="s">
        <v>1559</v>
      </c>
      <c r="L276" s="82" t="s">
        <v>1895</v>
      </c>
      <c r="M276" s="82">
        <v>4</v>
      </c>
      <c r="N276" s="151">
        <v>186343</v>
      </c>
      <c r="O276" s="151" t="s">
        <v>2254</v>
      </c>
      <c r="P276" s="152">
        <v>254721421817</v>
      </c>
      <c r="Q276" s="210"/>
    </row>
    <row r="277" spans="1:17" x14ac:dyDescent="0.2">
      <c r="A277" s="139" t="s">
        <v>86</v>
      </c>
      <c r="B277" s="87">
        <v>2009869</v>
      </c>
      <c r="C277" s="87">
        <v>61492</v>
      </c>
      <c r="D277" s="87" t="s">
        <v>305</v>
      </c>
      <c r="E277" s="86">
        <v>59</v>
      </c>
      <c r="F277" s="86" t="str">
        <f>IF(E277&lt;=20,"0-19",
IF(E277&lt;=50,"20-49",
IF(E277&lt;=80,"50-79","80+")))</f>
        <v>50-79</v>
      </c>
      <c r="G277" s="87" t="s">
        <v>306</v>
      </c>
      <c r="H277" s="87" t="s">
        <v>22</v>
      </c>
      <c r="I277" s="87" t="s">
        <v>307</v>
      </c>
      <c r="J277" s="87" t="s">
        <v>2310</v>
      </c>
      <c r="K277" s="86" t="s">
        <v>308</v>
      </c>
      <c r="L277" s="86" t="s">
        <v>95</v>
      </c>
      <c r="M277" s="87">
        <v>4</v>
      </c>
      <c r="N277" s="97">
        <v>209512</v>
      </c>
      <c r="O277" s="87" t="s">
        <v>18</v>
      </c>
      <c r="P277" s="171"/>
      <c r="Q277" s="210"/>
    </row>
    <row r="278" spans="1:17" x14ac:dyDescent="0.2">
      <c r="A278" s="139" t="s">
        <v>350</v>
      </c>
      <c r="B278" s="93">
        <v>2501244</v>
      </c>
      <c r="C278" s="82">
        <v>15954</v>
      </c>
      <c r="D278" s="93" t="s">
        <v>1013</v>
      </c>
      <c r="E278" s="93">
        <v>67</v>
      </c>
      <c r="F278" s="93" t="str">
        <f>IF(E278&lt;=20,"0-19",
IF(E278&lt;=50,"20-49",
IF(E278&lt;=80,"50-79","80+")))</f>
        <v>50-79</v>
      </c>
      <c r="G278" s="93" t="s">
        <v>1014</v>
      </c>
      <c r="H278" s="93" t="s">
        <v>22</v>
      </c>
      <c r="I278" s="93" t="s">
        <v>1015</v>
      </c>
      <c r="J278" s="93" t="s">
        <v>2310</v>
      </c>
      <c r="K278" s="93" t="s">
        <v>193</v>
      </c>
      <c r="L278" s="93" t="s">
        <v>835</v>
      </c>
      <c r="M278" s="93">
        <v>4</v>
      </c>
      <c r="N278" s="94">
        <v>42850</v>
      </c>
      <c r="O278" s="82" t="s">
        <v>832</v>
      </c>
      <c r="P278" s="171"/>
      <c r="Q278" s="210"/>
    </row>
    <row r="279" spans="1:17" x14ac:dyDescent="0.2">
      <c r="A279" s="139" t="s">
        <v>1482</v>
      </c>
      <c r="B279" s="82">
        <v>2003191</v>
      </c>
      <c r="C279" s="82">
        <v>54549</v>
      </c>
      <c r="D279" s="82" t="s">
        <v>994</v>
      </c>
      <c r="E279" s="82">
        <v>66</v>
      </c>
      <c r="F279" s="82" t="str">
        <f>IF(E279&lt;=20,"0-19",
IF(E279&lt;=50,"20-49",
IF(E279&lt;=80,"50-79","80+")))</f>
        <v>50-79</v>
      </c>
      <c r="G279" s="82" t="s">
        <v>60</v>
      </c>
      <c r="H279" s="82" t="s">
        <v>22</v>
      </c>
      <c r="I279" s="92"/>
      <c r="J279" s="114" t="s">
        <v>2270</v>
      </c>
      <c r="K279" s="92" t="s">
        <v>880</v>
      </c>
      <c r="L279" s="82" t="s">
        <v>896</v>
      </c>
      <c r="M279" s="82">
        <v>4</v>
      </c>
      <c r="N279" s="84">
        <v>114180</v>
      </c>
      <c r="O279" s="82" t="s">
        <v>832</v>
      </c>
      <c r="P279" s="171"/>
      <c r="Q279" s="210"/>
    </row>
    <row r="280" spans="1:17" x14ac:dyDescent="0.2">
      <c r="A280" s="103" t="s">
        <v>302</v>
      </c>
      <c r="B280" s="82">
        <v>2012457</v>
      </c>
      <c r="C280" s="82">
        <v>12417</v>
      </c>
      <c r="D280" s="82" t="s">
        <v>303</v>
      </c>
      <c r="E280" s="92">
        <v>66</v>
      </c>
      <c r="F280" s="92" t="str">
        <f>IF(E280&lt;=20,"0-19",
IF(E280&lt;=50,"20-49",
IF(E280&lt;=80,"50-79","80+")))</f>
        <v>50-79</v>
      </c>
      <c r="G280" s="82" t="s">
        <v>60</v>
      </c>
      <c r="H280" s="82" t="s">
        <v>22</v>
      </c>
      <c r="I280" s="82" t="s">
        <v>304</v>
      </c>
      <c r="J280" s="82" t="s">
        <v>2328</v>
      </c>
      <c r="K280" s="92" t="s">
        <v>66</v>
      </c>
      <c r="L280" s="92" t="s">
        <v>31</v>
      </c>
      <c r="M280" s="82">
        <v>4</v>
      </c>
      <c r="N280" s="101">
        <v>144851</v>
      </c>
      <c r="O280" s="82" t="s">
        <v>18</v>
      </c>
      <c r="P280" s="170"/>
      <c r="Q280" s="210"/>
    </row>
    <row r="281" spans="1:17" x14ac:dyDescent="0.2">
      <c r="A281" s="139" t="s">
        <v>881</v>
      </c>
      <c r="B281" s="82">
        <v>2016003</v>
      </c>
      <c r="C281" s="82">
        <v>10935</v>
      </c>
      <c r="D281" s="82" t="s">
        <v>1456</v>
      </c>
      <c r="E281" s="82">
        <v>67</v>
      </c>
      <c r="F281" s="82" t="str">
        <f>IF(E281&lt;=20,"0-19",
IF(E281&lt;=50,"20-49",
IF(E281&lt;=80,"50-79","80+")))</f>
        <v>50-79</v>
      </c>
      <c r="G281" s="82" t="s">
        <v>1457</v>
      </c>
      <c r="H281" s="82" t="s">
        <v>22</v>
      </c>
      <c r="I281" s="82" t="s">
        <v>1458</v>
      </c>
      <c r="J281" s="82" t="s">
        <v>2328</v>
      </c>
      <c r="K281" s="82" t="s">
        <v>1236</v>
      </c>
      <c r="L281" s="82" t="s">
        <v>1249</v>
      </c>
      <c r="M281" s="82">
        <v>4</v>
      </c>
      <c r="N281" s="84">
        <v>229029</v>
      </c>
      <c r="O281" s="82" t="s">
        <v>832</v>
      </c>
      <c r="P281" s="170"/>
      <c r="Q281" s="210"/>
    </row>
    <row r="282" spans="1:17" x14ac:dyDescent="0.2">
      <c r="A282" s="104" t="s">
        <v>515</v>
      </c>
      <c r="B282" s="87">
        <v>2017602</v>
      </c>
      <c r="C282" s="87">
        <v>101569</v>
      </c>
      <c r="D282" s="87" t="s">
        <v>1720</v>
      </c>
      <c r="E282" s="87">
        <v>61</v>
      </c>
      <c r="F282" s="87" t="str">
        <f>IF(E282&lt;=20,"0-19",
IF(E282&lt;=50,"20-49",
IF(E282&lt;=80,"50-79","80+")))</f>
        <v>50-79</v>
      </c>
      <c r="G282" s="87" t="s">
        <v>1721</v>
      </c>
      <c r="H282" s="87" t="s">
        <v>706</v>
      </c>
      <c r="I282" s="86" t="s">
        <v>1722</v>
      </c>
      <c r="J282" s="86" t="s">
        <v>2328</v>
      </c>
      <c r="K282" s="87" t="s">
        <v>1723</v>
      </c>
      <c r="L282" s="87" t="s">
        <v>1567</v>
      </c>
      <c r="M282" s="87">
        <v>4</v>
      </c>
      <c r="N282" s="161">
        <v>107555</v>
      </c>
      <c r="O282" s="161" t="s">
        <v>2254</v>
      </c>
      <c r="P282" s="168">
        <v>254728697352</v>
      </c>
      <c r="Q282" s="210"/>
    </row>
    <row r="283" spans="1:17" x14ac:dyDescent="0.2">
      <c r="A283" s="105" t="s">
        <v>72</v>
      </c>
      <c r="B283" s="82">
        <v>2005584</v>
      </c>
      <c r="C283" s="82">
        <v>17356</v>
      </c>
      <c r="D283" s="82" t="s">
        <v>364</v>
      </c>
      <c r="E283" s="92">
        <v>76</v>
      </c>
      <c r="F283" s="92" t="str">
        <f>IF(E283&lt;=20,"0-19",
IF(E283&lt;=50,"20-49",
IF(E283&lt;=80,"50-79","80+")))</f>
        <v>50-79</v>
      </c>
      <c r="G283" s="82" t="s">
        <v>365</v>
      </c>
      <c r="H283" s="82" t="s">
        <v>15</v>
      </c>
      <c r="I283" s="82" t="s">
        <v>366</v>
      </c>
      <c r="J283" s="82" t="s">
        <v>2328</v>
      </c>
      <c r="K283" s="92" t="s">
        <v>95</v>
      </c>
      <c r="L283" s="92" t="s">
        <v>30</v>
      </c>
      <c r="M283" s="82">
        <v>4</v>
      </c>
      <c r="N283" s="101">
        <v>147998</v>
      </c>
      <c r="O283" s="82" t="s">
        <v>18</v>
      </c>
      <c r="P283" s="170"/>
      <c r="Q283" s="210"/>
    </row>
    <row r="284" spans="1:17" x14ac:dyDescent="0.2">
      <c r="A284" s="139" t="s">
        <v>836</v>
      </c>
      <c r="B284" s="82">
        <v>2021863</v>
      </c>
      <c r="C284" s="82">
        <v>57255</v>
      </c>
      <c r="D284" s="82" t="s">
        <v>1007</v>
      </c>
      <c r="E284" s="82">
        <v>62</v>
      </c>
      <c r="F284" s="82" t="str">
        <f>IF(E284&lt;=20,"0-19",
IF(E284&lt;=50,"20-49",
IF(E284&lt;=80,"50-79","80+")))</f>
        <v>50-79</v>
      </c>
      <c r="G284" s="82" t="s">
        <v>60</v>
      </c>
      <c r="H284" s="82" t="s">
        <v>22</v>
      </c>
      <c r="I284" s="92" t="s">
        <v>1008</v>
      </c>
      <c r="J284" s="92" t="s">
        <v>2328</v>
      </c>
      <c r="K284" s="92" t="s">
        <v>880</v>
      </c>
      <c r="L284" s="82" t="s">
        <v>896</v>
      </c>
      <c r="M284" s="82">
        <v>4</v>
      </c>
      <c r="N284" s="84">
        <v>112556.2</v>
      </c>
      <c r="O284" s="82" t="s">
        <v>832</v>
      </c>
      <c r="P284" s="170"/>
      <c r="Q284" s="210"/>
    </row>
    <row r="285" spans="1:17" x14ac:dyDescent="0.2">
      <c r="A285" s="139" t="s">
        <v>19</v>
      </c>
      <c r="B285" s="82">
        <v>2011685</v>
      </c>
      <c r="C285" s="82">
        <v>100868</v>
      </c>
      <c r="D285" s="82" t="s">
        <v>1255</v>
      </c>
      <c r="E285" s="82">
        <v>63</v>
      </c>
      <c r="F285" s="82" t="str">
        <f>IF(E285&lt;=20,"0-19",
IF(E285&lt;=50,"20-49",
IF(E285&lt;=80,"50-79","80+")))</f>
        <v>50-79</v>
      </c>
      <c r="G285" s="82" t="s">
        <v>14</v>
      </c>
      <c r="H285" s="82" t="s">
        <v>15</v>
      </c>
      <c r="I285" s="82" t="s">
        <v>1256</v>
      </c>
      <c r="J285" s="82" t="s">
        <v>2328</v>
      </c>
      <c r="K285" s="82" t="s">
        <v>909</v>
      </c>
      <c r="L285" s="82" t="s">
        <v>1236</v>
      </c>
      <c r="M285" s="82">
        <v>4</v>
      </c>
      <c r="N285" s="84">
        <v>118722.1</v>
      </c>
      <c r="O285" s="82" t="s">
        <v>832</v>
      </c>
      <c r="P285" s="170"/>
      <c r="Q285" s="210"/>
    </row>
    <row r="286" spans="1:17" x14ac:dyDescent="0.2">
      <c r="A286" s="139" t="s">
        <v>155</v>
      </c>
      <c r="B286" s="113">
        <v>2002439</v>
      </c>
      <c r="C286" s="113">
        <v>55156</v>
      </c>
      <c r="D286" s="114" t="s">
        <v>361</v>
      </c>
      <c r="E286" s="113">
        <v>71</v>
      </c>
      <c r="F286" s="113" t="str">
        <f>IF(E286&lt;=20,"0-19",
IF(E286&lt;=50,"20-49",
IF(E286&lt;=80,"50-79","80+")))</f>
        <v>50-79</v>
      </c>
      <c r="G286" s="113" t="s">
        <v>362</v>
      </c>
      <c r="H286" s="113" t="s">
        <v>22</v>
      </c>
      <c r="I286" s="114" t="s">
        <v>363</v>
      </c>
      <c r="J286" s="114" t="s">
        <v>2328</v>
      </c>
      <c r="K286" s="114" t="s">
        <v>52</v>
      </c>
      <c r="L286" s="113" t="s">
        <v>42</v>
      </c>
      <c r="M286" s="114">
        <v>4</v>
      </c>
      <c r="N286" s="115">
        <v>130181</v>
      </c>
      <c r="O286" s="87" t="s">
        <v>18</v>
      </c>
      <c r="P286" s="171"/>
      <c r="Q286" s="210"/>
    </row>
    <row r="287" spans="1:17" ht="21" x14ac:dyDescent="0.2">
      <c r="A287" s="139" t="s">
        <v>856</v>
      </c>
      <c r="B287" s="82">
        <v>2001553</v>
      </c>
      <c r="C287" s="82">
        <v>17939</v>
      </c>
      <c r="D287" s="82" t="s">
        <v>987</v>
      </c>
      <c r="E287" s="82">
        <v>68</v>
      </c>
      <c r="F287" s="82" t="str">
        <f>IF(E287&lt;=20,"0-19",
IF(E287&lt;=50,"20-49",
IF(E287&lt;=80,"50-79","80+")))</f>
        <v>50-79</v>
      </c>
      <c r="G287" s="82" t="s">
        <v>60</v>
      </c>
      <c r="H287" s="82" t="s">
        <v>22</v>
      </c>
      <c r="I287" s="82" t="s">
        <v>988</v>
      </c>
      <c r="J287" s="82" t="s">
        <v>2328</v>
      </c>
      <c r="K287" s="92" t="s">
        <v>989</v>
      </c>
      <c r="L287" s="92" t="s">
        <v>859</v>
      </c>
      <c r="M287" s="82">
        <v>4</v>
      </c>
      <c r="N287" s="84">
        <v>86843.53</v>
      </c>
      <c r="O287" s="82" t="s">
        <v>832</v>
      </c>
      <c r="P287" s="170"/>
      <c r="Q287" s="210"/>
    </row>
    <row r="288" spans="1:17" x14ac:dyDescent="0.2">
      <c r="A288" s="104" t="s">
        <v>1331</v>
      </c>
      <c r="B288" s="87">
        <v>2017736</v>
      </c>
      <c r="C288" s="87">
        <v>16100</v>
      </c>
      <c r="D288" s="87" t="s">
        <v>1762</v>
      </c>
      <c r="E288" s="87">
        <v>52</v>
      </c>
      <c r="F288" s="87" t="str">
        <f>IF(E288&lt;=20,"0-19",
IF(E288&lt;=50,"20-49",
IF(E288&lt;=80,"50-79","80+")))</f>
        <v>50-79</v>
      </c>
      <c r="G288" s="87" t="s">
        <v>1763</v>
      </c>
      <c r="H288" s="87" t="s">
        <v>706</v>
      </c>
      <c r="I288" s="86" t="s">
        <v>1764</v>
      </c>
      <c r="J288" s="114" t="s">
        <v>2295</v>
      </c>
      <c r="K288" s="87" t="s">
        <v>1556</v>
      </c>
      <c r="L288" s="87" t="s">
        <v>1543</v>
      </c>
      <c r="M288" s="87">
        <v>4</v>
      </c>
      <c r="N288" s="161">
        <v>186995</v>
      </c>
      <c r="O288" s="161" t="s">
        <v>2254</v>
      </c>
      <c r="P288" s="168">
        <v>254716510067</v>
      </c>
      <c r="Q288" s="210"/>
    </row>
    <row r="289" spans="1:17" ht="21" x14ac:dyDescent="0.2">
      <c r="A289" s="104" t="s">
        <v>63</v>
      </c>
      <c r="B289" s="86">
        <v>2020142</v>
      </c>
      <c r="C289" s="87">
        <v>16148</v>
      </c>
      <c r="D289" s="86" t="s">
        <v>1782</v>
      </c>
      <c r="E289" s="86">
        <v>65</v>
      </c>
      <c r="F289" s="86" t="str">
        <f>IF(E289&lt;=20,"0-19",
IF(E289&lt;=50,"20-49",
IF(E289&lt;=80,"50-79","80+")))</f>
        <v>50-79</v>
      </c>
      <c r="G289" s="86" t="s">
        <v>1783</v>
      </c>
      <c r="H289" s="86" t="s">
        <v>15</v>
      </c>
      <c r="I289" s="86" t="s">
        <v>1784</v>
      </c>
      <c r="J289" s="86" t="s">
        <v>2314</v>
      </c>
      <c r="K289" s="86" t="s">
        <v>1254</v>
      </c>
      <c r="L289" s="86" t="s">
        <v>1542</v>
      </c>
      <c r="M289" s="88">
        <v>4</v>
      </c>
      <c r="N289" s="163">
        <v>238811</v>
      </c>
      <c r="O289" s="163" t="s">
        <v>2254</v>
      </c>
      <c r="P289" s="168">
        <v>254722830697</v>
      </c>
      <c r="Q289" s="210"/>
    </row>
    <row r="290" spans="1:17" x14ac:dyDescent="0.2">
      <c r="A290" s="139" t="s">
        <v>1331</v>
      </c>
      <c r="B290" s="92">
        <v>2021285</v>
      </c>
      <c r="C290" s="82">
        <v>60702</v>
      </c>
      <c r="D290" s="92" t="s">
        <v>218</v>
      </c>
      <c r="E290" s="92">
        <v>8</v>
      </c>
      <c r="F290" s="92" t="str">
        <f>IF(E290&lt;=20,"0-19",
IF(E290&lt;=50,"20-49",
IF(E290&lt;=80,"50-79","80+")))</f>
        <v>0-19</v>
      </c>
      <c r="G290" s="92" t="s">
        <v>219</v>
      </c>
      <c r="H290" s="92" t="s">
        <v>132</v>
      </c>
      <c r="I290" s="92" t="s">
        <v>1335</v>
      </c>
      <c r="J290" s="92" t="s">
        <v>2314</v>
      </c>
      <c r="K290" s="92" t="s">
        <v>1231</v>
      </c>
      <c r="L290" s="93" t="s">
        <v>1264</v>
      </c>
      <c r="M290" s="93">
        <v>4</v>
      </c>
      <c r="N290" s="94">
        <v>123160</v>
      </c>
      <c r="O290" s="82" t="s">
        <v>832</v>
      </c>
      <c r="P290" s="171"/>
      <c r="Q290" s="210"/>
    </row>
    <row r="291" spans="1:17" x14ac:dyDescent="0.2">
      <c r="A291" s="105" t="s">
        <v>72</v>
      </c>
      <c r="B291" s="82">
        <v>2016416</v>
      </c>
      <c r="C291" s="82">
        <v>57085</v>
      </c>
      <c r="D291" s="82" t="s">
        <v>1853</v>
      </c>
      <c r="E291" s="82">
        <v>64</v>
      </c>
      <c r="F291" s="82" t="str">
        <f>IF(E291&lt;=20,"0-19",
IF(E291&lt;=50,"20-49",
IF(E291&lt;=80,"50-79","80+")))</f>
        <v>50-79</v>
      </c>
      <c r="G291" s="82" t="s">
        <v>1854</v>
      </c>
      <c r="H291" s="82" t="s">
        <v>22</v>
      </c>
      <c r="I291" s="92" t="s">
        <v>1855</v>
      </c>
      <c r="J291" s="92" t="s">
        <v>2314</v>
      </c>
      <c r="K291" s="82" t="s">
        <v>1594</v>
      </c>
      <c r="L291" s="82" t="s">
        <v>1546</v>
      </c>
      <c r="M291" s="82">
        <v>4</v>
      </c>
      <c r="N291" s="151">
        <v>426191</v>
      </c>
      <c r="O291" s="151" t="s">
        <v>2254</v>
      </c>
      <c r="P291" s="152">
        <v>254724950223</v>
      </c>
      <c r="Q291" s="210"/>
    </row>
    <row r="292" spans="1:17" x14ac:dyDescent="0.2">
      <c r="A292" s="104" t="s">
        <v>19</v>
      </c>
      <c r="B292" s="87">
        <v>2011016</v>
      </c>
      <c r="C292" s="87">
        <v>18256</v>
      </c>
      <c r="D292" s="87" t="s">
        <v>745</v>
      </c>
      <c r="E292" s="87">
        <v>65</v>
      </c>
      <c r="F292" s="87" t="str">
        <f>IF(E292&lt;=20,"0-19",
IF(E292&lt;=50,"20-49",
IF(E292&lt;=80,"50-79","80+")))</f>
        <v>50-79</v>
      </c>
      <c r="G292" s="87" t="s">
        <v>746</v>
      </c>
      <c r="H292" s="87" t="s">
        <v>15</v>
      </c>
      <c r="I292" s="86" t="s">
        <v>1749</v>
      </c>
      <c r="J292" s="82" t="s">
        <v>2270</v>
      </c>
      <c r="K292" s="87" t="s">
        <v>1542</v>
      </c>
      <c r="L292" s="87" t="s">
        <v>1610</v>
      </c>
      <c r="M292" s="87">
        <v>4</v>
      </c>
      <c r="N292" s="161">
        <v>145872.20000000001</v>
      </c>
      <c r="O292" s="161" t="s">
        <v>2254</v>
      </c>
      <c r="P292" s="168">
        <v>254720753956</v>
      </c>
      <c r="Q292" s="210"/>
    </row>
    <row r="293" spans="1:17" ht="21" x14ac:dyDescent="0.2">
      <c r="A293" s="139" t="s">
        <v>1482</v>
      </c>
      <c r="B293" s="93">
        <v>2011004</v>
      </c>
      <c r="C293" s="82">
        <v>101184</v>
      </c>
      <c r="D293" s="93" t="s">
        <v>261</v>
      </c>
      <c r="E293" s="93">
        <v>64</v>
      </c>
      <c r="F293" s="93" t="str">
        <f>IF(E293&lt;=20,"0-19",
IF(E293&lt;=50,"20-49",
IF(E293&lt;=80,"50-79","80+")))</f>
        <v>50-79</v>
      </c>
      <c r="G293" s="93" t="s">
        <v>999</v>
      </c>
      <c r="H293" s="93" t="s">
        <v>15</v>
      </c>
      <c r="I293" s="93" t="s">
        <v>712</v>
      </c>
      <c r="J293" s="93" t="s">
        <v>2270</v>
      </c>
      <c r="K293" s="93" t="s">
        <v>193</v>
      </c>
      <c r="L293" s="93" t="s">
        <v>835</v>
      </c>
      <c r="M293" s="93">
        <v>4</v>
      </c>
      <c r="N293" s="94">
        <v>137879</v>
      </c>
      <c r="O293" s="82" t="s">
        <v>832</v>
      </c>
      <c r="P293" s="171"/>
      <c r="Q293" s="210"/>
    </row>
    <row r="294" spans="1:17" x14ac:dyDescent="0.2">
      <c r="A294" s="139" t="s">
        <v>319</v>
      </c>
      <c r="B294" s="87">
        <v>2022801</v>
      </c>
      <c r="C294" s="87">
        <v>16631</v>
      </c>
      <c r="D294" s="87" t="s">
        <v>320</v>
      </c>
      <c r="E294" s="86">
        <v>51</v>
      </c>
      <c r="F294" s="86" t="str">
        <f>IF(E294&lt;=20,"0-19",
IF(E294&lt;=50,"20-49",
IF(E294&lt;=80,"50-79","80+")))</f>
        <v>50-79</v>
      </c>
      <c r="G294" s="87" t="s">
        <v>321</v>
      </c>
      <c r="H294" s="87" t="s">
        <v>15</v>
      </c>
      <c r="I294" s="87" t="s">
        <v>322</v>
      </c>
      <c r="J294" s="87" t="s">
        <v>2270</v>
      </c>
      <c r="K294" s="86" t="s">
        <v>94</v>
      </c>
      <c r="L294" s="86" t="s">
        <v>67</v>
      </c>
      <c r="M294" s="87">
        <v>4</v>
      </c>
      <c r="N294" s="97">
        <v>114592</v>
      </c>
      <c r="O294" s="87" t="s">
        <v>18</v>
      </c>
      <c r="P294" s="171"/>
      <c r="Q294" s="210"/>
    </row>
    <row r="295" spans="1:17" x14ac:dyDescent="0.2">
      <c r="A295" s="105" t="s">
        <v>43</v>
      </c>
      <c r="B295" s="82">
        <v>2000302</v>
      </c>
      <c r="C295" s="82">
        <v>18333</v>
      </c>
      <c r="D295" s="82" t="s">
        <v>1776</v>
      </c>
      <c r="E295" s="82">
        <v>66</v>
      </c>
      <c r="F295" s="82" t="str">
        <f>IF(E295&lt;=20,"0-19",
IF(E295&lt;=50,"20-49",
IF(E295&lt;=80,"50-79","80+")))</f>
        <v>50-79</v>
      </c>
      <c r="G295" s="82" t="s">
        <v>1777</v>
      </c>
      <c r="H295" s="82" t="s">
        <v>22</v>
      </c>
      <c r="I295" s="92" t="s">
        <v>1778</v>
      </c>
      <c r="J295" s="92" t="s">
        <v>2270</v>
      </c>
      <c r="K295" s="82" t="s">
        <v>1589</v>
      </c>
      <c r="L295" s="82" t="s">
        <v>1559</v>
      </c>
      <c r="M295" s="82">
        <v>4</v>
      </c>
      <c r="N295" s="151">
        <v>228034</v>
      </c>
      <c r="O295" s="151" t="s">
        <v>2254</v>
      </c>
      <c r="P295" s="152">
        <v>254722422235</v>
      </c>
      <c r="Q295" s="210"/>
    </row>
    <row r="296" spans="1:17" ht="21" x14ac:dyDescent="0.2">
      <c r="A296" s="139" t="s">
        <v>43</v>
      </c>
      <c r="B296" s="92">
        <v>2021362</v>
      </c>
      <c r="C296" s="82">
        <v>57442</v>
      </c>
      <c r="D296" s="92" t="s">
        <v>1327</v>
      </c>
      <c r="E296" s="92">
        <v>61</v>
      </c>
      <c r="F296" s="92" t="str">
        <f>IF(E296&lt;=20,"0-19",
IF(E296&lt;=50,"20-49",
IF(E296&lt;=80,"50-79","80+")))</f>
        <v>50-79</v>
      </c>
      <c r="G296" s="92" t="s">
        <v>1328</v>
      </c>
      <c r="H296" s="92" t="s">
        <v>22</v>
      </c>
      <c r="I296" s="92" t="s">
        <v>1329</v>
      </c>
      <c r="J296" s="92" t="s">
        <v>2270</v>
      </c>
      <c r="K296" s="92" t="s">
        <v>1330</v>
      </c>
      <c r="L296" s="93" t="s">
        <v>1254</v>
      </c>
      <c r="M296" s="93">
        <v>4</v>
      </c>
      <c r="N296" s="94">
        <v>150512.9</v>
      </c>
      <c r="O296" s="82" t="s">
        <v>832</v>
      </c>
      <c r="P296" s="171"/>
      <c r="Q296" s="210"/>
    </row>
    <row r="297" spans="1:17" x14ac:dyDescent="0.2">
      <c r="A297" s="104" t="s">
        <v>72</v>
      </c>
      <c r="B297" s="114">
        <v>2503065</v>
      </c>
      <c r="C297" s="114">
        <v>59127</v>
      </c>
      <c r="D297" s="114" t="s">
        <v>367</v>
      </c>
      <c r="E297" s="114">
        <v>59</v>
      </c>
      <c r="F297" s="114" t="str">
        <f>IF(E297&lt;=20,"0-19",
IF(E297&lt;=50,"20-49",
IF(E297&lt;=80,"50-79","80+")))</f>
        <v>50-79</v>
      </c>
      <c r="G297" s="114" t="s">
        <v>368</v>
      </c>
      <c r="H297" s="114" t="s">
        <v>22</v>
      </c>
      <c r="I297" s="114" t="s">
        <v>369</v>
      </c>
      <c r="J297" s="114" t="s">
        <v>2270</v>
      </c>
      <c r="K297" s="114" t="s">
        <v>103</v>
      </c>
      <c r="L297" s="111" t="s">
        <v>121</v>
      </c>
      <c r="M297" s="114">
        <v>4</v>
      </c>
      <c r="N297" s="116">
        <v>165234</v>
      </c>
      <c r="O297" s="87" t="s">
        <v>18</v>
      </c>
      <c r="P297" s="171"/>
      <c r="Q297" s="210"/>
    </row>
    <row r="298" spans="1:17" x14ac:dyDescent="0.2">
      <c r="A298" s="105" t="s">
        <v>1768</v>
      </c>
      <c r="B298" s="82">
        <v>2409018</v>
      </c>
      <c r="C298" s="82">
        <v>58233</v>
      </c>
      <c r="D298" s="82" t="s">
        <v>2204</v>
      </c>
      <c r="E298" s="82">
        <v>62</v>
      </c>
      <c r="F298" s="82" t="str">
        <f>IF(E298&lt;=20,"0-19",
IF(E298&lt;=50,"20-49",
IF(E298&lt;=80,"50-79","80+")))</f>
        <v>50-79</v>
      </c>
      <c r="G298" s="82" t="s">
        <v>2205</v>
      </c>
      <c r="H298" s="82" t="s">
        <v>22</v>
      </c>
      <c r="I298" s="82" t="s">
        <v>2206</v>
      </c>
      <c r="J298" s="114" t="s">
        <v>2328</v>
      </c>
      <c r="K298" s="92" t="s">
        <v>1906</v>
      </c>
      <c r="L298" s="82" t="s">
        <v>1913</v>
      </c>
      <c r="M298" s="82">
        <v>4</v>
      </c>
      <c r="N298" s="151">
        <v>280000</v>
      </c>
      <c r="O298" s="151" t="s">
        <v>2254</v>
      </c>
      <c r="P298" s="152">
        <v>254710209301</v>
      </c>
      <c r="Q298" s="210"/>
    </row>
    <row r="299" spans="1:17" x14ac:dyDescent="0.2">
      <c r="A299" s="139" t="s">
        <v>1237</v>
      </c>
      <c r="B299" s="82">
        <v>2001245</v>
      </c>
      <c r="C299" s="82">
        <v>37016</v>
      </c>
      <c r="D299" s="82" t="s">
        <v>983</v>
      </c>
      <c r="E299" s="82">
        <v>79</v>
      </c>
      <c r="F299" s="82" t="str">
        <f>IF(E299&lt;=20,"0-19",
IF(E299&lt;=50,"20-49",
IF(E299&lt;=80,"50-79","80+")))</f>
        <v>50-79</v>
      </c>
      <c r="G299" s="82" t="s">
        <v>984</v>
      </c>
      <c r="H299" s="82" t="s">
        <v>22</v>
      </c>
      <c r="I299" s="82" t="s">
        <v>985</v>
      </c>
      <c r="J299" s="82" t="s">
        <v>2322</v>
      </c>
      <c r="K299" s="92" t="s">
        <v>986</v>
      </c>
      <c r="L299" s="92" t="s">
        <v>860</v>
      </c>
      <c r="M299" s="82">
        <v>4</v>
      </c>
      <c r="N299" s="84">
        <v>1700813</v>
      </c>
      <c r="O299" s="82" t="s">
        <v>832</v>
      </c>
      <c r="P299" s="170"/>
      <c r="Q299" s="210"/>
    </row>
    <row r="300" spans="1:17" x14ac:dyDescent="0.2">
      <c r="A300" s="139" t="s">
        <v>117</v>
      </c>
      <c r="B300" s="82">
        <v>2012471</v>
      </c>
      <c r="C300" s="82">
        <v>47039</v>
      </c>
      <c r="D300" s="82" t="s">
        <v>1000</v>
      </c>
      <c r="E300" s="82">
        <v>10</v>
      </c>
      <c r="F300" s="82" t="str">
        <f>IF(E300&lt;=20,"0-19",
IF(E300&lt;=50,"20-49",
IF(E300&lt;=80,"50-79","80+")))</f>
        <v>0-19</v>
      </c>
      <c r="G300" s="82" t="s">
        <v>1001</v>
      </c>
      <c r="H300" s="82" t="s">
        <v>132</v>
      </c>
      <c r="I300" s="92" t="s">
        <v>1002</v>
      </c>
      <c r="J300" s="92" t="s">
        <v>2322</v>
      </c>
      <c r="K300" s="92" t="s">
        <v>289</v>
      </c>
      <c r="L300" s="82" t="s">
        <v>834</v>
      </c>
      <c r="M300" s="82">
        <v>4</v>
      </c>
      <c r="N300" s="84">
        <v>47140</v>
      </c>
      <c r="O300" s="82" t="s">
        <v>832</v>
      </c>
      <c r="P300" s="170"/>
      <c r="Q300" s="210"/>
    </row>
    <row r="301" spans="1:17" x14ac:dyDescent="0.2">
      <c r="A301" s="105" t="s">
        <v>113</v>
      </c>
      <c r="B301" s="82">
        <v>2001397</v>
      </c>
      <c r="C301" s="82">
        <v>17666</v>
      </c>
      <c r="D301" s="82" t="s">
        <v>1716</v>
      </c>
      <c r="E301" s="82">
        <v>73</v>
      </c>
      <c r="F301" s="82" t="str">
        <f>IF(E301&lt;=20,"0-19",
IF(E301&lt;=50,"20-49",
IF(E301&lt;=80,"50-79","80+")))</f>
        <v>50-79</v>
      </c>
      <c r="G301" s="82" t="s">
        <v>1717</v>
      </c>
      <c r="H301" s="82" t="s">
        <v>15</v>
      </c>
      <c r="I301" s="92" t="s">
        <v>1718</v>
      </c>
      <c r="J301" s="114" t="s">
        <v>2546</v>
      </c>
      <c r="K301" s="82" t="s">
        <v>1719</v>
      </c>
      <c r="L301" s="82" t="s">
        <v>1572</v>
      </c>
      <c r="M301" s="82">
        <v>4</v>
      </c>
      <c r="N301" s="151">
        <v>106515</v>
      </c>
      <c r="O301" s="151" t="s">
        <v>2254</v>
      </c>
      <c r="P301" s="152">
        <v>254722839258</v>
      </c>
      <c r="Q301" s="210"/>
    </row>
    <row r="302" spans="1:17" ht="21" x14ac:dyDescent="0.2">
      <c r="A302" s="104" t="s">
        <v>72</v>
      </c>
      <c r="B302" s="86">
        <v>2012382</v>
      </c>
      <c r="C302" s="87">
        <v>52592</v>
      </c>
      <c r="D302" s="86" t="s">
        <v>2087</v>
      </c>
      <c r="E302" s="86">
        <v>64</v>
      </c>
      <c r="F302" s="86" t="str">
        <f>IF(E302&lt;=20,"0-19",
IF(E302&lt;=50,"20-49",
IF(E302&lt;=80,"50-79","80+")))</f>
        <v>50-79</v>
      </c>
      <c r="G302" s="86" t="s">
        <v>1752</v>
      </c>
      <c r="H302" s="86" t="s">
        <v>15</v>
      </c>
      <c r="I302" s="86" t="s">
        <v>2088</v>
      </c>
      <c r="J302" s="86" t="s">
        <v>2283</v>
      </c>
      <c r="K302" s="86" t="s">
        <v>2048</v>
      </c>
      <c r="L302" s="88" t="s">
        <v>1906</v>
      </c>
      <c r="M302" s="86">
        <v>4</v>
      </c>
      <c r="N302" s="163">
        <v>87198.399999999994</v>
      </c>
      <c r="O302" s="163" t="s">
        <v>2254</v>
      </c>
      <c r="P302" s="168">
        <v>254722579794</v>
      </c>
      <c r="Q302" s="210"/>
    </row>
    <row r="303" spans="1:17" x14ac:dyDescent="0.2">
      <c r="A303" s="139" t="s">
        <v>1016</v>
      </c>
      <c r="B303" s="82">
        <v>2503242</v>
      </c>
      <c r="C303" s="82">
        <v>62746</v>
      </c>
      <c r="D303" s="82" t="s">
        <v>1017</v>
      </c>
      <c r="E303" s="82">
        <v>54</v>
      </c>
      <c r="F303" s="82" t="str">
        <f>IF(E303&lt;=20,"0-19",
IF(E303&lt;=50,"20-49",
IF(E303&lt;=80,"50-79","80+")))</f>
        <v>50-79</v>
      </c>
      <c r="G303" s="82" t="s">
        <v>1018</v>
      </c>
      <c r="H303" s="82" t="s">
        <v>15</v>
      </c>
      <c r="I303" s="92" t="s">
        <v>1019</v>
      </c>
      <c r="J303" s="92" t="s">
        <v>2283</v>
      </c>
      <c r="K303" s="92" t="s">
        <v>831</v>
      </c>
      <c r="L303" s="82" t="s">
        <v>851</v>
      </c>
      <c r="M303" s="82">
        <v>4</v>
      </c>
      <c r="N303" s="84">
        <v>71629</v>
      </c>
      <c r="O303" s="82" t="s">
        <v>832</v>
      </c>
      <c r="P303" s="171"/>
      <c r="Q303" s="210"/>
    </row>
    <row r="304" spans="1:17" ht="21" x14ac:dyDescent="0.2">
      <c r="A304" s="104" t="s">
        <v>53</v>
      </c>
      <c r="B304" s="86">
        <v>2009790</v>
      </c>
      <c r="C304" s="87">
        <v>18258</v>
      </c>
      <c r="D304" s="86" t="s">
        <v>2146</v>
      </c>
      <c r="E304" s="86">
        <v>50</v>
      </c>
      <c r="F304" s="86" t="str">
        <f>IF(E304&lt;=20,"0-19",
IF(E304&lt;=50,"20-49",
IF(E304&lt;=80,"50-79","80+")))</f>
        <v>20-49</v>
      </c>
      <c r="G304" s="86" t="s">
        <v>2147</v>
      </c>
      <c r="H304" s="86" t="s">
        <v>15</v>
      </c>
      <c r="I304" s="86" t="s">
        <v>2148</v>
      </c>
      <c r="J304" s="86" t="s">
        <v>2283</v>
      </c>
      <c r="K304" s="86" t="s">
        <v>2048</v>
      </c>
      <c r="L304" s="88" t="s">
        <v>1906</v>
      </c>
      <c r="M304" s="86">
        <v>4</v>
      </c>
      <c r="N304" s="163">
        <v>161222</v>
      </c>
      <c r="O304" s="163" t="s">
        <v>2254</v>
      </c>
      <c r="P304" s="168">
        <v>254752316316</v>
      </c>
      <c r="Q304" s="210"/>
    </row>
    <row r="305" spans="1:17" ht="21" x14ac:dyDescent="0.2">
      <c r="A305" s="194" t="s">
        <v>394</v>
      </c>
      <c r="B305" s="199">
        <v>2403116</v>
      </c>
      <c r="C305" s="199">
        <v>57766</v>
      </c>
      <c r="D305" s="199" t="s">
        <v>395</v>
      </c>
      <c r="E305" s="199">
        <v>19</v>
      </c>
      <c r="F305" s="199" t="str">
        <f>IF(E305&lt;=20,"0-19",
IF(E305&lt;=50,"20-49",
IF(E305&lt;=80,"50-79","80+")))</f>
        <v>0-19</v>
      </c>
      <c r="G305" s="199" t="s">
        <v>396</v>
      </c>
      <c r="H305" s="199" t="s">
        <v>132</v>
      </c>
      <c r="I305" s="199" t="s">
        <v>397</v>
      </c>
      <c r="J305" s="199" t="s">
        <v>2283</v>
      </c>
      <c r="K305" s="199" t="s">
        <v>2260</v>
      </c>
      <c r="L305" s="188" t="s">
        <v>190</v>
      </c>
      <c r="M305" s="86">
        <v>4</v>
      </c>
      <c r="N305" s="192">
        <v>90630</v>
      </c>
      <c r="O305" s="87" t="s">
        <v>18</v>
      </c>
      <c r="P305" s="171"/>
      <c r="Q305" s="210"/>
    </row>
    <row r="306" spans="1:17" ht="21" x14ac:dyDescent="0.2">
      <c r="A306" s="139" t="s">
        <v>208</v>
      </c>
      <c r="B306" s="82">
        <v>2014390</v>
      </c>
      <c r="C306" s="82">
        <v>13704</v>
      </c>
      <c r="D306" s="82" t="s">
        <v>1047</v>
      </c>
      <c r="E306" s="82">
        <v>66</v>
      </c>
      <c r="F306" s="82" t="str">
        <f>IF(E306&lt;=20,"0-19",
IF(E306&lt;=50,"20-49",
IF(E306&lt;=80,"50-79","80+")))</f>
        <v>50-79</v>
      </c>
      <c r="G306" s="82" t="s">
        <v>1048</v>
      </c>
      <c r="H306" s="82" t="s">
        <v>15</v>
      </c>
      <c r="I306" s="92" t="s">
        <v>1049</v>
      </c>
      <c r="J306" s="92" t="s">
        <v>2275</v>
      </c>
      <c r="K306" s="92" t="s">
        <v>880</v>
      </c>
      <c r="L306" s="82" t="s">
        <v>901</v>
      </c>
      <c r="M306" s="82">
        <v>5</v>
      </c>
      <c r="N306" s="84">
        <v>221810</v>
      </c>
      <c r="O306" s="82" t="s">
        <v>832</v>
      </c>
      <c r="P306" s="170"/>
      <c r="Q306" s="210"/>
    </row>
    <row r="307" spans="1:17" x14ac:dyDescent="0.2">
      <c r="A307" s="105" t="s">
        <v>1738</v>
      </c>
      <c r="B307" s="92">
        <v>2505041</v>
      </c>
      <c r="C307" s="82">
        <v>61001</v>
      </c>
      <c r="D307" s="92" t="s">
        <v>1739</v>
      </c>
      <c r="E307" s="92">
        <v>62</v>
      </c>
      <c r="F307" s="92" t="str">
        <f>IF(E307&lt;=20,"0-19",
IF(E307&lt;=50,"20-49",
IF(E307&lt;=80,"50-79","80+")))</f>
        <v>50-79</v>
      </c>
      <c r="G307" s="92" t="s">
        <v>1740</v>
      </c>
      <c r="H307" s="92" t="s">
        <v>22</v>
      </c>
      <c r="I307" s="92" t="s">
        <v>2177</v>
      </c>
      <c r="J307" s="92" t="s">
        <v>2275</v>
      </c>
      <c r="K307" s="92" t="s">
        <v>1928</v>
      </c>
      <c r="L307" s="93" t="s">
        <v>1918</v>
      </c>
      <c r="M307" s="92">
        <v>5</v>
      </c>
      <c r="N307" s="159">
        <v>193725</v>
      </c>
      <c r="O307" s="159" t="s">
        <v>2254</v>
      </c>
      <c r="P307" s="152">
        <v>254720242011</v>
      </c>
      <c r="Q307" s="210"/>
    </row>
    <row r="308" spans="1:17" x14ac:dyDescent="0.2">
      <c r="A308" s="104" t="s">
        <v>1738</v>
      </c>
      <c r="B308" s="87">
        <v>2505041</v>
      </c>
      <c r="C308" s="87">
        <v>61001</v>
      </c>
      <c r="D308" s="87" t="s">
        <v>1739</v>
      </c>
      <c r="E308" s="87">
        <v>62</v>
      </c>
      <c r="F308" s="87" t="str">
        <f>IF(E308&lt;=20,"0-19",
IF(E308&lt;=50,"20-49",
IF(E308&lt;=80,"50-79","80+")))</f>
        <v>50-79</v>
      </c>
      <c r="G308" s="87" t="s">
        <v>1740</v>
      </c>
      <c r="H308" s="87" t="s">
        <v>664</v>
      </c>
      <c r="I308" s="86" t="s">
        <v>1741</v>
      </c>
      <c r="J308" s="86" t="s">
        <v>2275</v>
      </c>
      <c r="K308" s="87" t="s">
        <v>1610</v>
      </c>
      <c r="L308" s="87" t="s">
        <v>1551</v>
      </c>
      <c r="M308" s="87">
        <v>5</v>
      </c>
      <c r="N308" s="161">
        <v>123860</v>
      </c>
      <c r="O308" s="161" t="s">
        <v>2254</v>
      </c>
      <c r="P308" s="168">
        <v>254127944027</v>
      </c>
      <c r="Q308" s="210"/>
    </row>
    <row r="309" spans="1:17" x14ac:dyDescent="0.2">
      <c r="A309" s="105" t="s">
        <v>1768</v>
      </c>
      <c r="B309" s="82">
        <v>2407114</v>
      </c>
      <c r="C309" s="82">
        <v>67490</v>
      </c>
      <c r="D309" s="82" t="s">
        <v>1832</v>
      </c>
      <c r="E309" s="82">
        <v>58</v>
      </c>
      <c r="F309" s="82" t="str">
        <f>IF(E309&lt;=20,"0-19",
IF(E309&lt;=50,"20-49",
IF(E309&lt;=80,"50-79","80+")))</f>
        <v>50-79</v>
      </c>
      <c r="G309" s="82" t="s">
        <v>1833</v>
      </c>
      <c r="H309" s="82" t="s">
        <v>664</v>
      </c>
      <c r="I309" s="92" t="s">
        <v>1834</v>
      </c>
      <c r="J309" s="92" t="s">
        <v>2275</v>
      </c>
      <c r="K309" s="82" t="s">
        <v>1610</v>
      </c>
      <c r="L309" s="82" t="s">
        <v>1551</v>
      </c>
      <c r="M309" s="82">
        <v>5</v>
      </c>
      <c r="N309" s="151">
        <v>343288</v>
      </c>
      <c r="O309" s="151" t="s">
        <v>2254</v>
      </c>
      <c r="P309" s="152">
        <v>254722680420</v>
      </c>
      <c r="Q309" s="210"/>
    </row>
    <row r="310" spans="1:17" x14ac:dyDescent="0.2">
      <c r="A310" s="105" t="s">
        <v>1690</v>
      </c>
      <c r="B310" s="82">
        <v>2019367</v>
      </c>
      <c r="C310" s="82">
        <v>14101</v>
      </c>
      <c r="D310" s="82" t="s">
        <v>1843</v>
      </c>
      <c r="E310" s="82">
        <v>64</v>
      </c>
      <c r="F310" s="82" t="str">
        <f>IF(E310&lt;=20,"0-19",
IF(E310&lt;=50,"20-49",
IF(E310&lt;=80,"50-79","80+")))</f>
        <v>50-79</v>
      </c>
      <c r="G310" s="82" t="s">
        <v>1844</v>
      </c>
      <c r="H310" s="82" t="s">
        <v>706</v>
      </c>
      <c r="I310" s="92" t="s">
        <v>1845</v>
      </c>
      <c r="J310" s="92" t="s">
        <v>2275</v>
      </c>
      <c r="K310" s="82" t="s">
        <v>1610</v>
      </c>
      <c r="L310" s="82" t="s">
        <v>1551</v>
      </c>
      <c r="M310" s="82">
        <v>5</v>
      </c>
      <c r="N310" s="151">
        <v>378364</v>
      </c>
      <c r="O310" s="151" t="s">
        <v>2254</v>
      </c>
      <c r="P310" s="152">
        <v>254721729511</v>
      </c>
      <c r="Q310" s="210"/>
    </row>
    <row r="311" spans="1:17" ht="21" x14ac:dyDescent="0.2">
      <c r="A311" s="105" t="s">
        <v>1984</v>
      </c>
      <c r="B311" s="92">
        <v>2001437</v>
      </c>
      <c r="C311" s="82">
        <v>103278</v>
      </c>
      <c r="D311" s="92" t="s">
        <v>1985</v>
      </c>
      <c r="E311" s="92">
        <v>62</v>
      </c>
      <c r="F311" s="92" t="str">
        <f>IF(E311&lt;=20,"0-19",
IF(E311&lt;=50,"20-49",
IF(E311&lt;=80,"50-79","80+")))</f>
        <v>50-79</v>
      </c>
      <c r="G311" s="92" t="s">
        <v>1986</v>
      </c>
      <c r="H311" s="92" t="s">
        <v>22</v>
      </c>
      <c r="I311" s="92" t="s">
        <v>1987</v>
      </c>
      <c r="J311" s="92" t="s">
        <v>2275</v>
      </c>
      <c r="K311" s="92" t="s">
        <v>1988</v>
      </c>
      <c r="L311" s="93" t="s">
        <v>1923</v>
      </c>
      <c r="M311" s="92">
        <v>5</v>
      </c>
      <c r="N311" s="166">
        <v>35381</v>
      </c>
      <c r="O311" s="166" t="s">
        <v>2254</v>
      </c>
      <c r="P311" s="152">
        <v>254721576033</v>
      </c>
      <c r="Q311" s="210"/>
    </row>
    <row r="312" spans="1:17" ht="21" x14ac:dyDescent="0.2">
      <c r="A312" s="139" t="s">
        <v>53</v>
      </c>
      <c r="B312" s="93">
        <v>2009312</v>
      </c>
      <c r="C312" s="82">
        <v>18253</v>
      </c>
      <c r="D312" s="93" t="s">
        <v>413</v>
      </c>
      <c r="E312" s="93">
        <v>61</v>
      </c>
      <c r="F312" s="93" t="str">
        <f>IF(E312&lt;=20,"0-19",
IF(E312&lt;=50,"20-49",
IF(E312&lt;=80,"50-79","80+")))</f>
        <v>50-79</v>
      </c>
      <c r="G312" s="93" t="s">
        <v>414</v>
      </c>
      <c r="H312" s="93" t="s">
        <v>15</v>
      </c>
      <c r="I312" s="93" t="s">
        <v>415</v>
      </c>
      <c r="J312" s="93" t="s">
        <v>2275</v>
      </c>
      <c r="K312" s="93" t="s">
        <v>52</v>
      </c>
      <c r="L312" s="93" t="s">
        <v>78</v>
      </c>
      <c r="M312" s="93">
        <v>5</v>
      </c>
      <c r="N312" s="94">
        <v>150667</v>
      </c>
      <c r="O312" s="82" t="s">
        <v>18</v>
      </c>
      <c r="P312" s="170"/>
      <c r="Q312" s="210"/>
    </row>
    <row r="313" spans="1:17" x14ac:dyDescent="0.2">
      <c r="A313" s="139" t="s">
        <v>847</v>
      </c>
      <c r="B313" s="82">
        <v>2003220</v>
      </c>
      <c r="C313" s="82">
        <v>16008</v>
      </c>
      <c r="D313" s="82" t="s">
        <v>1030</v>
      </c>
      <c r="E313" s="82">
        <v>65</v>
      </c>
      <c r="F313" s="82" t="str">
        <f>IF(E313&lt;=20,"0-19",
IF(E313&lt;=50,"20-49",
IF(E313&lt;=80,"50-79","80+")))</f>
        <v>50-79</v>
      </c>
      <c r="G313" s="82" t="s">
        <v>1031</v>
      </c>
      <c r="H313" s="82" t="s">
        <v>22</v>
      </c>
      <c r="I313" s="92" t="s">
        <v>1032</v>
      </c>
      <c r="J313" s="92" t="s">
        <v>2275</v>
      </c>
      <c r="K313" s="92" t="s">
        <v>835</v>
      </c>
      <c r="L313" s="82" t="s">
        <v>846</v>
      </c>
      <c r="M313" s="82">
        <v>5</v>
      </c>
      <c r="N313" s="84">
        <v>263764</v>
      </c>
      <c r="O313" s="82" t="s">
        <v>832</v>
      </c>
      <c r="P313" s="170"/>
      <c r="Q313" s="210"/>
    </row>
    <row r="314" spans="1:17" x14ac:dyDescent="0.2">
      <c r="A314" s="139" t="s">
        <v>53</v>
      </c>
      <c r="B314" s="87">
        <v>2003782</v>
      </c>
      <c r="C314" s="87">
        <v>10152</v>
      </c>
      <c r="D314" s="87" t="s">
        <v>416</v>
      </c>
      <c r="E314" s="86">
        <v>68</v>
      </c>
      <c r="F314" s="86" t="str">
        <f>IF(E314&lt;=20,"0-19",
IF(E314&lt;=50,"20-49",
IF(E314&lt;=80,"50-79","80+")))</f>
        <v>50-79</v>
      </c>
      <c r="G314" s="87" t="s">
        <v>417</v>
      </c>
      <c r="H314" s="87" t="s">
        <v>22</v>
      </c>
      <c r="I314" s="87" t="s">
        <v>418</v>
      </c>
      <c r="J314" s="87" t="s">
        <v>2275</v>
      </c>
      <c r="K314" s="86" t="s">
        <v>67</v>
      </c>
      <c r="L314" s="86" t="s">
        <v>85</v>
      </c>
      <c r="M314" s="87">
        <v>5</v>
      </c>
      <c r="N314" s="97">
        <v>310767</v>
      </c>
      <c r="O314" s="87" t="s">
        <v>18</v>
      </c>
      <c r="P314" s="171"/>
      <c r="Q314" s="210"/>
    </row>
    <row r="315" spans="1:17" x14ac:dyDescent="0.2">
      <c r="A315" s="139" t="s">
        <v>159</v>
      </c>
      <c r="B315" s="92">
        <v>2013477</v>
      </c>
      <c r="C315" s="82">
        <v>107739</v>
      </c>
      <c r="D315" s="92" t="s">
        <v>1427</v>
      </c>
      <c r="E315" s="92">
        <v>45</v>
      </c>
      <c r="F315" s="92" t="str">
        <f>IF(E315&lt;=20,"0-19",
IF(E315&lt;=50,"20-49",
IF(E315&lt;=80,"50-79","80+")))</f>
        <v>20-49</v>
      </c>
      <c r="G315" s="92" t="s">
        <v>1428</v>
      </c>
      <c r="H315" s="92" t="s">
        <v>22</v>
      </c>
      <c r="I315" s="92" t="s">
        <v>1429</v>
      </c>
      <c r="J315" s="92" t="s">
        <v>2304</v>
      </c>
      <c r="K315" s="92" t="s">
        <v>1231</v>
      </c>
      <c r="L315" s="93" t="s">
        <v>1254</v>
      </c>
      <c r="M315" s="93">
        <v>5</v>
      </c>
      <c r="N315" s="94">
        <v>141118</v>
      </c>
      <c r="O315" s="82" t="s">
        <v>832</v>
      </c>
      <c r="P315" s="171"/>
      <c r="Q315" s="210"/>
    </row>
    <row r="316" spans="1:17" ht="31.5" x14ac:dyDescent="0.2">
      <c r="A316" s="139" t="s">
        <v>1482</v>
      </c>
      <c r="B316" s="82">
        <v>2001273</v>
      </c>
      <c r="C316" s="82">
        <v>20535</v>
      </c>
      <c r="D316" s="82" t="s">
        <v>1027</v>
      </c>
      <c r="E316" s="82">
        <v>50</v>
      </c>
      <c r="F316" s="82" t="str">
        <f>IF(E316&lt;=20,"0-19",
IF(E316&lt;=50,"20-49",
IF(E316&lt;=80,"50-79","80+")))</f>
        <v>20-49</v>
      </c>
      <c r="G316" s="82" t="s">
        <v>60</v>
      </c>
      <c r="H316" s="82" t="s">
        <v>22</v>
      </c>
      <c r="I316" s="92" t="s">
        <v>1028</v>
      </c>
      <c r="J316" s="92" t="s">
        <v>2304</v>
      </c>
      <c r="K316" s="92" t="s">
        <v>1029</v>
      </c>
      <c r="L316" s="82" t="s">
        <v>190</v>
      </c>
      <c r="M316" s="82">
        <v>5</v>
      </c>
      <c r="N316" s="84">
        <v>72187</v>
      </c>
      <c r="O316" s="82" t="s">
        <v>832</v>
      </c>
      <c r="P316" s="170"/>
      <c r="Q316" s="210"/>
    </row>
    <row r="317" spans="1:17" x14ac:dyDescent="0.2">
      <c r="A317" s="104" t="s">
        <v>19</v>
      </c>
      <c r="B317" s="87">
        <v>2004334</v>
      </c>
      <c r="C317" s="87">
        <v>56626</v>
      </c>
      <c r="D317" s="87" t="s">
        <v>2100</v>
      </c>
      <c r="E317" s="87">
        <v>67</v>
      </c>
      <c r="F317" s="87" t="str">
        <f>IF(E317&lt;=20,"0-19",
IF(E317&lt;=50,"20-49",
IF(E317&lt;=80,"50-79","80+")))</f>
        <v>50-79</v>
      </c>
      <c r="G317" s="87" t="s">
        <v>2101</v>
      </c>
      <c r="H317" s="87" t="s">
        <v>22</v>
      </c>
      <c r="I317" s="87" t="s">
        <v>2102</v>
      </c>
      <c r="J317" s="87" t="s">
        <v>2304</v>
      </c>
      <c r="K317" s="86" t="s">
        <v>1906</v>
      </c>
      <c r="L317" s="87" t="s">
        <v>1922</v>
      </c>
      <c r="M317" s="87">
        <v>5</v>
      </c>
      <c r="N317" s="161">
        <v>93695</v>
      </c>
      <c r="O317" s="161" t="s">
        <v>2254</v>
      </c>
      <c r="P317" s="168">
        <v>254720453324</v>
      </c>
      <c r="Q317" s="210"/>
    </row>
    <row r="318" spans="1:17" ht="21" x14ac:dyDescent="0.2">
      <c r="A318" s="139" t="s">
        <v>836</v>
      </c>
      <c r="B318" s="82">
        <v>2602044</v>
      </c>
      <c r="C318" s="82">
        <v>63333</v>
      </c>
      <c r="D318" s="82" t="s">
        <v>1444</v>
      </c>
      <c r="E318" s="82">
        <v>58</v>
      </c>
      <c r="F318" s="82" t="str">
        <f>IF(E318&lt;=20,"0-19",
IF(E318&lt;=50,"20-49",
IF(E318&lt;=80,"50-79","80+")))</f>
        <v>50-79</v>
      </c>
      <c r="G318" s="82" t="s">
        <v>1445</v>
      </c>
      <c r="H318" s="82" t="s">
        <v>22</v>
      </c>
      <c r="I318" s="92" t="s">
        <v>1446</v>
      </c>
      <c r="J318" s="92" t="s">
        <v>2328</v>
      </c>
      <c r="K318" s="92" t="s">
        <v>1447</v>
      </c>
      <c r="L318" s="92" t="s">
        <v>1242</v>
      </c>
      <c r="M318" s="82">
        <v>5</v>
      </c>
      <c r="N318" s="84">
        <v>153714</v>
      </c>
      <c r="O318" s="82" t="s">
        <v>832</v>
      </c>
      <c r="P318" s="171"/>
      <c r="Q318" s="210"/>
    </row>
    <row r="319" spans="1:17" x14ac:dyDescent="0.2">
      <c r="A319" s="139" t="s">
        <v>422</v>
      </c>
      <c r="B319" s="87">
        <v>2011454</v>
      </c>
      <c r="C319" s="87">
        <v>13452</v>
      </c>
      <c r="D319" s="87" t="s">
        <v>423</v>
      </c>
      <c r="E319" s="86">
        <v>65</v>
      </c>
      <c r="F319" s="86" t="str">
        <f>IF(E319&lt;=20,"0-19",
IF(E319&lt;=50,"20-49",
IF(E319&lt;=80,"50-79","80+")))</f>
        <v>50-79</v>
      </c>
      <c r="G319" s="87" t="s">
        <v>424</v>
      </c>
      <c r="H319" s="87" t="s">
        <v>15</v>
      </c>
      <c r="I319" s="87" t="s">
        <v>425</v>
      </c>
      <c r="J319" s="114" t="s">
        <v>2546</v>
      </c>
      <c r="K319" s="86" t="s">
        <v>42</v>
      </c>
      <c r="L319" s="86" t="s">
        <v>94</v>
      </c>
      <c r="M319" s="87">
        <v>5</v>
      </c>
      <c r="N319" s="97">
        <v>251693</v>
      </c>
      <c r="O319" s="87" t="s">
        <v>18</v>
      </c>
      <c r="P319" s="171"/>
      <c r="Q319" s="210"/>
    </row>
    <row r="320" spans="1:17" x14ac:dyDescent="0.2">
      <c r="A320" s="139" t="s">
        <v>1016</v>
      </c>
      <c r="B320" s="82">
        <v>2503295</v>
      </c>
      <c r="C320" s="82">
        <v>62746</v>
      </c>
      <c r="D320" s="82" t="s">
        <v>1059</v>
      </c>
      <c r="E320" s="82">
        <v>12</v>
      </c>
      <c r="F320" s="82" t="str">
        <f>IF(E320&lt;=20,"0-19",
IF(E320&lt;=50,"20-49",
IF(E320&lt;=80,"50-79","80+")))</f>
        <v>0-19</v>
      </c>
      <c r="G320" s="82" t="s">
        <v>60</v>
      </c>
      <c r="H320" s="82" t="s">
        <v>88</v>
      </c>
      <c r="I320" s="92" t="s">
        <v>1060</v>
      </c>
      <c r="J320" s="114" t="s">
        <v>2311</v>
      </c>
      <c r="K320" s="92" t="s">
        <v>843</v>
      </c>
      <c r="L320" s="82" t="s">
        <v>851</v>
      </c>
      <c r="M320" s="82">
        <v>5</v>
      </c>
      <c r="N320" s="84">
        <v>145327</v>
      </c>
      <c r="O320" s="82" t="s">
        <v>832</v>
      </c>
      <c r="P320" s="170"/>
      <c r="Q320" s="210"/>
    </row>
    <row r="321" spans="1:17" x14ac:dyDescent="0.2">
      <c r="A321" s="105" t="s">
        <v>53</v>
      </c>
      <c r="B321" s="82">
        <v>2001108</v>
      </c>
      <c r="C321" s="82">
        <v>21421</v>
      </c>
      <c r="D321" s="82" t="s">
        <v>1860</v>
      </c>
      <c r="E321" s="82">
        <v>44</v>
      </c>
      <c r="F321" s="82" t="str">
        <f>IF(E321&lt;=20,"0-19",
IF(E321&lt;=50,"20-49",
IF(E321&lt;=80,"50-79","80+")))</f>
        <v>20-49</v>
      </c>
      <c r="G321" s="82" t="s">
        <v>1861</v>
      </c>
      <c r="H321" s="82" t="s">
        <v>664</v>
      </c>
      <c r="I321" s="92" t="s">
        <v>1862</v>
      </c>
      <c r="J321" s="92" t="s">
        <v>2288</v>
      </c>
      <c r="K321" s="82" t="s">
        <v>1863</v>
      </c>
      <c r="L321" s="82" t="s">
        <v>1551</v>
      </c>
      <c r="M321" s="82">
        <v>5</v>
      </c>
      <c r="N321" s="151">
        <v>450212</v>
      </c>
      <c r="O321" s="151" t="s">
        <v>2254</v>
      </c>
      <c r="P321" s="152">
        <v>254724926757</v>
      </c>
      <c r="Q321" s="210"/>
    </row>
    <row r="322" spans="1:17" ht="31.5" x14ac:dyDescent="0.2">
      <c r="A322" s="139" t="s">
        <v>1033</v>
      </c>
      <c r="B322" s="82">
        <v>2003427</v>
      </c>
      <c r="C322" s="82">
        <v>9108</v>
      </c>
      <c r="D322" s="82" t="s">
        <v>1034</v>
      </c>
      <c r="E322" s="82">
        <v>68</v>
      </c>
      <c r="F322" s="82" t="str">
        <f>IF(E322&lt;=20,"0-19",
IF(E322&lt;=50,"20-49",
IF(E322&lt;=80,"50-79","80+")))</f>
        <v>50-79</v>
      </c>
      <c r="G322" s="82" t="s">
        <v>60</v>
      </c>
      <c r="H322" s="82" t="s">
        <v>22</v>
      </c>
      <c r="I322" s="92" t="s">
        <v>1035</v>
      </c>
      <c r="J322" s="92" t="s">
        <v>2288</v>
      </c>
      <c r="K322" s="92" t="s">
        <v>1036</v>
      </c>
      <c r="L322" s="82" t="s">
        <v>896</v>
      </c>
      <c r="M322" s="82">
        <v>5</v>
      </c>
      <c r="N322" s="84">
        <v>104991</v>
      </c>
      <c r="O322" s="82" t="s">
        <v>832</v>
      </c>
      <c r="P322" s="170"/>
      <c r="Q322" s="210"/>
    </row>
    <row r="323" spans="1:17" ht="21" x14ac:dyDescent="0.2">
      <c r="A323" s="187" t="s">
        <v>426</v>
      </c>
      <c r="B323" s="190">
        <v>2005059</v>
      </c>
      <c r="C323" s="190">
        <v>18820</v>
      </c>
      <c r="D323" s="190" t="s">
        <v>427</v>
      </c>
      <c r="E323" s="189">
        <v>55</v>
      </c>
      <c r="F323" s="189" t="str">
        <f>IF(E323&lt;=20,"0-19",
IF(E323&lt;=50,"20-49",
IF(E323&lt;=80,"50-79","80+")))</f>
        <v>50-79</v>
      </c>
      <c r="G323" s="189" t="s">
        <v>428</v>
      </c>
      <c r="H323" s="189" t="s">
        <v>15</v>
      </c>
      <c r="I323" s="189" t="s">
        <v>429</v>
      </c>
      <c r="J323" s="189" t="s">
        <v>2288</v>
      </c>
      <c r="K323" s="189" t="s">
        <v>30</v>
      </c>
      <c r="L323" s="190" t="s">
        <v>289</v>
      </c>
      <c r="M323" s="92">
        <v>5</v>
      </c>
      <c r="N323" s="205">
        <v>225061</v>
      </c>
      <c r="O323" s="82" t="s">
        <v>18</v>
      </c>
      <c r="P323" s="170"/>
      <c r="Q323" s="210"/>
    </row>
    <row r="324" spans="1:17" x14ac:dyDescent="0.2">
      <c r="A324" s="139" t="s">
        <v>1250</v>
      </c>
      <c r="B324" s="82">
        <v>2011774</v>
      </c>
      <c r="C324" s="82">
        <v>31235</v>
      </c>
      <c r="D324" s="82" t="s">
        <v>1251</v>
      </c>
      <c r="E324" s="82">
        <v>64</v>
      </c>
      <c r="F324" s="82" t="str">
        <f>IF(E324&lt;=20,"0-19",
IF(E324&lt;=50,"20-49",
IF(E324&lt;=80,"50-79","80+")))</f>
        <v>50-79</v>
      </c>
      <c r="G324" s="82" t="s">
        <v>1252</v>
      </c>
      <c r="H324" s="82" t="s">
        <v>15</v>
      </c>
      <c r="I324" s="92" t="s">
        <v>1253</v>
      </c>
      <c r="J324" s="92" t="s">
        <v>2288</v>
      </c>
      <c r="K324" s="92" t="s">
        <v>860</v>
      </c>
      <c r="L324" s="92" t="s">
        <v>1241</v>
      </c>
      <c r="M324" s="82">
        <v>5</v>
      </c>
      <c r="N324" s="84">
        <v>79385</v>
      </c>
      <c r="O324" s="82" t="s">
        <v>832</v>
      </c>
      <c r="P324" s="171"/>
      <c r="Q324" s="210"/>
    </row>
    <row r="325" spans="1:17" ht="21" x14ac:dyDescent="0.2">
      <c r="A325" s="104" t="s">
        <v>1797</v>
      </c>
      <c r="B325" s="86">
        <v>2022970</v>
      </c>
      <c r="C325" s="87">
        <v>59899</v>
      </c>
      <c r="D325" s="86" t="s">
        <v>1798</v>
      </c>
      <c r="E325" s="86">
        <v>63</v>
      </c>
      <c r="F325" s="86" t="str">
        <f>IF(E325&lt;=20,"0-19",
IF(E325&lt;=50,"20-49",
IF(E325&lt;=80,"50-79","80+")))</f>
        <v>50-79</v>
      </c>
      <c r="G325" s="86" t="s">
        <v>1799</v>
      </c>
      <c r="H325" s="86" t="s">
        <v>22</v>
      </c>
      <c r="I325" s="86" t="s">
        <v>61</v>
      </c>
      <c r="J325" s="86" t="s">
        <v>2295</v>
      </c>
      <c r="K325" s="86" t="s">
        <v>1225</v>
      </c>
      <c r="L325" s="86" t="s">
        <v>1562</v>
      </c>
      <c r="M325" s="88">
        <v>5</v>
      </c>
      <c r="N325" s="163">
        <v>260100</v>
      </c>
      <c r="O325" s="163" t="s">
        <v>2254</v>
      </c>
      <c r="P325" s="168">
        <v>254722722182</v>
      </c>
      <c r="Q325" s="210"/>
    </row>
    <row r="326" spans="1:17" x14ac:dyDescent="0.2">
      <c r="A326" s="108" t="s">
        <v>456</v>
      </c>
      <c r="B326" s="87">
        <v>2015712</v>
      </c>
      <c r="C326" s="87">
        <v>13892</v>
      </c>
      <c r="D326" s="87" t="s">
        <v>457</v>
      </c>
      <c r="E326" s="86">
        <v>58</v>
      </c>
      <c r="F326" s="86" t="str">
        <f>IF(E326&lt;=20,"0-19",
IF(E326&lt;=50,"20-49",
IF(E326&lt;=80,"50-79","80+")))</f>
        <v>50-79</v>
      </c>
      <c r="G326" s="87" t="s">
        <v>458</v>
      </c>
      <c r="H326" s="87" t="s">
        <v>15</v>
      </c>
      <c r="I326" s="87" t="s">
        <v>459</v>
      </c>
      <c r="J326" s="87" t="s">
        <v>2295</v>
      </c>
      <c r="K326" s="86" t="s">
        <v>36</v>
      </c>
      <c r="L326" s="86" t="s">
        <v>141</v>
      </c>
      <c r="M326" s="87">
        <v>5</v>
      </c>
      <c r="N326" s="97">
        <v>139283</v>
      </c>
      <c r="O326" s="87" t="s">
        <v>18</v>
      </c>
      <c r="P326" s="171"/>
      <c r="Q326" s="210"/>
    </row>
    <row r="327" spans="1:17" ht="21" x14ac:dyDescent="0.2">
      <c r="A327" s="104" t="s">
        <v>1696</v>
      </c>
      <c r="B327" s="86">
        <v>2007815</v>
      </c>
      <c r="C327" s="87">
        <v>11812</v>
      </c>
      <c r="D327" s="86" t="s">
        <v>1697</v>
      </c>
      <c r="E327" s="86">
        <v>70</v>
      </c>
      <c r="F327" s="86" t="str">
        <f>IF(E327&lt;=20,"0-19",
IF(E327&lt;=50,"20-49",
IF(E327&lt;=80,"50-79","80+")))</f>
        <v>50-79</v>
      </c>
      <c r="G327" s="86" t="s">
        <v>1698</v>
      </c>
      <c r="H327" s="86" t="s">
        <v>15</v>
      </c>
      <c r="I327" s="86" t="s">
        <v>1699</v>
      </c>
      <c r="J327" s="114" t="s">
        <v>2270</v>
      </c>
      <c r="K327" s="86" t="s">
        <v>1232</v>
      </c>
      <c r="L327" s="88" t="s">
        <v>1553</v>
      </c>
      <c r="M327" s="88">
        <v>5</v>
      </c>
      <c r="N327" s="163">
        <v>83496</v>
      </c>
      <c r="O327" s="163" t="s">
        <v>2254</v>
      </c>
      <c r="P327" s="168">
        <v>254711994280</v>
      </c>
      <c r="Q327" s="210"/>
    </row>
    <row r="328" spans="1:17" x14ac:dyDescent="0.2">
      <c r="A328" s="139" t="s">
        <v>19</v>
      </c>
      <c r="B328" s="114">
        <v>2405116</v>
      </c>
      <c r="C328" s="113">
        <v>52917</v>
      </c>
      <c r="D328" s="114" t="s">
        <v>399</v>
      </c>
      <c r="E328" s="114">
        <v>64</v>
      </c>
      <c r="F328" s="114" t="str">
        <f>IF(E328&lt;=20,"0-19",
IF(E328&lt;=50,"20-49",
IF(E328&lt;=80,"50-79","80+")))</f>
        <v>50-79</v>
      </c>
      <c r="G328" s="114" t="s">
        <v>400</v>
      </c>
      <c r="H328" s="114" t="s">
        <v>22</v>
      </c>
      <c r="I328" s="114" t="s">
        <v>401</v>
      </c>
      <c r="J328" s="114" t="s">
        <v>2546</v>
      </c>
      <c r="K328" s="114" t="s">
        <v>103</v>
      </c>
      <c r="L328" s="114" t="s">
        <v>24</v>
      </c>
      <c r="M328" s="114">
        <v>5</v>
      </c>
      <c r="N328" s="116">
        <v>148490.70000000001</v>
      </c>
      <c r="O328" s="82" t="s">
        <v>18</v>
      </c>
      <c r="P328" s="170"/>
      <c r="Q328" s="210"/>
    </row>
    <row r="329" spans="1:17" x14ac:dyDescent="0.2">
      <c r="A329" s="105" t="s">
        <v>72</v>
      </c>
      <c r="B329" s="82">
        <v>2001580</v>
      </c>
      <c r="C329" s="82">
        <v>100644</v>
      </c>
      <c r="D329" s="82" t="s">
        <v>419</v>
      </c>
      <c r="E329" s="92">
        <v>68</v>
      </c>
      <c r="F329" s="92" t="str">
        <f>IF(E329&lt;=20,"0-19",
IF(E329&lt;=50,"20-49",
IF(E329&lt;=80,"50-79","80+")))</f>
        <v>50-79</v>
      </c>
      <c r="G329" s="82" t="s">
        <v>420</v>
      </c>
      <c r="H329" s="82" t="s">
        <v>22</v>
      </c>
      <c r="I329" s="82" t="s">
        <v>421</v>
      </c>
      <c r="J329" s="114" t="s">
        <v>2546</v>
      </c>
      <c r="K329" s="92" t="s">
        <v>99</v>
      </c>
      <c r="L329" s="92" t="s">
        <v>30</v>
      </c>
      <c r="M329" s="82">
        <v>5</v>
      </c>
      <c r="N329" s="101">
        <v>629327.19999999995</v>
      </c>
      <c r="O329" s="82" t="s">
        <v>18</v>
      </c>
      <c r="P329" s="170"/>
      <c r="Q329" s="210"/>
    </row>
    <row r="330" spans="1:17" x14ac:dyDescent="0.2">
      <c r="A330" s="105" t="s">
        <v>274</v>
      </c>
      <c r="B330" s="82">
        <v>2502105</v>
      </c>
      <c r="C330" s="82">
        <v>76472</v>
      </c>
      <c r="D330" s="82" t="s">
        <v>1646</v>
      </c>
      <c r="E330" s="82">
        <v>11</v>
      </c>
      <c r="F330" s="82" t="str">
        <f>IF(E330&lt;=20,"0-19",
IF(E330&lt;=50,"20-49",
IF(E330&lt;=80,"50-79","80+")))</f>
        <v>0-19</v>
      </c>
      <c r="G330" s="82" t="s">
        <v>1647</v>
      </c>
      <c r="H330" s="82" t="s">
        <v>1648</v>
      </c>
      <c r="I330" s="92" t="s">
        <v>1649</v>
      </c>
      <c r="J330" s="114" t="s">
        <v>2546</v>
      </c>
      <c r="K330" s="82" t="s">
        <v>1556</v>
      </c>
      <c r="L330" s="82" t="s">
        <v>1567</v>
      </c>
      <c r="M330" s="82">
        <v>5</v>
      </c>
      <c r="N330" s="151">
        <v>48403</v>
      </c>
      <c r="O330" s="151" t="s">
        <v>2254</v>
      </c>
      <c r="P330" s="152">
        <v>254714699371</v>
      </c>
      <c r="Q330" s="210"/>
    </row>
    <row r="331" spans="1:17" x14ac:dyDescent="0.2">
      <c r="A331" s="139" t="s">
        <v>1037</v>
      </c>
      <c r="B331" s="82">
        <v>2009251</v>
      </c>
      <c r="C331" s="82">
        <v>105618</v>
      </c>
      <c r="D331" s="82" t="s">
        <v>1038</v>
      </c>
      <c r="E331" s="82">
        <v>46</v>
      </c>
      <c r="F331" s="82" t="str">
        <f>IF(E331&lt;=20,"0-19",
IF(E331&lt;=50,"20-49",
IF(E331&lt;=80,"50-79","80+")))</f>
        <v>20-49</v>
      </c>
      <c r="G331" s="82" t="s">
        <v>1039</v>
      </c>
      <c r="H331" s="82" t="s">
        <v>15</v>
      </c>
      <c r="I331" s="92" t="s">
        <v>1040</v>
      </c>
      <c r="J331" s="114" t="s">
        <v>2546</v>
      </c>
      <c r="K331" s="92" t="s">
        <v>193</v>
      </c>
      <c r="L331" s="82" t="s">
        <v>834</v>
      </c>
      <c r="M331" s="82">
        <v>5</v>
      </c>
      <c r="N331" s="84">
        <v>94155</v>
      </c>
      <c r="O331" s="82" t="s">
        <v>832</v>
      </c>
      <c r="P331" s="170"/>
      <c r="Q331" s="210"/>
    </row>
    <row r="332" spans="1:17" ht="21" x14ac:dyDescent="0.2">
      <c r="A332" s="104" t="s">
        <v>2074</v>
      </c>
      <c r="B332" s="86">
        <v>2016650</v>
      </c>
      <c r="C332" s="87">
        <v>15315</v>
      </c>
      <c r="D332" s="86" t="s">
        <v>2075</v>
      </c>
      <c r="E332" s="86">
        <v>65</v>
      </c>
      <c r="F332" s="86" t="str">
        <f>IF(E332&lt;=20,"0-19",
IF(E332&lt;=50,"20-49",
IF(E332&lt;=80,"50-79","80+")))</f>
        <v>50-79</v>
      </c>
      <c r="G332" s="86" t="s">
        <v>2076</v>
      </c>
      <c r="H332" s="86" t="s">
        <v>15</v>
      </c>
      <c r="I332" s="86" t="s">
        <v>2077</v>
      </c>
      <c r="J332" s="114" t="s">
        <v>2546</v>
      </c>
      <c r="K332" s="86" t="s">
        <v>1916</v>
      </c>
      <c r="L332" s="86" t="s">
        <v>1898</v>
      </c>
      <c r="M332" s="86">
        <v>5</v>
      </c>
      <c r="N332" s="163">
        <v>81272</v>
      </c>
      <c r="O332" s="163" t="s">
        <v>2254</v>
      </c>
      <c r="P332" s="168">
        <v>254722480207</v>
      </c>
      <c r="Q332" s="210"/>
    </row>
    <row r="333" spans="1:17" ht="21" x14ac:dyDescent="0.2">
      <c r="A333" s="103" t="s">
        <v>75</v>
      </c>
      <c r="B333" s="113">
        <v>2019543</v>
      </c>
      <c r="C333" s="113">
        <v>16396</v>
      </c>
      <c r="D333" s="114" t="s">
        <v>390</v>
      </c>
      <c r="E333" s="113">
        <v>58</v>
      </c>
      <c r="F333" s="113" t="str">
        <f>IF(E333&lt;=20,"0-19",
IF(E333&lt;=50,"20-49",
IF(E333&lt;=80,"50-79","80+")))</f>
        <v>50-79</v>
      </c>
      <c r="G333" s="113" t="s">
        <v>391</v>
      </c>
      <c r="H333" s="113" t="s">
        <v>15</v>
      </c>
      <c r="I333" s="114" t="s">
        <v>392</v>
      </c>
      <c r="J333" s="114" t="s">
        <v>2546</v>
      </c>
      <c r="K333" s="114" t="s">
        <v>393</v>
      </c>
      <c r="L333" s="113" t="s">
        <v>25</v>
      </c>
      <c r="M333" s="114">
        <v>5</v>
      </c>
      <c r="N333" s="115">
        <v>43182.65</v>
      </c>
      <c r="O333" s="82" t="s">
        <v>18</v>
      </c>
      <c r="P333" s="170"/>
      <c r="Q333" s="210"/>
    </row>
    <row r="334" spans="1:17" ht="21" x14ac:dyDescent="0.2">
      <c r="A334" s="108" t="s">
        <v>430</v>
      </c>
      <c r="B334" s="87">
        <v>2018355</v>
      </c>
      <c r="C334" s="87">
        <v>63541</v>
      </c>
      <c r="D334" s="87" t="s">
        <v>431</v>
      </c>
      <c r="E334" s="86">
        <v>61</v>
      </c>
      <c r="F334" s="86" t="str">
        <f>IF(E334&lt;=20,"0-19",
IF(E334&lt;=50,"20-49",
IF(E334&lt;=80,"50-79","80+")))</f>
        <v>50-79</v>
      </c>
      <c r="G334" s="87" t="s">
        <v>60</v>
      </c>
      <c r="H334" s="87" t="s">
        <v>22</v>
      </c>
      <c r="I334" s="87" t="s">
        <v>432</v>
      </c>
      <c r="J334" s="87" t="s">
        <v>2310</v>
      </c>
      <c r="K334" s="86" t="s">
        <v>215</v>
      </c>
      <c r="L334" s="86" t="s">
        <v>67</v>
      </c>
      <c r="M334" s="87">
        <v>5</v>
      </c>
      <c r="N334" s="97">
        <v>23992.3</v>
      </c>
      <c r="O334" s="87" t="s">
        <v>18</v>
      </c>
      <c r="P334" s="171"/>
      <c r="Q334" s="210"/>
    </row>
    <row r="335" spans="1:17" x14ac:dyDescent="0.2">
      <c r="A335" s="139" t="s">
        <v>19</v>
      </c>
      <c r="B335" s="93">
        <v>2018292</v>
      </c>
      <c r="C335" s="82">
        <v>57035</v>
      </c>
      <c r="D335" s="93" t="s">
        <v>1050</v>
      </c>
      <c r="E335" s="93">
        <v>64</v>
      </c>
      <c r="F335" s="93" t="str">
        <f>IF(E335&lt;=20,"0-19",
IF(E335&lt;=50,"20-49",
IF(E335&lt;=80,"50-79","80+")))</f>
        <v>50-79</v>
      </c>
      <c r="G335" s="93" t="s">
        <v>60</v>
      </c>
      <c r="H335" s="93" t="s">
        <v>22</v>
      </c>
      <c r="I335" s="93" t="s">
        <v>1051</v>
      </c>
      <c r="J335" s="93" t="s">
        <v>2310</v>
      </c>
      <c r="K335" s="93" t="s">
        <v>85</v>
      </c>
      <c r="L335" s="93" t="s">
        <v>835</v>
      </c>
      <c r="M335" s="93">
        <v>5</v>
      </c>
      <c r="N335" s="94">
        <v>460000</v>
      </c>
      <c r="O335" s="82" t="s">
        <v>832</v>
      </c>
      <c r="P335" s="170"/>
      <c r="Q335" s="210"/>
    </row>
    <row r="336" spans="1:17" x14ac:dyDescent="0.2">
      <c r="A336" s="105" t="s">
        <v>1708</v>
      </c>
      <c r="B336" s="82">
        <v>2018024</v>
      </c>
      <c r="C336" s="82">
        <v>58041</v>
      </c>
      <c r="D336" s="82" t="s">
        <v>2128</v>
      </c>
      <c r="E336" s="82">
        <v>61</v>
      </c>
      <c r="F336" s="82" t="str">
        <f>IF(E336&lt;=20,"0-19",
IF(E336&lt;=50,"20-49",
IF(E336&lt;=80,"50-79","80+")))</f>
        <v>50-79</v>
      </c>
      <c r="G336" s="82" t="s">
        <v>2129</v>
      </c>
      <c r="H336" s="82" t="s">
        <v>22</v>
      </c>
      <c r="I336" s="82" t="s">
        <v>2130</v>
      </c>
      <c r="J336" s="82" t="s">
        <v>2310</v>
      </c>
      <c r="K336" s="92" t="s">
        <v>1543</v>
      </c>
      <c r="L336" s="82" t="s">
        <v>1908</v>
      </c>
      <c r="M336" s="82">
        <v>5</v>
      </c>
      <c r="N336" s="151">
        <v>132853.62</v>
      </c>
      <c r="O336" s="151" t="s">
        <v>2254</v>
      </c>
      <c r="P336" s="152">
        <v>254717451764</v>
      </c>
      <c r="Q336" s="210"/>
    </row>
    <row r="337" spans="1:17" x14ac:dyDescent="0.2">
      <c r="A337" s="139" t="s">
        <v>1482</v>
      </c>
      <c r="B337" s="82">
        <v>2602064</v>
      </c>
      <c r="C337" s="82">
        <v>77476</v>
      </c>
      <c r="D337" s="82" t="s">
        <v>1488</v>
      </c>
      <c r="E337" s="82">
        <v>34</v>
      </c>
      <c r="F337" s="82" t="str">
        <f>IF(E337&lt;=20,"0-19",
IF(E337&lt;=50,"20-49",
IF(E337&lt;=80,"50-79","80+")))</f>
        <v>20-49</v>
      </c>
      <c r="G337" s="82" t="s">
        <v>1489</v>
      </c>
      <c r="H337" s="82" t="s">
        <v>15</v>
      </c>
      <c r="I337" s="92" t="s">
        <v>1490</v>
      </c>
      <c r="J337" s="114" t="s">
        <v>2311</v>
      </c>
      <c r="K337" s="92" t="s">
        <v>860</v>
      </c>
      <c r="L337" s="92" t="s">
        <v>1241</v>
      </c>
      <c r="M337" s="82">
        <v>5</v>
      </c>
      <c r="N337" s="84">
        <v>91953</v>
      </c>
      <c r="O337" s="82" t="s">
        <v>832</v>
      </c>
      <c r="P337" s="171"/>
      <c r="Q337" s="210"/>
    </row>
    <row r="338" spans="1:17" x14ac:dyDescent="0.2">
      <c r="A338" s="104" t="s">
        <v>354</v>
      </c>
      <c r="B338" s="86">
        <v>2023126</v>
      </c>
      <c r="C338" s="87">
        <v>63184</v>
      </c>
      <c r="D338" s="86" t="s">
        <v>2018</v>
      </c>
      <c r="E338" s="86">
        <v>20</v>
      </c>
      <c r="F338" s="86" t="str">
        <f>IF(E338&lt;=20,"0-19",
IF(E338&lt;=50,"20-49",
IF(E338&lt;=80,"50-79","80+")))</f>
        <v>0-19</v>
      </c>
      <c r="G338" s="86" t="s">
        <v>2019</v>
      </c>
      <c r="H338" s="86" t="s">
        <v>132</v>
      </c>
      <c r="I338" s="86" t="s">
        <v>486</v>
      </c>
      <c r="J338" s="114" t="s">
        <v>2311</v>
      </c>
      <c r="K338" s="86" t="s">
        <v>1895</v>
      </c>
      <c r="L338" s="86" t="s">
        <v>1923</v>
      </c>
      <c r="M338" s="86">
        <v>5</v>
      </c>
      <c r="N338" s="163">
        <v>52350</v>
      </c>
      <c r="O338" s="163" t="s">
        <v>2254</v>
      </c>
      <c r="P338" s="168">
        <v>254710416650</v>
      </c>
      <c r="Q338" s="210"/>
    </row>
    <row r="339" spans="1:17" x14ac:dyDescent="0.2">
      <c r="A339" s="139" t="s">
        <v>63</v>
      </c>
      <c r="B339" s="82">
        <v>2010780</v>
      </c>
      <c r="C339" s="82">
        <v>58898</v>
      </c>
      <c r="D339" s="82" t="s">
        <v>1044</v>
      </c>
      <c r="E339" s="82">
        <v>58</v>
      </c>
      <c r="F339" s="82" t="str">
        <f>IF(E339&lt;=20,"0-19",
IF(E339&lt;=50,"20-49",
IF(E339&lt;=80,"50-79","80+")))</f>
        <v>50-79</v>
      </c>
      <c r="G339" s="82" t="s">
        <v>1045</v>
      </c>
      <c r="H339" s="82" t="s">
        <v>15</v>
      </c>
      <c r="I339" s="92" t="s">
        <v>1046</v>
      </c>
      <c r="J339" s="92" t="s">
        <v>2328</v>
      </c>
      <c r="K339" s="92" t="s">
        <v>834</v>
      </c>
      <c r="L339" s="82" t="s">
        <v>896</v>
      </c>
      <c r="M339" s="82">
        <v>5</v>
      </c>
      <c r="N339" s="84">
        <v>277489</v>
      </c>
      <c r="O339" s="82" t="s">
        <v>832</v>
      </c>
      <c r="P339" s="170"/>
      <c r="Q339" s="210"/>
    </row>
    <row r="340" spans="1:17" ht="21" x14ac:dyDescent="0.2">
      <c r="A340" s="105" t="s">
        <v>1575</v>
      </c>
      <c r="B340" s="93">
        <v>2402047</v>
      </c>
      <c r="C340" s="82">
        <v>20743</v>
      </c>
      <c r="D340" s="93" t="s">
        <v>2109</v>
      </c>
      <c r="E340" s="93">
        <v>70</v>
      </c>
      <c r="F340" s="93" t="str">
        <f>IF(E340&lt;=20,"0-19",
IF(E340&lt;=50,"20-49",
IF(E340&lt;=80,"50-79","80+")))</f>
        <v>50-79</v>
      </c>
      <c r="G340" s="93" t="s">
        <v>2110</v>
      </c>
      <c r="H340" s="93" t="s">
        <v>15</v>
      </c>
      <c r="I340" s="93" t="s">
        <v>2111</v>
      </c>
      <c r="J340" s="93" t="s">
        <v>2328</v>
      </c>
      <c r="K340" s="93" t="s">
        <v>1895</v>
      </c>
      <c r="L340" s="93" t="s">
        <v>1923</v>
      </c>
      <c r="M340" s="93">
        <v>5</v>
      </c>
      <c r="N340" s="166">
        <v>101320</v>
      </c>
      <c r="O340" s="166" t="s">
        <v>2254</v>
      </c>
      <c r="P340" s="152">
        <v>254721929930</v>
      </c>
      <c r="Q340" s="210"/>
    </row>
    <row r="341" spans="1:17" x14ac:dyDescent="0.2">
      <c r="A341" s="103" t="s">
        <v>228</v>
      </c>
      <c r="B341" s="82">
        <v>2002456</v>
      </c>
      <c r="C341" s="82">
        <v>12997</v>
      </c>
      <c r="D341" s="82" t="s">
        <v>406</v>
      </c>
      <c r="E341" s="92">
        <v>65</v>
      </c>
      <c r="F341" s="92" t="str">
        <f>IF(E341&lt;=20,"0-19",
IF(E341&lt;=50,"20-49",
IF(E341&lt;=80,"50-79","80+")))</f>
        <v>50-79</v>
      </c>
      <c r="G341" s="82" t="s">
        <v>407</v>
      </c>
      <c r="H341" s="82" t="s">
        <v>22</v>
      </c>
      <c r="I341" s="82" t="s">
        <v>408</v>
      </c>
      <c r="J341" s="82" t="s">
        <v>2314</v>
      </c>
      <c r="K341" s="92" t="s">
        <v>67</v>
      </c>
      <c r="L341" s="92" t="s">
        <v>85</v>
      </c>
      <c r="M341" s="82">
        <v>5</v>
      </c>
      <c r="N341" s="101">
        <v>110462.98</v>
      </c>
      <c r="O341" s="82" t="s">
        <v>18</v>
      </c>
      <c r="P341" s="170"/>
      <c r="Q341" s="210"/>
    </row>
    <row r="342" spans="1:17" x14ac:dyDescent="0.2">
      <c r="A342" s="139" t="s">
        <v>1502</v>
      </c>
      <c r="B342" s="93">
        <v>2009519</v>
      </c>
      <c r="C342" s="82">
        <v>14587</v>
      </c>
      <c r="D342" s="93" t="s">
        <v>1041</v>
      </c>
      <c r="E342" s="93">
        <v>60</v>
      </c>
      <c r="F342" s="93" t="str">
        <f>IF(E342&lt;=20,"0-19",
IF(E342&lt;=50,"20-49",
IF(E342&lt;=80,"50-79","80+")))</f>
        <v>50-79</v>
      </c>
      <c r="G342" s="93" t="s">
        <v>14</v>
      </c>
      <c r="H342" s="93" t="s">
        <v>15</v>
      </c>
      <c r="I342" s="93" t="s">
        <v>1042</v>
      </c>
      <c r="J342" s="114" t="s">
        <v>2295</v>
      </c>
      <c r="K342" s="93" t="s">
        <v>1043</v>
      </c>
      <c r="L342" s="93" t="s">
        <v>846</v>
      </c>
      <c r="M342" s="93">
        <v>5</v>
      </c>
      <c r="N342" s="94">
        <v>41803</v>
      </c>
      <c r="O342" s="82" t="s">
        <v>832</v>
      </c>
      <c r="P342" s="170"/>
      <c r="Q342" s="210"/>
    </row>
    <row r="343" spans="1:17" x14ac:dyDescent="0.2">
      <c r="A343" s="139" t="s">
        <v>47</v>
      </c>
      <c r="B343" s="113">
        <v>2002532</v>
      </c>
      <c r="C343" s="113">
        <v>18558</v>
      </c>
      <c r="D343" s="114" t="s">
        <v>409</v>
      </c>
      <c r="E343" s="113">
        <v>73</v>
      </c>
      <c r="F343" s="113" t="str">
        <f>IF(E343&lt;=20,"0-19",
IF(E343&lt;=50,"20-49",
IF(E343&lt;=80,"50-79","80+")))</f>
        <v>50-79</v>
      </c>
      <c r="G343" s="113" t="s">
        <v>410</v>
      </c>
      <c r="H343" s="113" t="s">
        <v>22</v>
      </c>
      <c r="I343" s="114" t="s">
        <v>411</v>
      </c>
      <c r="J343" s="82" t="s">
        <v>2270</v>
      </c>
      <c r="K343" s="114" t="s">
        <v>412</v>
      </c>
      <c r="L343" s="113" t="s">
        <v>25</v>
      </c>
      <c r="M343" s="114">
        <v>5</v>
      </c>
      <c r="N343" s="115">
        <v>503236</v>
      </c>
      <c r="O343" s="87" t="s">
        <v>18</v>
      </c>
      <c r="P343" s="171"/>
      <c r="Q343" s="210"/>
    </row>
    <row r="344" spans="1:17" x14ac:dyDescent="0.2">
      <c r="A344" s="104" t="s">
        <v>1452</v>
      </c>
      <c r="B344" s="87">
        <v>2505080</v>
      </c>
      <c r="C344" s="87">
        <v>100854</v>
      </c>
      <c r="D344" s="87" t="s">
        <v>1453</v>
      </c>
      <c r="E344" s="87">
        <v>69</v>
      </c>
      <c r="F344" s="87" t="str">
        <f>IF(E344&lt;=20,"0-19",
IF(E344&lt;=50,"20-49",
IF(E344&lt;=80,"50-79","80+")))</f>
        <v>50-79</v>
      </c>
      <c r="G344" s="87" t="s">
        <v>1454</v>
      </c>
      <c r="H344" s="87" t="s">
        <v>22</v>
      </c>
      <c r="I344" s="86" t="s">
        <v>1645</v>
      </c>
      <c r="J344" s="86" t="s">
        <v>2270</v>
      </c>
      <c r="K344" s="87" t="s">
        <v>1572</v>
      </c>
      <c r="L344" s="87" t="s">
        <v>1559</v>
      </c>
      <c r="M344" s="87">
        <v>5</v>
      </c>
      <c r="N344" s="161">
        <v>47758</v>
      </c>
      <c r="O344" s="161" t="s">
        <v>2254</v>
      </c>
      <c r="P344" s="168">
        <v>254723768076</v>
      </c>
      <c r="Q344" s="210"/>
    </row>
    <row r="345" spans="1:17" x14ac:dyDescent="0.2">
      <c r="A345" s="104" t="s">
        <v>1768</v>
      </c>
      <c r="B345" s="86">
        <v>2001102</v>
      </c>
      <c r="C345" s="87">
        <v>636</v>
      </c>
      <c r="D345" s="86" t="s">
        <v>778</v>
      </c>
      <c r="E345" s="86">
        <v>82</v>
      </c>
      <c r="F345" s="86" t="str">
        <f>IF(E345&lt;=20,"0-19",
IF(E345&lt;=50,"20-49",
IF(E345&lt;=80,"50-79","80+")))</f>
        <v>80+</v>
      </c>
      <c r="G345" s="86" t="s">
        <v>126</v>
      </c>
      <c r="H345" s="86" t="s">
        <v>22</v>
      </c>
      <c r="I345" s="86" t="s">
        <v>1769</v>
      </c>
      <c r="J345" s="86" t="s">
        <v>2270</v>
      </c>
      <c r="K345" s="86" t="s">
        <v>1232</v>
      </c>
      <c r="L345" s="88" t="s">
        <v>1553</v>
      </c>
      <c r="M345" s="88">
        <v>5</v>
      </c>
      <c r="N345" s="163">
        <v>194191</v>
      </c>
      <c r="O345" s="163" t="s">
        <v>2254</v>
      </c>
      <c r="P345" s="168">
        <v>254721629072</v>
      </c>
      <c r="Q345" s="210"/>
    </row>
    <row r="346" spans="1:17" x14ac:dyDescent="0.2">
      <c r="A346" s="139" t="s">
        <v>319</v>
      </c>
      <c r="B346" s="113">
        <v>2001321</v>
      </c>
      <c r="C346" s="113">
        <v>9425</v>
      </c>
      <c r="D346" s="114" t="s">
        <v>402</v>
      </c>
      <c r="E346" s="113">
        <v>73</v>
      </c>
      <c r="F346" s="113" t="str">
        <f>IF(E346&lt;=20,"0-19",
IF(E346&lt;=50,"20-49",
IF(E346&lt;=80,"50-79","80+")))</f>
        <v>50-79</v>
      </c>
      <c r="G346" s="113" t="s">
        <v>403</v>
      </c>
      <c r="H346" s="113" t="s">
        <v>22</v>
      </c>
      <c r="I346" s="114" t="s">
        <v>404</v>
      </c>
      <c r="J346" s="114" t="s">
        <v>2270</v>
      </c>
      <c r="K346" s="114" t="s">
        <v>405</v>
      </c>
      <c r="L346" s="113" t="s">
        <v>71</v>
      </c>
      <c r="M346" s="114">
        <v>5</v>
      </c>
      <c r="N346" s="115">
        <v>479902</v>
      </c>
      <c r="O346" s="87" t="s">
        <v>18</v>
      </c>
      <c r="P346" s="171"/>
      <c r="Q346" s="210"/>
    </row>
    <row r="347" spans="1:17" x14ac:dyDescent="0.2">
      <c r="A347" s="139" t="s">
        <v>43</v>
      </c>
      <c r="B347" s="82">
        <v>2407155</v>
      </c>
      <c r="C347" s="82">
        <v>59414</v>
      </c>
      <c r="D347" s="82" t="s">
        <v>1323</v>
      </c>
      <c r="E347" s="82">
        <v>57</v>
      </c>
      <c r="F347" s="82" t="str">
        <f>IF(E347&lt;=20,"0-19",
IF(E347&lt;=50,"20-49",
IF(E347&lt;=80,"50-79","80+")))</f>
        <v>50-79</v>
      </c>
      <c r="G347" s="82" t="s">
        <v>1324</v>
      </c>
      <c r="H347" s="82" t="s">
        <v>15</v>
      </c>
      <c r="I347" s="82" t="s">
        <v>1325</v>
      </c>
      <c r="J347" s="82" t="s">
        <v>2270</v>
      </c>
      <c r="K347" s="82" t="s">
        <v>1326</v>
      </c>
      <c r="L347" s="82" t="s">
        <v>1231</v>
      </c>
      <c r="M347" s="82">
        <v>5</v>
      </c>
      <c r="N347" s="84">
        <v>444480.16</v>
      </c>
      <c r="O347" s="82" t="s">
        <v>832</v>
      </c>
      <c r="P347" s="170"/>
      <c r="Q347" s="210"/>
    </row>
    <row r="348" spans="1:17" x14ac:dyDescent="0.2">
      <c r="A348" s="139" t="s">
        <v>1503</v>
      </c>
      <c r="B348" s="82">
        <v>2022358</v>
      </c>
      <c r="C348" s="82">
        <v>18774</v>
      </c>
      <c r="D348" s="82" t="s">
        <v>1054</v>
      </c>
      <c r="E348" s="82">
        <v>60</v>
      </c>
      <c r="F348" s="82" t="str">
        <f>IF(E348&lt;=20,"0-19",
IF(E348&lt;=50,"20-49",
IF(E348&lt;=80,"50-79","80+")))</f>
        <v>50-79</v>
      </c>
      <c r="G348" s="82" t="s">
        <v>60</v>
      </c>
      <c r="H348" s="82" t="s">
        <v>22</v>
      </c>
      <c r="I348" s="92" t="s">
        <v>1055</v>
      </c>
      <c r="J348" s="92" t="s">
        <v>2270</v>
      </c>
      <c r="K348" s="92" t="s">
        <v>880</v>
      </c>
      <c r="L348" s="82" t="s">
        <v>831</v>
      </c>
      <c r="M348" s="82">
        <v>5</v>
      </c>
      <c r="N348" s="84">
        <v>155922.47</v>
      </c>
      <c r="O348" s="82" t="s">
        <v>832</v>
      </c>
      <c r="P348" s="170"/>
      <c r="Q348" s="210"/>
    </row>
    <row r="349" spans="1:17" ht="21" x14ac:dyDescent="0.2">
      <c r="A349" s="105" t="s">
        <v>1856</v>
      </c>
      <c r="B349" s="92">
        <v>2013452</v>
      </c>
      <c r="C349" s="82">
        <v>102717</v>
      </c>
      <c r="D349" s="92" t="s">
        <v>2217</v>
      </c>
      <c r="E349" s="92">
        <v>67</v>
      </c>
      <c r="F349" s="92" t="str">
        <f>IF(E349&lt;=20,"0-19",
IF(E349&lt;=50,"20-49",
IF(E349&lt;=80,"50-79","80+")))</f>
        <v>50-79</v>
      </c>
      <c r="G349" s="92" t="s">
        <v>2218</v>
      </c>
      <c r="H349" s="92" t="s">
        <v>15</v>
      </c>
      <c r="I349" s="92" t="s">
        <v>2266</v>
      </c>
      <c r="J349" s="114" t="s">
        <v>2546</v>
      </c>
      <c r="K349" s="92" t="s">
        <v>1928</v>
      </c>
      <c r="L349" s="92" t="s">
        <v>1918</v>
      </c>
      <c r="M349" s="92">
        <v>5</v>
      </c>
      <c r="N349" s="159">
        <v>378474</v>
      </c>
      <c r="O349" s="159" t="s">
        <v>2254</v>
      </c>
      <c r="P349" s="152">
        <v>254710918163</v>
      </c>
      <c r="Q349" s="210"/>
    </row>
    <row r="350" spans="1:17" x14ac:dyDescent="0.2">
      <c r="A350" s="139" t="s">
        <v>1482</v>
      </c>
      <c r="B350" s="82">
        <v>2018317</v>
      </c>
      <c r="C350" s="82">
        <v>75670</v>
      </c>
      <c r="D350" s="82" t="s">
        <v>1052</v>
      </c>
      <c r="E350" s="82">
        <v>16</v>
      </c>
      <c r="F350" s="82" t="str">
        <f>IF(E350&lt;=20,"0-19",
IF(E350&lt;=50,"20-49",
IF(E350&lt;=80,"50-79","80+")))</f>
        <v>0-19</v>
      </c>
      <c r="G350" s="82" t="s">
        <v>1053</v>
      </c>
      <c r="H350" s="82" t="s">
        <v>132</v>
      </c>
      <c r="I350" s="82" t="s">
        <v>89</v>
      </c>
      <c r="J350" s="114" t="s">
        <v>2546</v>
      </c>
      <c r="K350" s="92" t="s">
        <v>896</v>
      </c>
      <c r="L350" s="92" t="s">
        <v>860</v>
      </c>
      <c r="M350" s="82">
        <v>5</v>
      </c>
      <c r="N350" s="84">
        <v>69935</v>
      </c>
      <c r="O350" s="82" t="s">
        <v>832</v>
      </c>
      <c r="P350" s="171"/>
      <c r="Q350" s="210"/>
    </row>
    <row r="351" spans="1:17" x14ac:dyDescent="0.2">
      <c r="A351" s="105" t="s">
        <v>63</v>
      </c>
      <c r="B351" s="92">
        <v>2020141</v>
      </c>
      <c r="C351" s="82">
        <v>16148</v>
      </c>
      <c r="D351" s="92" t="s">
        <v>1800</v>
      </c>
      <c r="E351" s="92">
        <v>65</v>
      </c>
      <c r="F351" s="92" t="str">
        <f>IF(E351&lt;=20,"0-19",
IF(E351&lt;=50,"20-49",
IF(E351&lt;=80,"50-79","80+")))</f>
        <v>50-79</v>
      </c>
      <c r="G351" s="92" t="s">
        <v>1789</v>
      </c>
      <c r="H351" s="92" t="s">
        <v>22</v>
      </c>
      <c r="I351" s="92" t="s">
        <v>1801</v>
      </c>
      <c r="J351" s="92" t="s">
        <v>2283</v>
      </c>
      <c r="K351" s="92" t="s">
        <v>1225</v>
      </c>
      <c r="L351" s="92" t="s">
        <v>1562</v>
      </c>
      <c r="M351" s="93">
        <v>5</v>
      </c>
      <c r="N351" s="159">
        <v>261061</v>
      </c>
      <c r="O351" s="159" t="s">
        <v>2254</v>
      </c>
      <c r="P351" s="152">
        <v>254722699482</v>
      </c>
      <c r="Q351" s="210"/>
    </row>
    <row r="352" spans="1:17" x14ac:dyDescent="0.2">
      <c r="A352" s="139" t="s">
        <v>340</v>
      </c>
      <c r="B352" s="82">
        <v>2023528</v>
      </c>
      <c r="C352" s="82">
        <v>55634</v>
      </c>
      <c r="D352" s="82" t="s">
        <v>1056</v>
      </c>
      <c r="E352" s="82">
        <v>63</v>
      </c>
      <c r="F352" s="82" t="str">
        <f>IF(E352&lt;=20,"0-19",
IF(E352&lt;=50,"20-49",
IF(E352&lt;=80,"50-79","80+")))</f>
        <v>50-79</v>
      </c>
      <c r="G352" s="82" t="s">
        <v>1057</v>
      </c>
      <c r="H352" s="82" t="s">
        <v>15</v>
      </c>
      <c r="I352" s="92" t="s">
        <v>1058</v>
      </c>
      <c r="J352" s="92" t="s">
        <v>2283</v>
      </c>
      <c r="K352" s="92" t="s">
        <v>831</v>
      </c>
      <c r="L352" s="82" t="s">
        <v>855</v>
      </c>
      <c r="M352" s="82">
        <v>5</v>
      </c>
      <c r="N352" s="84">
        <v>99345</v>
      </c>
      <c r="O352" s="82" t="s">
        <v>832</v>
      </c>
      <c r="P352" s="171"/>
      <c r="Q352" s="210"/>
    </row>
    <row r="353" spans="1:17" x14ac:dyDescent="0.2">
      <c r="A353" s="105" t="s">
        <v>1696</v>
      </c>
      <c r="B353" s="82">
        <v>2002022</v>
      </c>
      <c r="C353" s="82">
        <v>13047</v>
      </c>
      <c r="D353" s="82" t="s">
        <v>2089</v>
      </c>
      <c r="E353" s="82">
        <v>69</v>
      </c>
      <c r="F353" s="82" t="str">
        <f>IF(E353&lt;=20,"0-19",
IF(E353&lt;=50,"20-49",
IF(E353&lt;=80,"50-79","80+")))</f>
        <v>50-79</v>
      </c>
      <c r="G353" s="82" t="s">
        <v>2090</v>
      </c>
      <c r="H353" s="82" t="s">
        <v>22</v>
      </c>
      <c r="I353" s="82" t="s">
        <v>2091</v>
      </c>
      <c r="J353" s="82" t="s">
        <v>2283</v>
      </c>
      <c r="K353" s="92" t="s">
        <v>2048</v>
      </c>
      <c r="L353" s="82" t="s">
        <v>1921</v>
      </c>
      <c r="M353" s="82">
        <v>5</v>
      </c>
      <c r="N353" s="151">
        <v>87664</v>
      </c>
      <c r="O353" s="151" t="s">
        <v>2254</v>
      </c>
      <c r="P353" s="152">
        <v>724551041</v>
      </c>
      <c r="Q353" s="210"/>
    </row>
    <row r="354" spans="1:17" x14ac:dyDescent="0.2">
      <c r="A354" s="139" t="s">
        <v>916</v>
      </c>
      <c r="B354" s="82">
        <v>200779</v>
      </c>
      <c r="C354" s="82">
        <v>1284</v>
      </c>
      <c r="D354" s="82" t="s">
        <v>1024</v>
      </c>
      <c r="E354" s="82">
        <v>66</v>
      </c>
      <c r="F354" s="82" t="str">
        <f>IF(E354&lt;=20,"0-19",
IF(E354&lt;=50,"20-49",
IF(E354&lt;=80,"50-79","80+")))</f>
        <v>50-79</v>
      </c>
      <c r="G354" s="82" t="s">
        <v>1025</v>
      </c>
      <c r="H354" s="82" t="s">
        <v>15</v>
      </c>
      <c r="I354" s="92" t="s">
        <v>1026</v>
      </c>
      <c r="J354" s="92" t="s">
        <v>2283</v>
      </c>
      <c r="K354" s="92" t="s">
        <v>835</v>
      </c>
      <c r="L354" s="82" t="s">
        <v>846</v>
      </c>
      <c r="M354" s="82">
        <v>5</v>
      </c>
      <c r="N354" s="84">
        <v>270736.14</v>
      </c>
      <c r="O354" s="82" t="s">
        <v>832</v>
      </c>
      <c r="P354" s="171"/>
      <c r="Q354" s="210"/>
    </row>
    <row r="355" spans="1:17" x14ac:dyDescent="0.2">
      <c r="A355" s="105" t="s">
        <v>53</v>
      </c>
      <c r="B355" s="82">
        <v>2012898</v>
      </c>
      <c r="C355" s="82">
        <v>69679</v>
      </c>
      <c r="D355" s="82" t="s">
        <v>1826</v>
      </c>
      <c r="E355" s="82">
        <v>49</v>
      </c>
      <c r="F355" s="82" t="str">
        <f>IF(E355&lt;=20,"0-19",
IF(E355&lt;=50,"20-49",
IF(E355&lt;=80,"50-79","80+")))</f>
        <v>20-49</v>
      </c>
      <c r="G355" s="82" t="s">
        <v>1827</v>
      </c>
      <c r="H355" s="82" t="s">
        <v>15</v>
      </c>
      <c r="I355" s="92" t="s">
        <v>1828</v>
      </c>
      <c r="J355" s="92" t="s">
        <v>2275</v>
      </c>
      <c r="K355" s="82" t="s">
        <v>1562</v>
      </c>
      <c r="L355" s="82" t="s">
        <v>1572</v>
      </c>
      <c r="M355" s="82">
        <v>6</v>
      </c>
      <c r="N355" s="151">
        <v>324380</v>
      </c>
      <c r="O355" s="151" t="s">
        <v>2254</v>
      </c>
      <c r="P355" s="152">
        <v>254758571773</v>
      </c>
      <c r="Q355" s="210"/>
    </row>
    <row r="356" spans="1:17" x14ac:dyDescent="0.2">
      <c r="A356" s="104" t="s">
        <v>63</v>
      </c>
      <c r="B356" s="87">
        <v>2020249</v>
      </c>
      <c r="C356" s="87">
        <v>19102</v>
      </c>
      <c r="D356" s="87" t="s">
        <v>1807</v>
      </c>
      <c r="E356" s="87">
        <v>58</v>
      </c>
      <c r="F356" s="87" t="str">
        <f>IF(E356&lt;=20,"0-19",
IF(E356&lt;=50,"20-49",
IF(E356&lt;=80,"50-79","80+")))</f>
        <v>50-79</v>
      </c>
      <c r="G356" s="87" t="s">
        <v>1808</v>
      </c>
      <c r="H356" s="87" t="s">
        <v>22</v>
      </c>
      <c r="I356" s="86" t="s">
        <v>1809</v>
      </c>
      <c r="J356" s="86" t="s">
        <v>2275</v>
      </c>
      <c r="K356" s="87" t="s">
        <v>1546</v>
      </c>
      <c r="L356" s="87" t="s">
        <v>1543</v>
      </c>
      <c r="M356" s="87">
        <v>6</v>
      </c>
      <c r="N356" s="161">
        <v>284948</v>
      </c>
      <c r="O356" s="161" t="s">
        <v>2254</v>
      </c>
      <c r="P356" s="168">
        <v>254722845819</v>
      </c>
      <c r="Q356" s="210"/>
    </row>
    <row r="357" spans="1:17" x14ac:dyDescent="0.2">
      <c r="A357" s="138" t="s">
        <v>309</v>
      </c>
      <c r="B357" s="87">
        <v>2020047</v>
      </c>
      <c r="C357" s="87">
        <v>83597</v>
      </c>
      <c r="D357" s="87" t="s">
        <v>437</v>
      </c>
      <c r="E357" s="86">
        <v>8</v>
      </c>
      <c r="F357" s="86" t="str">
        <f>IF(E357&lt;=20,"0-19",
IF(E357&lt;=50,"20-49",
IF(E357&lt;=80,"50-79","80+")))</f>
        <v>0-19</v>
      </c>
      <c r="G357" s="87" t="s">
        <v>438</v>
      </c>
      <c r="H357" s="87" t="s">
        <v>132</v>
      </c>
      <c r="I357" s="87" t="s">
        <v>439</v>
      </c>
      <c r="J357" s="87" t="s">
        <v>2275</v>
      </c>
      <c r="K357" s="86" t="s">
        <v>52</v>
      </c>
      <c r="L357" s="86" t="s">
        <v>141</v>
      </c>
      <c r="M357" s="87">
        <v>6</v>
      </c>
      <c r="N357" s="97">
        <v>298952.53000000003</v>
      </c>
      <c r="O357" s="87" t="s">
        <v>18</v>
      </c>
      <c r="P357" s="171"/>
      <c r="Q357" s="210"/>
    </row>
    <row r="358" spans="1:17" x14ac:dyDescent="0.2">
      <c r="A358" s="139" t="s">
        <v>847</v>
      </c>
      <c r="B358" s="93">
        <v>2005358</v>
      </c>
      <c r="C358" s="82">
        <v>8589</v>
      </c>
      <c r="D358" s="93" t="s">
        <v>1061</v>
      </c>
      <c r="E358" s="93">
        <v>66</v>
      </c>
      <c r="F358" s="93" t="str">
        <f>IF(E358&lt;=20,"0-19",
IF(E358&lt;=50,"20-49",
IF(E358&lt;=80,"50-79","80+")))</f>
        <v>50-79</v>
      </c>
      <c r="G358" s="93" t="s">
        <v>49</v>
      </c>
      <c r="H358" s="93" t="s">
        <v>15</v>
      </c>
      <c r="I358" s="93" t="s">
        <v>1062</v>
      </c>
      <c r="J358" s="93" t="s">
        <v>2275</v>
      </c>
      <c r="K358" s="93" t="s">
        <v>108</v>
      </c>
      <c r="L358" s="93" t="s">
        <v>835</v>
      </c>
      <c r="M358" s="93">
        <v>6</v>
      </c>
      <c r="N358" s="94">
        <v>246983</v>
      </c>
      <c r="O358" s="82" t="s">
        <v>832</v>
      </c>
      <c r="P358" s="170"/>
      <c r="Q358" s="210"/>
    </row>
    <row r="359" spans="1:17" x14ac:dyDescent="0.2">
      <c r="A359" s="139" t="s">
        <v>155</v>
      </c>
      <c r="B359" s="82">
        <v>2007480</v>
      </c>
      <c r="C359" s="82">
        <v>63926</v>
      </c>
      <c r="D359" s="82" t="s">
        <v>472</v>
      </c>
      <c r="E359" s="92">
        <v>54</v>
      </c>
      <c r="F359" s="92" t="str">
        <f>IF(E359&lt;=20,"0-19",
IF(E359&lt;=50,"20-49",
IF(E359&lt;=80,"50-79","80+")))</f>
        <v>50-79</v>
      </c>
      <c r="G359" s="82" t="s">
        <v>473</v>
      </c>
      <c r="H359" s="82" t="s">
        <v>15</v>
      </c>
      <c r="I359" s="82" t="s">
        <v>474</v>
      </c>
      <c r="J359" s="82" t="s">
        <v>2304</v>
      </c>
      <c r="K359" s="92" t="s">
        <v>52</v>
      </c>
      <c r="L359" s="92" t="s">
        <v>141</v>
      </c>
      <c r="M359" s="82">
        <v>6</v>
      </c>
      <c r="N359" s="101">
        <v>163919</v>
      </c>
      <c r="O359" s="82" t="s">
        <v>18</v>
      </c>
      <c r="P359" s="170"/>
      <c r="Q359" s="210"/>
    </row>
    <row r="360" spans="1:17" x14ac:dyDescent="0.2">
      <c r="A360" s="106" t="s">
        <v>340</v>
      </c>
      <c r="B360" s="87">
        <v>2015275</v>
      </c>
      <c r="C360" s="87">
        <v>32066</v>
      </c>
      <c r="D360" s="87" t="s">
        <v>2123</v>
      </c>
      <c r="E360" s="87">
        <v>66</v>
      </c>
      <c r="F360" s="87" t="str">
        <f>IF(E360&lt;=20,"0-19",
IF(E360&lt;=50,"20-49",
IF(E360&lt;=80,"50-79","80+")))</f>
        <v>50-79</v>
      </c>
      <c r="G360" s="87" t="s">
        <v>2124</v>
      </c>
      <c r="H360" s="87" t="s">
        <v>22</v>
      </c>
      <c r="I360" s="87" t="s">
        <v>360</v>
      </c>
      <c r="J360" s="87" t="s">
        <v>2304</v>
      </c>
      <c r="K360" s="86" t="s">
        <v>1551</v>
      </c>
      <c r="L360" s="87" t="s">
        <v>1916</v>
      </c>
      <c r="M360" s="87">
        <v>6</v>
      </c>
      <c r="N360" s="161">
        <v>115137</v>
      </c>
      <c r="O360" s="161" t="s">
        <v>2254</v>
      </c>
      <c r="P360" s="168">
        <v>254720269792</v>
      </c>
      <c r="Q360" s="210"/>
    </row>
    <row r="361" spans="1:17" x14ac:dyDescent="0.2">
      <c r="A361" s="104" t="s">
        <v>43</v>
      </c>
      <c r="B361" s="88">
        <v>2001990</v>
      </c>
      <c r="C361" s="87">
        <v>14236</v>
      </c>
      <c r="D361" s="88" t="s">
        <v>2174</v>
      </c>
      <c r="E361" s="88">
        <v>70</v>
      </c>
      <c r="F361" s="88" t="str">
        <f>IF(E361&lt;=20,"0-19",
IF(E361&lt;=50,"20-49",
IF(E361&lt;=80,"50-79","80+")))</f>
        <v>50-79</v>
      </c>
      <c r="G361" s="88" t="s">
        <v>2175</v>
      </c>
      <c r="H361" s="88" t="s">
        <v>22</v>
      </c>
      <c r="I361" s="88" t="s">
        <v>2176</v>
      </c>
      <c r="J361" s="114" t="s">
        <v>2304</v>
      </c>
      <c r="K361" s="88" t="s">
        <v>1895</v>
      </c>
      <c r="L361" s="88" t="s">
        <v>1918</v>
      </c>
      <c r="M361" s="88">
        <v>6</v>
      </c>
      <c r="N361" s="163">
        <v>191357</v>
      </c>
      <c r="O361" s="163" t="s">
        <v>2254</v>
      </c>
      <c r="P361" s="168">
        <v>254721681450</v>
      </c>
      <c r="Q361" s="210"/>
    </row>
    <row r="362" spans="1:17" x14ac:dyDescent="0.2">
      <c r="A362" s="139" t="s">
        <v>208</v>
      </c>
      <c r="B362" s="82">
        <v>2002525</v>
      </c>
      <c r="C362" s="82">
        <v>10337</v>
      </c>
      <c r="D362" s="82" t="s">
        <v>440</v>
      </c>
      <c r="E362" s="92">
        <v>69</v>
      </c>
      <c r="F362" s="92" t="str">
        <f>IF(E362&lt;=20,"0-19",
IF(E362&lt;=50,"20-49",
IF(E362&lt;=80,"50-79","80+")))</f>
        <v>50-79</v>
      </c>
      <c r="G362" s="82" t="s">
        <v>441</v>
      </c>
      <c r="H362" s="82" t="s">
        <v>22</v>
      </c>
      <c r="I362" s="82" t="s">
        <v>442</v>
      </c>
      <c r="J362" s="82" t="s">
        <v>2295</v>
      </c>
      <c r="K362" s="92" t="s">
        <v>79</v>
      </c>
      <c r="L362" s="92" t="s">
        <v>66</v>
      </c>
      <c r="M362" s="82">
        <v>6</v>
      </c>
      <c r="N362" s="101">
        <v>180225</v>
      </c>
      <c r="O362" s="82" t="s">
        <v>18</v>
      </c>
      <c r="P362" s="170"/>
      <c r="Q362" s="210"/>
    </row>
    <row r="363" spans="1:17" x14ac:dyDescent="0.2">
      <c r="A363" s="139" t="s">
        <v>19</v>
      </c>
      <c r="B363" s="82">
        <v>2020636</v>
      </c>
      <c r="C363" s="82">
        <v>18572</v>
      </c>
      <c r="D363" s="82" t="s">
        <v>968</v>
      </c>
      <c r="E363" s="82">
        <v>63</v>
      </c>
      <c r="F363" s="82" t="str">
        <f>IF(E363&lt;=20,"0-19",
IF(E363&lt;=50,"20-49",
IF(E363&lt;=80,"50-79","80+")))</f>
        <v>50-79</v>
      </c>
      <c r="G363" s="82" t="s">
        <v>969</v>
      </c>
      <c r="H363" s="82" t="s">
        <v>22</v>
      </c>
      <c r="I363" s="92" t="s">
        <v>970</v>
      </c>
      <c r="J363" s="92" t="s">
        <v>2295</v>
      </c>
      <c r="K363" s="92" t="s">
        <v>193</v>
      </c>
      <c r="L363" s="82" t="s">
        <v>846</v>
      </c>
      <c r="M363" s="82">
        <v>6</v>
      </c>
      <c r="N363" s="84">
        <v>316061</v>
      </c>
      <c r="O363" s="82" t="s">
        <v>832</v>
      </c>
      <c r="P363" s="170"/>
      <c r="Q363" s="210"/>
    </row>
    <row r="364" spans="1:17" x14ac:dyDescent="0.2">
      <c r="A364" s="103" t="s">
        <v>337</v>
      </c>
      <c r="B364" s="82">
        <v>2016925</v>
      </c>
      <c r="C364" s="82">
        <v>100384</v>
      </c>
      <c r="D364" s="82" t="s">
        <v>453</v>
      </c>
      <c r="E364" s="92">
        <v>66</v>
      </c>
      <c r="F364" s="92" t="str">
        <f>IF(E364&lt;=20,"0-19",
IF(E364&lt;=50,"20-49",
IF(E364&lt;=80,"50-79","80+")))</f>
        <v>50-79</v>
      </c>
      <c r="G364" s="82" t="s">
        <v>454</v>
      </c>
      <c r="H364" s="82" t="s">
        <v>22</v>
      </c>
      <c r="I364" s="82" t="s">
        <v>455</v>
      </c>
      <c r="J364" s="82" t="s">
        <v>2270</v>
      </c>
      <c r="K364" s="92" t="s">
        <v>94</v>
      </c>
      <c r="L364" s="92" t="s">
        <v>62</v>
      </c>
      <c r="M364" s="82">
        <v>6</v>
      </c>
      <c r="N364" s="101">
        <v>159557</v>
      </c>
      <c r="O364" s="82" t="s">
        <v>18</v>
      </c>
      <c r="P364" s="170"/>
      <c r="Q364" s="210"/>
    </row>
    <row r="365" spans="1:17" x14ac:dyDescent="0.2">
      <c r="A365" s="105" t="s">
        <v>72</v>
      </c>
      <c r="B365" s="82">
        <v>2003958</v>
      </c>
      <c r="C365" s="82">
        <v>31482</v>
      </c>
      <c r="D365" s="82" t="s">
        <v>496</v>
      </c>
      <c r="E365" s="82">
        <v>67</v>
      </c>
      <c r="F365" s="82" t="str">
        <f>IF(E365&lt;=20,"0-19",
IF(E365&lt;=50,"20-49",
IF(E365&lt;=80,"50-79","80+")))</f>
        <v>50-79</v>
      </c>
      <c r="G365" s="82" t="s">
        <v>497</v>
      </c>
      <c r="H365" s="82" t="s">
        <v>22</v>
      </c>
      <c r="I365" s="92" t="s">
        <v>1796</v>
      </c>
      <c r="J365" s="114" t="s">
        <v>2546</v>
      </c>
      <c r="K365" s="82" t="s">
        <v>1254</v>
      </c>
      <c r="L365" s="82" t="s">
        <v>1546</v>
      </c>
      <c r="M365" s="82">
        <v>6</v>
      </c>
      <c r="N365" s="151">
        <v>257311.2</v>
      </c>
      <c r="O365" s="151" t="s">
        <v>2254</v>
      </c>
      <c r="P365" s="152">
        <v>254721584850</v>
      </c>
      <c r="Q365" s="210"/>
    </row>
    <row r="366" spans="1:17" x14ac:dyDescent="0.2">
      <c r="A366" s="139" t="s">
        <v>836</v>
      </c>
      <c r="B366" s="82">
        <v>2002534</v>
      </c>
      <c r="C366" s="82">
        <v>9231</v>
      </c>
      <c r="D366" s="82" t="s">
        <v>1441</v>
      </c>
      <c r="E366" s="82">
        <v>70</v>
      </c>
      <c r="F366" s="82" t="str">
        <f>IF(E366&lt;=20,"0-19",
IF(E366&lt;=50,"20-49",
IF(E366&lt;=80,"50-79","80+")))</f>
        <v>50-79</v>
      </c>
      <c r="G366" s="82" t="s">
        <v>1442</v>
      </c>
      <c r="H366" s="82" t="s">
        <v>22</v>
      </c>
      <c r="I366" s="92" t="s">
        <v>1443</v>
      </c>
      <c r="J366" s="114" t="s">
        <v>2546</v>
      </c>
      <c r="K366" s="92" t="s">
        <v>1238</v>
      </c>
      <c r="L366" s="92" t="s">
        <v>1242</v>
      </c>
      <c r="M366" s="82">
        <v>6</v>
      </c>
      <c r="N366" s="84">
        <v>227599.6</v>
      </c>
      <c r="O366" s="82" t="s">
        <v>832</v>
      </c>
      <c r="P366" s="170"/>
      <c r="Q366" s="210"/>
    </row>
    <row r="367" spans="1:17" x14ac:dyDescent="0.2">
      <c r="A367" s="105" t="s">
        <v>856</v>
      </c>
      <c r="B367" s="92">
        <v>2018628</v>
      </c>
      <c r="C367" s="82">
        <v>55007</v>
      </c>
      <c r="D367" s="92" t="s">
        <v>1770</v>
      </c>
      <c r="E367" s="92">
        <v>63</v>
      </c>
      <c r="F367" s="92" t="str">
        <f>IF(E367&lt;=20,"0-19",
IF(E367&lt;=50,"20-49",
IF(E367&lt;=80,"50-79","80+")))</f>
        <v>50-79</v>
      </c>
      <c r="G367" s="92" t="s">
        <v>1771</v>
      </c>
      <c r="H367" s="92" t="s">
        <v>22</v>
      </c>
      <c r="I367" s="92" t="s">
        <v>1772</v>
      </c>
      <c r="J367" s="92" t="s">
        <v>2310</v>
      </c>
      <c r="K367" s="92" t="s">
        <v>1225</v>
      </c>
      <c r="L367" s="92" t="s">
        <v>1542</v>
      </c>
      <c r="M367" s="93">
        <v>6</v>
      </c>
      <c r="N367" s="159">
        <v>215427.83</v>
      </c>
      <c r="O367" s="159" t="s">
        <v>2254</v>
      </c>
      <c r="P367" s="152">
        <v>254722459110</v>
      </c>
      <c r="Q367" s="210"/>
    </row>
    <row r="368" spans="1:17" x14ac:dyDescent="0.2">
      <c r="A368" s="139" t="s">
        <v>68</v>
      </c>
      <c r="B368" s="113">
        <v>2009348</v>
      </c>
      <c r="C368" s="113">
        <v>31903</v>
      </c>
      <c r="D368" s="114" t="s">
        <v>466</v>
      </c>
      <c r="E368" s="113">
        <v>63</v>
      </c>
      <c r="F368" s="113" t="str">
        <f>IF(E368&lt;=20,"0-19",
IF(E368&lt;=50,"20-49",
IF(E368&lt;=80,"50-79","80+")))</f>
        <v>50-79</v>
      </c>
      <c r="G368" s="113" t="s">
        <v>467</v>
      </c>
      <c r="H368" s="113" t="s">
        <v>22</v>
      </c>
      <c r="I368" s="114" t="s">
        <v>468</v>
      </c>
      <c r="J368" s="114" t="s">
        <v>2310</v>
      </c>
      <c r="K368" s="114" t="s">
        <v>25</v>
      </c>
      <c r="L368" s="113" t="s">
        <v>37</v>
      </c>
      <c r="M368" s="114">
        <v>6</v>
      </c>
      <c r="N368" s="115">
        <v>107015</v>
      </c>
      <c r="O368" s="82" t="s">
        <v>18</v>
      </c>
      <c r="P368" s="170"/>
      <c r="Q368" s="210"/>
    </row>
    <row r="369" spans="1:17" x14ac:dyDescent="0.2">
      <c r="A369" s="139" t="s">
        <v>856</v>
      </c>
      <c r="B369" s="92">
        <v>2003252</v>
      </c>
      <c r="C369" s="82">
        <v>60699</v>
      </c>
      <c r="D369" s="92" t="s">
        <v>1347</v>
      </c>
      <c r="E369" s="92">
        <v>64</v>
      </c>
      <c r="F369" s="92" t="str">
        <f>IF(E369&lt;=20,"0-19",
IF(E369&lt;=50,"20-49",
IF(E369&lt;=80,"50-79","80+")))</f>
        <v>50-79</v>
      </c>
      <c r="G369" s="92" t="s">
        <v>1348</v>
      </c>
      <c r="H369" s="92" t="s">
        <v>22</v>
      </c>
      <c r="I369" s="92" t="s">
        <v>1349</v>
      </c>
      <c r="J369" s="92" t="s">
        <v>2328</v>
      </c>
      <c r="K369" s="92" t="s">
        <v>1288</v>
      </c>
      <c r="L369" s="93" t="s">
        <v>1264</v>
      </c>
      <c r="M369" s="93">
        <v>6</v>
      </c>
      <c r="N369" s="101">
        <v>218929.94</v>
      </c>
      <c r="O369" s="82" t="s">
        <v>832</v>
      </c>
      <c r="P369" s="170"/>
      <c r="Q369" s="210"/>
    </row>
    <row r="370" spans="1:17" x14ac:dyDescent="0.2">
      <c r="A370" s="139" t="s">
        <v>63</v>
      </c>
      <c r="B370" s="113">
        <v>2020497</v>
      </c>
      <c r="C370" s="113">
        <v>32267</v>
      </c>
      <c r="D370" s="114" t="s">
        <v>463</v>
      </c>
      <c r="E370" s="113">
        <v>52</v>
      </c>
      <c r="F370" s="113" t="str">
        <f>IF(E370&lt;=20,"0-19",
IF(E370&lt;=50,"20-49",
IF(E370&lt;=80,"50-79","80+")))</f>
        <v>50-79</v>
      </c>
      <c r="G370" s="113" t="s">
        <v>464</v>
      </c>
      <c r="H370" s="113" t="s">
        <v>15</v>
      </c>
      <c r="I370" s="114" t="s">
        <v>465</v>
      </c>
      <c r="J370" s="114" t="s">
        <v>2328</v>
      </c>
      <c r="K370" s="114" t="s">
        <v>57</v>
      </c>
      <c r="L370" s="113" t="s">
        <v>42</v>
      </c>
      <c r="M370" s="114">
        <v>6</v>
      </c>
      <c r="N370" s="115">
        <v>134113</v>
      </c>
      <c r="O370" s="87" t="s">
        <v>18</v>
      </c>
      <c r="P370" s="171"/>
      <c r="Q370" s="210"/>
    </row>
    <row r="371" spans="1:17" ht="21" x14ac:dyDescent="0.2">
      <c r="A371" s="139" t="s">
        <v>373</v>
      </c>
      <c r="B371" s="92">
        <v>2019948</v>
      </c>
      <c r="C371" s="82">
        <v>17370</v>
      </c>
      <c r="D371" s="92" t="s">
        <v>1063</v>
      </c>
      <c r="E371" s="92">
        <v>77</v>
      </c>
      <c r="F371" s="92" t="str">
        <f>IF(E371&lt;=20,"0-19",
IF(E371&lt;=50,"20-49",
IF(E371&lt;=80,"50-79","80+")))</f>
        <v>50-79</v>
      </c>
      <c r="G371" s="92" t="s">
        <v>1064</v>
      </c>
      <c r="H371" s="92" t="s">
        <v>15</v>
      </c>
      <c r="I371" s="92" t="s">
        <v>1065</v>
      </c>
      <c r="J371" s="92" t="s">
        <v>2314</v>
      </c>
      <c r="K371" s="92" t="s">
        <v>831</v>
      </c>
      <c r="L371" s="92" t="s">
        <v>909</v>
      </c>
      <c r="M371" s="92">
        <v>6</v>
      </c>
      <c r="N371" s="101">
        <v>352839</v>
      </c>
      <c r="O371" s="82" t="s">
        <v>832</v>
      </c>
      <c r="P371" s="171"/>
      <c r="Q371" s="210"/>
    </row>
    <row r="372" spans="1:17" ht="21" x14ac:dyDescent="0.2">
      <c r="A372" s="194" t="s">
        <v>228</v>
      </c>
      <c r="B372" s="188">
        <v>2002609</v>
      </c>
      <c r="C372" s="188">
        <v>14782</v>
      </c>
      <c r="D372" s="188" t="s">
        <v>475</v>
      </c>
      <c r="E372" s="199">
        <v>68</v>
      </c>
      <c r="F372" s="199" t="str">
        <f>IF(E372&lt;=20,"0-19",
IF(E372&lt;=50,"20-49",
IF(E372&lt;=80,"50-79","80+")))</f>
        <v>50-79</v>
      </c>
      <c r="G372" s="199" t="s">
        <v>476</v>
      </c>
      <c r="H372" s="199" t="s">
        <v>22</v>
      </c>
      <c r="I372" s="199" t="s">
        <v>477</v>
      </c>
      <c r="J372" s="199" t="s">
        <v>2314</v>
      </c>
      <c r="K372" s="199" t="s">
        <v>2261</v>
      </c>
      <c r="L372" s="188" t="s">
        <v>190</v>
      </c>
      <c r="M372" s="86">
        <v>6</v>
      </c>
      <c r="N372" s="192">
        <v>428828.37</v>
      </c>
      <c r="O372" s="87" t="s">
        <v>18</v>
      </c>
      <c r="P372" s="171"/>
      <c r="Q372" s="210"/>
    </row>
    <row r="373" spans="1:17" x14ac:dyDescent="0.2">
      <c r="A373" s="138" t="s">
        <v>43</v>
      </c>
      <c r="B373" s="87">
        <v>2010446</v>
      </c>
      <c r="C373" s="87">
        <v>100598</v>
      </c>
      <c r="D373" s="87" t="s">
        <v>443</v>
      </c>
      <c r="E373" s="86"/>
      <c r="F373" s="86" t="str">
        <f>IF(E373&lt;=20,"0-19",
IF(E373&lt;=50,"20-49",
IF(E373&lt;=80,"50-79","80+")))</f>
        <v>0-19</v>
      </c>
      <c r="G373" s="87" t="s">
        <v>444</v>
      </c>
      <c r="H373" s="87" t="s">
        <v>22</v>
      </c>
      <c r="I373" s="87" t="s">
        <v>445</v>
      </c>
      <c r="J373" s="87" t="s">
        <v>2270</v>
      </c>
      <c r="K373" s="86" t="s">
        <v>67</v>
      </c>
      <c r="L373" s="86" t="s">
        <v>85</v>
      </c>
      <c r="M373" s="87">
        <v>6</v>
      </c>
      <c r="N373" s="97">
        <v>240964</v>
      </c>
      <c r="O373" s="87" t="s">
        <v>18</v>
      </c>
      <c r="P373" s="171"/>
      <c r="Q373" s="210"/>
    </row>
    <row r="374" spans="1:17" x14ac:dyDescent="0.2">
      <c r="A374" s="139" t="s">
        <v>53</v>
      </c>
      <c r="B374" s="82">
        <v>2409102</v>
      </c>
      <c r="C374" s="82">
        <v>83166</v>
      </c>
      <c r="D374" s="82" t="s">
        <v>446</v>
      </c>
      <c r="E374" s="92">
        <v>35</v>
      </c>
      <c r="F374" s="92" t="str">
        <f>IF(E374&lt;=20,"0-19",
IF(E374&lt;=50,"20-49",
IF(E374&lt;=80,"50-79","80+")))</f>
        <v>20-49</v>
      </c>
      <c r="G374" s="82" t="s">
        <v>447</v>
      </c>
      <c r="H374" s="82" t="s">
        <v>15</v>
      </c>
      <c r="I374" s="82" t="s">
        <v>448</v>
      </c>
      <c r="J374" s="82" t="s">
        <v>2270</v>
      </c>
      <c r="K374" s="92" t="s">
        <v>141</v>
      </c>
      <c r="L374" s="92" t="s">
        <v>67</v>
      </c>
      <c r="M374" s="82">
        <v>6</v>
      </c>
      <c r="N374" s="101">
        <v>233533</v>
      </c>
      <c r="O374" s="82" t="s">
        <v>18</v>
      </c>
      <c r="P374" s="170"/>
      <c r="Q374" s="210"/>
    </row>
    <row r="375" spans="1:17" x14ac:dyDescent="0.2">
      <c r="A375" s="139" t="s">
        <v>449</v>
      </c>
      <c r="B375" s="113">
        <v>2013074</v>
      </c>
      <c r="C375" s="113">
        <v>101343</v>
      </c>
      <c r="D375" s="114" t="s">
        <v>450</v>
      </c>
      <c r="E375" s="113">
        <v>68</v>
      </c>
      <c r="F375" s="113" t="str">
        <f>IF(E375&lt;=20,"0-19",
IF(E375&lt;=50,"20-49",
IF(E375&lt;=80,"50-79","80+")))</f>
        <v>50-79</v>
      </c>
      <c r="G375" s="113" t="s">
        <v>451</v>
      </c>
      <c r="H375" s="113" t="s">
        <v>15</v>
      </c>
      <c r="I375" s="114" t="s">
        <v>452</v>
      </c>
      <c r="J375" s="114" t="s">
        <v>2328</v>
      </c>
      <c r="K375" s="114" t="s">
        <v>17</v>
      </c>
      <c r="L375" s="113" t="s">
        <v>57</v>
      </c>
      <c r="M375" s="114">
        <v>6</v>
      </c>
      <c r="N375" s="115">
        <v>181295.44</v>
      </c>
      <c r="O375" s="87" t="s">
        <v>18</v>
      </c>
      <c r="P375" s="171"/>
      <c r="Q375" s="210"/>
    </row>
    <row r="376" spans="1:17" x14ac:dyDescent="0.2">
      <c r="A376" s="105" t="s">
        <v>1452</v>
      </c>
      <c r="B376" s="82">
        <v>2408065</v>
      </c>
      <c r="C376" s="82">
        <v>63074</v>
      </c>
      <c r="D376" s="82" t="s">
        <v>1729</v>
      </c>
      <c r="E376" s="82">
        <v>53</v>
      </c>
      <c r="F376" s="82" t="str">
        <f>IF(E376&lt;=20,"0-19",
IF(E376&lt;=50,"20-49",
IF(E376&lt;=80,"50-79","80+")))</f>
        <v>50-79</v>
      </c>
      <c r="G376" s="82" t="s">
        <v>1730</v>
      </c>
      <c r="H376" s="82" t="s">
        <v>15</v>
      </c>
      <c r="I376" s="92" t="s">
        <v>1731</v>
      </c>
      <c r="J376" s="114" t="s">
        <v>2546</v>
      </c>
      <c r="K376" s="82" t="s">
        <v>1542</v>
      </c>
      <c r="L376" s="82" t="s">
        <v>1589</v>
      </c>
      <c r="M376" s="82">
        <v>6</v>
      </c>
      <c r="N376" s="151">
        <v>111045</v>
      </c>
      <c r="O376" s="151" t="s">
        <v>2254</v>
      </c>
      <c r="P376" s="152">
        <v>254768258270</v>
      </c>
      <c r="Q376" s="210"/>
    </row>
    <row r="377" spans="1:17" x14ac:dyDescent="0.2">
      <c r="A377" s="104" t="s">
        <v>1630</v>
      </c>
      <c r="B377" s="87">
        <v>2018681</v>
      </c>
      <c r="C377" s="87">
        <v>12804</v>
      </c>
      <c r="D377" s="87" t="s">
        <v>2081</v>
      </c>
      <c r="E377" s="87">
        <v>65</v>
      </c>
      <c r="F377" s="87" t="str">
        <f>IF(E377&lt;=20,"0-19",
IF(E377&lt;=50,"20-49",
IF(E377&lt;=80,"50-79","80+")))</f>
        <v>50-79</v>
      </c>
      <c r="G377" s="87" t="s">
        <v>2082</v>
      </c>
      <c r="H377" s="87" t="s">
        <v>22</v>
      </c>
      <c r="I377" s="87" t="s">
        <v>2083</v>
      </c>
      <c r="J377" s="87" t="s">
        <v>2283</v>
      </c>
      <c r="K377" s="86" t="s">
        <v>1543</v>
      </c>
      <c r="L377" s="87" t="s">
        <v>1908</v>
      </c>
      <c r="M377" s="87">
        <v>6</v>
      </c>
      <c r="N377" s="161">
        <v>83186</v>
      </c>
      <c r="O377" s="161" t="s">
        <v>2254</v>
      </c>
      <c r="P377" s="168">
        <v>254722624432</v>
      </c>
      <c r="Q377" s="210"/>
    </row>
    <row r="378" spans="1:17" ht="21" x14ac:dyDescent="0.2">
      <c r="A378" s="104" t="s">
        <v>72</v>
      </c>
      <c r="B378" s="86">
        <v>2012382</v>
      </c>
      <c r="C378" s="87">
        <v>52592</v>
      </c>
      <c r="D378" s="86" t="s">
        <v>1751</v>
      </c>
      <c r="E378" s="86">
        <v>63</v>
      </c>
      <c r="F378" s="86" t="str">
        <f>IF(E378&lt;=20,"0-19",
IF(E378&lt;=50,"20-49",
IF(E378&lt;=80,"50-79","80+")))</f>
        <v>50-79</v>
      </c>
      <c r="G378" s="86" t="s">
        <v>1752</v>
      </c>
      <c r="H378" s="86" t="s">
        <v>15</v>
      </c>
      <c r="I378" s="86" t="s">
        <v>1753</v>
      </c>
      <c r="J378" s="86" t="s">
        <v>2283</v>
      </c>
      <c r="K378" s="86" t="s">
        <v>1225</v>
      </c>
      <c r="L378" s="86" t="s">
        <v>1542</v>
      </c>
      <c r="M378" s="88">
        <v>6</v>
      </c>
      <c r="N378" s="163">
        <v>158939</v>
      </c>
      <c r="O378" s="163" t="s">
        <v>2254</v>
      </c>
      <c r="P378" s="168">
        <v>254721362558</v>
      </c>
      <c r="Q378" s="210"/>
    </row>
    <row r="379" spans="1:17" x14ac:dyDescent="0.2">
      <c r="A379" s="105" t="s">
        <v>53</v>
      </c>
      <c r="B379" s="82">
        <v>2012416</v>
      </c>
      <c r="C379" s="82">
        <v>101301</v>
      </c>
      <c r="D379" s="82" t="s">
        <v>1818</v>
      </c>
      <c r="E379" s="82">
        <v>64</v>
      </c>
      <c r="F379" s="82" t="str">
        <f>IF(E379&lt;=20,"0-19",
IF(E379&lt;=50,"20-49",
IF(E379&lt;=80,"50-79","80+")))</f>
        <v>50-79</v>
      </c>
      <c r="G379" s="82" t="s">
        <v>1819</v>
      </c>
      <c r="H379" s="82" t="s">
        <v>1820</v>
      </c>
      <c r="I379" s="92" t="s">
        <v>1821</v>
      </c>
      <c r="J379" s="92" t="s">
        <v>2283</v>
      </c>
      <c r="K379" s="82" t="s">
        <v>1822</v>
      </c>
      <c r="L379" s="82" t="s">
        <v>1551</v>
      </c>
      <c r="M379" s="82">
        <v>6</v>
      </c>
      <c r="N379" s="151">
        <v>321122</v>
      </c>
      <c r="O379" s="151" t="s">
        <v>2254</v>
      </c>
      <c r="P379" s="152">
        <v>254728762115</v>
      </c>
      <c r="Q379" s="210"/>
    </row>
    <row r="380" spans="1:17" x14ac:dyDescent="0.2">
      <c r="A380" s="103" t="s">
        <v>354</v>
      </c>
      <c r="B380" s="82">
        <v>2003133</v>
      </c>
      <c r="C380" s="82">
        <v>9608</v>
      </c>
      <c r="D380" s="82" t="s">
        <v>460</v>
      </c>
      <c r="E380" s="92">
        <v>69</v>
      </c>
      <c r="F380" s="92" t="str">
        <f>IF(E380&lt;=20,"0-19",
IF(E380&lt;=50,"20-49",
IF(E380&lt;=80,"50-79","80+")))</f>
        <v>50-79</v>
      </c>
      <c r="G380" s="82" t="s">
        <v>461</v>
      </c>
      <c r="H380" s="82" t="s">
        <v>22</v>
      </c>
      <c r="I380" s="82" t="s">
        <v>462</v>
      </c>
      <c r="J380" s="82" t="s">
        <v>2283</v>
      </c>
      <c r="K380" s="92" t="s">
        <v>67</v>
      </c>
      <c r="L380" s="92" t="s">
        <v>85</v>
      </c>
      <c r="M380" s="82">
        <v>6</v>
      </c>
      <c r="N380" s="101">
        <v>83035</v>
      </c>
      <c r="O380" s="82" t="s">
        <v>18</v>
      </c>
      <c r="P380" s="170"/>
      <c r="Q380" s="210"/>
    </row>
    <row r="381" spans="1:17" x14ac:dyDescent="0.2">
      <c r="A381" s="139" t="s">
        <v>433</v>
      </c>
      <c r="B381" s="113">
        <v>2003637</v>
      </c>
      <c r="C381" s="113">
        <v>54838</v>
      </c>
      <c r="D381" s="114" t="s">
        <v>434</v>
      </c>
      <c r="E381" s="113">
        <v>63</v>
      </c>
      <c r="F381" s="113" t="str">
        <f>IF(E381&lt;=20,"0-19",
IF(E381&lt;=50,"20-49",
IF(E381&lt;=80,"50-79","80+")))</f>
        <v>50-79</v>
      </c>
      <c r="G381" s="113" t="s">
        <v>435</v>
      </c>
      <c r="H381" s="113" t="s">
        <v>22</v>
      </c>
      <c r="I381" s="114" t="s">
        <v>436</v>
      </c>
      <c r="J381" s="114" t="s">
        <v>2283</v>
      </c>
      <c r="K381" s="114" t="s">
        <v>17</v>
      </c>
      <c r="L381" s="113" t="s">
        <v>57</v>
      </c>
      <c r="M381" s="114">
        <v>6</v>
      </c>
      <c r="N381" s="115">
        <v>63740</v>
      </c>
      <c r="O381" s="82" t="s">
        <v>18</v>
      </c>
      <c r="P381" s="170"/>
      <c r="Q381" s="210"/>
    </row>
    <row r="382" spans="1:17" x14ac:dyDescent="0.2">
      <c r="A382" s="104" t="s">
        <v>1690</v>
      </c>
      <c r="B382" s="86">
        <v>2001981</v>
      </c>
      <c r="C382" s="87">
        <v>101191</v>
      </c>
      <c r="D382" s="86" t="s">
        <v>2220</v>
      </c>
      <c r="E382" s="86">
        <v>73</v>
      </c>
      <c r="F382" s="86" t="str">
        <f>IF(E382&lt;=20,"0-19",
IF(E382&lt;=50,"20-49",
IF(E382&lt;=80,"50-79","80+")))</f>
        <v>50-79</v>
      </c>
      <c r="G382" s="86" t="s">
        <v>2221</v>
      </c>
      <c r="H382" s="86" t="s">
        <v>22</v>
      </c>
      <c r="I382" s="86" t="s">
        <v>2222</v>
      </c>
      <c r="J382" s="86" t="s">
        <v>2283</v>
      </c>
      <c r="K382" s="86" t="s">
        <v>1543</v>
      </c>
      <c r="L382" s="86" t="s">
        <v>1911</v>
      </c>
      <c r="M382" s="86">
        <v>6</v>
      </c>
      <c r="N382" s="164">
        <v>410408</v>
      </c>
      <c r="O382" s="164" t="s">
        <v>2254</v>
      </c>
      <c r="P382" s="168">
        <v>254721369143</v>
      </c>
      <c r="Q382" s="210"/>
    </row>
    <row r="383" spans="1:17" ht="21" x14ac:dyDescent="0.2">
      <c r="A383" s="139" t="s">
        <v>221</v>
      </c>
      <c r="B383" s="82">
        <v>2005002</v>
      </c>
      <c r="C383" s="82">
        <v>105502</v>
      </c>
      <c r="D383" s="82" t="s">
        <v>947</v>
      </c>
      <c r="E383" s="82">
        <v>18</v>
      </c>
      <c r="F383" s="82" t="str">
        <f>IF(E383&lt;=20,"0-19",
IF(E383&lt;=50,"20-49",
IF(E383&lt;=80,"50-79","80+")))</f>
        <v>0-19</v>
      </c>
      <c r="G383" s="82" t="s">
        <v>1293</v>
      </c>
      <c r="H383" s="82" t="s">
        <v>88</v>
      </c>
      <c r="I383" s="92" t="s">
        <v>1294</v>
      </c>
      <c r="J383" s="114" t="s">
        <v>2295</v>
      </c>
      <c r="K383" s="92" t="s">
        <v>1204</v>
      </c>
      <c r="L383" s="92" t="s">
        <v>1241</v>
      </c>
      <c r="M383" s="82">
        <v>6</v>
      </c>
      <c r="N383" s="84">
        <v>300000</v>
      </c>
      <c r="O383" s="82" t="s">
        <v>832</v>
      </c>
      <c r="P383" s="171"/>
      <c r="Q383" s="210"/>
    </row>
    <row r="384" spans="1:17" x14ac:dyDescent="0.2">
      <c r="A384" s="139" t="s">
        <v>1482</v>
      </c>
      <c r="B384" s="92">
        <v>2407217</v>
      </c>
      <c r="C384" s="82">
        <v>62010</v>
      </c>
      <c r="D384" s="92" t="s">
        <v>1079</v>
      </c>
      <c r="E384" s="92">
        <v>59</v>
      </c>
      <c r="F384" s="92" t="str">
        <f>IF(E384&lt;=20,"0-19",
IF(E384&lt;=50,"20-49",
IF(E384&lt;=80,"50-79","80+")))</f>
        <v>50-79</v>
      </c>
      <c r="G384" s="92" t="s">
        <v>126</v>
      </c>
      <c r="H384" s="92" t="s">
        <v>22</v>
      </c>
      <c r="I384" s="92" t="s">
        <v>1080</v>
      </c>
      <c r="J384" s="114" t="s">
        <v>2275</v>
      </c>
      <c r="K384" s="92" t="s">
        <v>843</v>
      </c>
      <c r="L384" s="93" t="s">
        <v>909</v>
      </c>
      <c r="M384" s="92">
        <v>7</v>
      </c>
      <c r="N384" s="101">
        <v>246586</v>
      </c>
      <c r="O384" s="82" t="s">
        <v>832</v>
      </c>
      <c r="P384" s="171"/>
      <c r="Q384" s="210"/>
    </row>
    <row r="385" spans="1:17" x14ac:dyDescent="0.2">
      <c r="A385" s="139" t="s">
        <v>373</v>
      </c>
      <c r="B385" s="92">
        <v>2012194</v>
      </c>
      <c r="C385" s="82">
        <v>12346</v>
      </c>
      <c r="D385" s="92" t="s">
        <v>1471</v>
      </c>
      <c r="E385" s="92">
        <v>51</v>
      </c>
      <c r="F385" s="92" t="str">
        <f>IF(E385&lt;=20,"0-19",
IF(E385&lt;=50,"20-49",
IF(E385&lt;=80,"50-79","80+")))</f>
        <v>50-79</v>
      </c>
      <c r="G385" s="92" t="s">
        <v>14</v>
      </c>
      <c r="H385" s="92" t="s">
        <v>15</v>
      </c>
      <c r="I385" s="92" t="s">
        <v>1472</v>
      </c>
      <c r="J385" s="92" t="s">
        <v>2275</v>
      </c>
      <c r="K385" s="92" t="s">
        <v>851</v>
      </c>
      <c r="L385" s="92" t="s">
        <v>1260</v>
      </c>
      <c r="M385" s="92">
        <v>7</v>
      </c>
      <c r="N385" s="101">
        <v>1158144</v>
      </c>
      <c r="O385" s="82" t="s">
        <v>832</v>
      </c>
      <c r="P385" s="170"/>
      <c r="Q385" s="210"/>
    </row>
    <row r="386" spans="1:17" x14ac:dyDescent="0.2">
      <c r="A386" s="139" t="s">
        <v>68</v>
      </c>
      <c r="B386" s="82">
        <v>2020906</v>
      </c>
      <c r="C386" s="82">
        <v>103963</v>
      </c>
      <c r="D386" s="82" t="s">
        <v>493</v>
      </c>
      <c r="E386" s="92">
        <v>64</v>
      </c>
      <c r="F386" s="92" t="str">
        <f>IF(E386&lt;=20,"0-19",
IF(E386&lt;=50,"20-49",
IF(E386&lt;=80,"50-79","80+")))</f>
        <v>50-79</v>
      </c>
      <c r="G386" s="82" t="s">
        <v>494</v>
      </c>
      <c r="H386" s="82" t="s">
        <v>22</v>
      </c>
      <c r="I386" s="82" t="s">
        <v>495</v>
      </c>
      <c r="J386" s="82" t="s">
        <v>2275</v>
      </c>
      <c r="K386" s="92" t="s">
        <v>94</v>
      </c>
      <c r="L386" s="92" t="s">
        <v>30</v>
      </c>
      <c r="M386" s="82">
        <v>7</v>
      </c>
      <c r="N386" s="101">
        <v>93660</v>
      </c>
      <c r="O386" s="82" t="s">
        <v>18</v>
      </c>
      <c r="P386" s="170"/>
      <c r="Q386" s="210"/>
    </row>
    <row r="387" spans="1:17" x14ac:dyDescent="0.2">
      <c r="A387" s="139" t="s">
        <v>499</v>
      </c>
      <c r="B387" s="82">
        <v>2022173</v>
      </c>
      <c r="C387" s="82">
        <v>13297</v>
      </c>
      <c r="D387" s="82" t="s">
        <v>500</v>
      </c>
      <c r="E387" s="92">
        <v>64</v>
      </c>
      <c r="F387" s="92" t="str">
        <f>IF(E387&lt;=20,"0-19",
IF(E387&lt;=50,"20-49",
IF(E387&lt;=80,"50-79","80+")))</f>
        <v>50-79</v>
      </c>
      <c r="G387" s="82" t="s">
        <v>501</v>
      </c>
      <c r="H387" s="82" t="s">
        <v>15</v>
      </c>
      <c r="I387" s="82" t="s">
        <v>502</v>
      </c>
      <c r="J387" s="82" t="s">
        <v>2275</v>
      </c>
      <c r="K387" s="92" t="s">
        <v>36</v>
      </c>
      <c r="L387" s="92" t="s">
        <v>94</v>
      </c>
      <c r="M387" s="82">
        <v>7</v>
      </c>
      <c r="N387" s="101">
        <v>142720</v>
      </c>
      <c r="O387" s="82" t="s">
        <v>18</v>
      </c>
      <c r="P387" s="170"/>
      <c r="Q387" s="210"/>
    </row>
    <row r="388" spans="1:17" x14ac:dyDescent="0.2">
      <c r="A388" s="105" t="s">
        <v>354</v>
      </c>
      <c r="B388" s="82">
        <v>2508190</v>
      </c>
      <c r="C388" s="82">
        <v>21257</v>
      </c>
      <c r="D388" s="82" t="s">
        <v>1627</v>
      </c>
      <c r="E388" s="82">
        <v>55</v>
      </c>
      <c r="F388" s="82" t="str">
        <f>IF(E388&lt;=20,"0-19",
IF(E388&lt;=50,"20-49",
IF(E388&lt;=80,"50-79","80+")))</f>
        <v>50-79</v>
      </c>
      <c r="G388" s="82" t="s">
        <v>1628</v>
      </c>
      <c r="H388" s="82" t="s">
        <v>15</v>
      </c>
      <c r="I388" s="82" t="s">
        <v>2125</v>
      </c>
      <c r="J388" s="82" t="s">
        <v>2275</v>
      </c>
      <c r="K388" s="92" t="s">
        <v>1543</v>
      </c>
      <c r="L388" s="82" t="s">
        <v>1895</v>
      </c>
      <c r="M388" s="82">
        <v>7</v>
      </c>
      <c r="N388" s="151">
        <v>117625</v>
      </c>
      <c r="O388" s="151" t="s">
        <v>2254</v>
      </c>
      <c r="P388" s="152">
        <v>254721468007</v>
      </c>
      <c r="Q388" s="210"/>
    </row>
    <row r="389" spans="1:17" ht="31.5" x14ac:dyDescent="0.2">
      <c r="A389" s="139" t="s">
        <v>1482</v>
      </c>
      <c r="B389" s="82">
        <v>2009676</v>
      </c>
      <c r="C389" s="82">
        <v>101152</v>
      </c>
      <c r="D389" s="82" t="s">
        <v>1071</v>
      </c>
      <c r="E389" s="82">
        <v>68</v>
      </c>
      <c r="F389" s="82" t="str">
        <f>IF(E389&lt;=20,"0-19",
IF(E389&lt;=50,"20-49",
IF(E389&lt;=80,"50-79","80+")))</f>
        <v>50-79</v>
      </c>
      <c r="G389" s="82" t="s">
        <v>49</v>
      </c>
      <c r="H389" s="82" t="s">
        <v>15</v>
      </c>
      <c r="I389" s="92" t="s">
        <v>1072</v>
      </c>
      <c r="J389" s="92" t="s">
        <v>2275</v>
      </c>
      <c r="K389" s="92" t="s">
        <v>1073</v>
      </c>
      <c r="L389" s="82" t="s">
        <v>831</v>
      </c>
      <c r="M389" s="82">
        <v>7</v>
      </c>
      <c r="N389" s="84">
        <v>76880</v>
      </c>
      <c r="O389" s="82" t="s">
        <v>832</v>
      </c>
      <c r="P389" s="171"/>
      <c r="Q389" s="210"/>
    </row>
    <row r="390" spans="1:17" ht="21" x14ac:dyDescent="0.2">
      <c r="A390" s="139" t="s">
        <v>1482</v>
      </c>
      <c r="B390" s="93">
        <v>2502014</v>
      </c>
      <c r="C390" s="82">
        <v>54467</v>
      </c>
      <c r="D390" s="93" t="s">
        <v>1081</v>
      </c>
      <c r="E390" s="93">
        <v>63</v>
      </c>
      <c r="F390" s="93" t="str">
        <f>IF(E390&lt;=20,"0-19",
IF(E390&lt;=50,"20-49",
IF(E390&lt;=80,"50-79","80+")))</f>
        <v>50-79</v>
      </c>
      <c r="G390" s="93" t="s">
        <v>60</v>
      </c>
      <c r="H390" s="93" t="s">
        <v>22</v>
      </c>
      <c r="I390" s="93" t="s">
        <v>1082</v>
      </c>
      <c r="J390" s="93" t="s">
        <v>2275</v>
      </c>
      <c r="K390" s="93" t="s">
        <v>1083</v>
      </c>
      <c r="L390" s="93" t="s">
        <v>835</v>
      </c>
      <c r="M390" s="93">
        <v>7</v>
      </c>
      <c r="N390" s="94">
        <v>367854.81</v>
      </c>
      <c r="O390" s="82" t="s">
        <v>832</v>
      </c>
      <c r="P390" s="170"/>
      <c r="Q390" s="210"/>
    </row>
    <row r="391" spans="1:17" x14ac:dyDescent="0.2">
      <c r="A391" s="139" t="s">
        <v>856</v>
      </c>
      <c r="B391" s="82">
        <v>2002987</v>
      </c>
      <c r="C391" s="82">
        <v>60750</v>
      </c>
      <c r="D391" s="82" t="s">
        <v>1066</v>
      </c>
      <c r="E391" s="82">
        <v>56</v>
      </c>
      <c r="F391" s="82" t="str">
        <f>IF(E391&lt;=20,"0-19",
IF(E391&lt;=50,"20-49",
IF(E391&lt;=80,"50-79","80+")))</f>
        <v>50-79</v>
      </c>
      <c r="G391" s="82" t="s">
        <v>1067</v>
      </c>
      <c r="H391" s="82" t="s">
        <v>22</v>
      </c>
      <c r="I391" s="92" t="s">
        <v>1068</v>
      </c>
      <c r="J391" s="92" t="s">
        <v>2304</v>
      </c>
      <c r="K391" s="92" t="s">
        <v>835</v>
      </c>
      <c r="L391" s="82" t="s">
        <v>901</v>
      </c>
      <c r="M391" s="82">
        <v>7</v>
      </c>
      <c r="N391" s="84">
        <v>427126.14</v>
      </c>
      <c r="O391" s="82" t="s">
        <v>832</v>
      </c>
      <c r="P391" s="171"/>
      <c r="Q391" s="210"/>
    </row>
    <row r="392" spans="1:17" x14ac:dyDescent="0.2">
      <c r="A392" s="105" t="s">
        <v>53</v>
      </c>
      <c r="B392" s="82">
        <v>2016528</v>
      </c>
      <c r="C392" s="82">
        <v>70896</v>
      </c>
      <c r="D392" s="82" t="s">
        <v>1754</v>
      </c>
      <c r="E392" s="82">
        <v>50</v>
      </c>
      <c r="F392" s="82" t="str">
        <f>IF(E392&lt;=20,"0-19",
IF(E392&lt;=50,"20-49",
IF(E392&lt;=80,"50-79","80+")))</f>
        <v>20-49</v>
      </c>
      <c r="G392" s="82" t="s">
        <v>1755</v>
      </c>
      <c r="H392" s="82" t="s">
        <v>22</v>
      </c>
      <c r="I392" s="92" t="s">
        <v>1756</v>
      </c>
      <c r="J392" s="92" t="s">
        <v>2304</v>
      </c>
      <c r="K392" s="82" t="s">
        <v>1572</v>
      </c>
      <c r="L392" s="82" t="s">
        <v>1675</v>
      </c>
      <c r="M392" s="82">
        <v>7</v>
      </c>
      <c r="N392" s="151">
        <v>163642</v>
      </c>
      <c r="O392" s="151" t="s">
        <v>2254</v>
      </c>
      <c r="P392" s="152">
        <v>254722262639</v>
      </c>
      <c r="Q392" s="210"/>
    </row>
    <row r="393" spans="1:17" ht="21" x14ac:dyDescent="0.2">
      <c r="A393" s="139" t="s">
        <v>53</v>
      </c>
      <c r="B393" s="92">
        <v>2016328</v>
      </c>
      <c r="C393" s="82">
        <v>103314</v>
      </c>
      <c r="D393" s="92" t="s">
        <v>1077</v>
      </c>
      <c r="E393" s="92">
        <v>57</v>
      </c>
      <c r="F393" s="92" t="str">
        <f>IF(E393&lt;=20,"0-19",
IF(E393&lt;=50,"20-49",
IF(E393&lt;=80,"50-79","80+")))</f>
        <v>50-79</v>
      </c>
      <c r="G393" s="92" t="s">
        <v>14</v>
      </c>
      <c r="H393" s="92" t="s">
        <v>15</v>
      </c>
      <c r="I393" s="92" t="s">
        <v>1078</v>
      </c>
      <c r="J393" s="92" t="s">
        <v>2328</v>
      </c>
      <c r="K393" s="92" t="s">
        <v>843</v>
      </c>
      <c r="L393" s="92" t="s">
        <v>909</v>
      </c>
      <c r="M393" s="92">
        <v>7</v>
      </c>
      <c r="N393" s="101">
        <v>205497</v>
      </c>
      <c r="O393" s="82" t="s">
        <v>832</v>
      </c>
      <c r="P393" s="170"/>
      <c r="Q393" s="210"/>
    </row>
    <row r="394" spans="1:17" x14ac:dyDescent="0.2">
      <c r="A394" s="139" t="s">
        <v>63</v>
      </c>
      <c r="B394" s="88">
        <v>2001514</v>
      </c>
      <c r="C394" s="87">
        <v>31068</v>
      </c>
      <c r="D394" s="88" t="s">
        <v>490</v>
      </c>
      <c r="E394" s="88">
        <v>72</v>
      </c>
      <c r="F394" s="88" t="str">
        <f>IF(E394&lt;=20,"0-19",
IF(E394&lt;=50,"20-49",
IF(E394&lt;=80,"50-79","80+")))</f>
        <v>50-79</v>
      </c>
      <c r="G394" s="88" t="s">
        <v>491</v>
      </c>
      <c r="H394" s="88" t="s">
        <v>22</v>
      </c>
      <c r="I394" s="88" t="s">
        <v>492</v>
      </c>
      <c r="J394" s="88" t="s">
        <v>2328</v>
      </c>
      <c r="K394" s="88" t="s">
        <v>57</v>
      </c>
      <c r="L394" s="88" t="s">
        <v>78</v>
      </c>
      <c r="M394" s="88">
        <v>7</v>
      </c>
      <c r="N394" s="90">
        <v>209416</v>
      </c>
      <c r="O394" s="87" t="s">
        <v>18</v>
      </c>
      <c r="P394" s="171"/>
      <c r="Q394" s="210"/>
    </row>
    <row r="395" spans="1:17" x14ac:dyDescent="0.2">
      <c r="A395" s="139" t="s">
        <v>47</v>
      </c>
      <c r="B395" s="113">
        <v>2001375</v>
      </c>
      <c r="C395" s="113">
        <v>17244</v>
      </c>
      <c r="D395" s="114" t="s">
        <v>487</v>
      </c>
      <c r="E395" s="113">
        <v>83</v>
      </c>
      <c r="F395" s="113" t="str">
        <f>IF(E395&lt;=20,"0-19",
IF(E395&lt;=50,"20-49",
IF(E395&lt;=80,"50-79","80+")))</f>
        <v>80+</v>
      </c>
      <c r="G395" s="113" t="s">
        <v>488</v>
      </c>
      <c r="H395" s="113" t="s">
        <v>22</v>
      </c>
      <c r="I395" s="114" t="s">
        <v>489</v>
      </c>
      <c r="J395" s="92" t="s">
        <v>2288</v>
      </c>
      <c r="K395" s="114" t="s">
        <v>103</v>
      </c>
      <c r="L395" s="113" t="s">
        <v>57</v>
      </c>
      <c r="M395" s="114">
        <v>7</v>
      </c>
      <c r="N395" s="115">
        <v>411716.34</v>
      </c>
      <c r="O395" s="82" t="s">
        <v>18</v>
      </c>
      <c r="P395" s="170"/>
      <c r="Q395" s="210"/>
    </row>
    <row r="396" spans="1:17" x14ac:dyDescent="0.2">
      <c r="A396" s="104" t="s">
        <v>72</v>
      </c>
      <c r="B396" s="87">
        <v>2003958</v>
      </c>
      <c r="C396" s="87">
        <v>31482</v>
      </c>
      <c r="D396" s="87" t="s">
        <v>496</v>
      </c>
      <c r="E396" s="86">
        <v>61</v>
      </c>
      <c r="F396" s="86" t="str">
        <f>IF(E396&lt;=20,"0-19",
IF(E396&lt;=50,"20-49",
IF(E396&lt;=80,"50-79","80+")))</f>
        <v>50-79</v>
      </c>
      <c r="G396" s="87" t="s">
        <v>497</v>
      </c>
      <c r="H396" s="87" t="s">
        <v>22</v>
      </c>
      <c r="I396" s="87" t="s">
        <v>498</v>
      </c>
      <c r="J396" s="87" t="s">
        <v>2295</v>
      </c>
      <c r="K396" s="86" t="s">
        <v>79</v>
      </c>
      <c r="L396" s="86" t="s">
        <v>62</v>
      </c>
      <c r="M396" s="87">
        <v>7</v>
      </c>
      <c r="N396" s="97">
        <v>283064</v>
      </c>
      <c r="O396" s="87" t="s">
        <v>18</v>
      </c>
      <c r="P396" s="171"/>
      <c r="Q396" s="210"/>
    </row>
    <row r="397" spans="1:17" x14ac:dyDescent="0.2">
      <c r="A397" s="139" t="s">
        <v>1452</v>
      </c>
      <c r="B397" s="82">
        <v>2505080</v>
      </c>
      <c r="C397" s="82">
        <v>100854</v>
      </c>
      <c r="D397" s="82" t="s">
        <v>1453</v>
      </c>
      <c r="E397" s="82">
        <v>69</v>
      </c>
      <c r="F397" s="82" t="str">
        <f>IF(E397&lt;=20,"0-19",
IF(E397&lt;=50,"20-49",
IF(E397&lt;=80,"50-79","80+")))</f>
        <v>50-79</v>
      </c>
      <c r="G397" s="82" t="s">
        <v>1454</v>
      </c>
      <c r="H397" s="82" t="s">
        <v>22</v>
      </c>
      <c r="I397" s="92" t="s">
        <v>1455</v>
      </c>
      <c r="J397" s="92" t="s">
        <v>2295</v>
      </c>
      <c r="K397" s="92" t="s">
        <v>1260</v>
      </c>
      <c r="L397" s="92" t="s">
        <v>1242</v>
      </c>
      <c r="M397" s="82">
        <v>7</v>
      </c>
      <c r="N397" s="84">
        <v>73800</v>
      </c>
      <c r="O397" s="82" t="s">
        <v>832</v>
      </c>
      <c r="P397" s="171"/>
      <c r="Q397" s="210"/>
    </row>
    <row r="398" spans="1:17" x14ac:dyDescent="0.2">
      <c r="A398" s="139" t="s">
        <v>1535</v>
      </c>
      <c r="B398" s="82">
        <v>2014910</v>
      </c>
      <c r="C398" s="82">
        <v>31110</v>
      </c>
      <c r="D398" s="82" t="s">
        <v>1536</v>
      </c>
      <c r="E398" s="82">
        <v>59</v>
      </c>
      <c r="F398" s="82" t="str">
        <f>IF(E398&lt;=20,"0-19",
IF(E398&lt;=50,"20-49",
IF(E398&lt;=80,"50-79","80+")))</f>
        <v>50-79</v>
      </c>
      <c r="G398" s="82" t="s">
        <v>1537</v>
      </c>
      <c r="H398" s="82" t="s">
        <v>15</v>
      </c>
      <c r="I398" s="82" t="s">
        <v>1538</v>
      </c>
      <c r="J398" s="82" t="s">
        <v>2295</v>
      </c>
      <c r="K398" s="82" t="s">
        <v>1539</v>
      </c>
      <c r="L398" s="82" t="s">
        <v>1249</v>
      </c>
      <c r="M398" s="82">
        <v>7</v>
      </c>
      <c r="N398" s="84">
        <v>100319.06</v>
      </c>
      <c r="O398" s="82" t="s">
        <v>832</v>
      </c>
      <c r="P398" s="171"/>
      <c r="Q398" s="210"/>
    </row>
    <row r="399" spans="1:17" x14ac:dyDescent="0.2">
      <c r="A399" s="139" t="s">
        <v>836</v>
      </c>
      <c r="B399" s="93">
        <v>2506100</v>
      </c>
      <c r="C399" s="82">
        <v>62340</v>
      </c>
      <c r="D399" s="93" t="s">
        <v>1084</v>
      </c>
      <c r="E399" s="93">
        <v>58</v>
      </c>
      <c r="F399" s="93" t="str">
        <f>IF(E399&lt;=20,"0-19",
IF(E399&lt;=50,"20-49",
IF(E399&lt;=80,"50-79","80+")))</f>
        <v>50-79</v>
      </c>
      <c r="G399" s="93" t="s">
        <v>1085</v>
      </c>
      <c r="H399" s="93" t="s">
        <v>22</v>
      </c>
      <c r="I399" s="93" t="s">
        <v>1086</v>
      </c>
      <c r="J399" s="93" t="s">
        <v>2270</v>
      </c>
      <c r="K399" s="93" t="s">
        <v>85</v>
      </c>
      <c r="L399" s="93" t="s">
        <v>880</v>
      </c>
      <c r="M399" s="93">
        <v>7</v>
      </c>
      <c r="N399" s="94">
        <v>160297</v>
      </c>
      <c r="O399" s="82" t="s">
        <v>832</v>
      </c>
      <c r="P399" s="171"/>
      <c r="Q399" s="210"/>
    </row>
    <row r="400" spans="1:17" x14ac:dyDescent="0.2">
      <c r="A400" s="104" t="s">
        <v>1410</v>
      </c>
      <c r="B400" s="87">
        <v>2019474</v>
      </c>
      <c r="C400" s="87">
        <v>57023</v>
      </c>
      <c r="D400" s="87" t="s">
        <v>1802</v>
      </c>
      <c r="E400" s="87">
        <v>59</v>
      </c>
      <c r="F400" s="87" t="str">
        <f>IF(E400&lt;=20,"0-19",
IF(E400&lt;=50,"20-49",
IF(E400&lt;=80,"50-79","80+")))</f>
        <v>50-79</v>
      </c>
      <c r="G400" s="87" t="s">
        <v>1803</v>
      </c>
      <c r="H400" s="87" t="s">
        <v>22</v>
      </c>
      <c r="I400" s="86" t="s">
        <v>1804</v>
      </c>
      <c r="J400" s="114" t="s">
        <v>2546</v>
      </c>
      <c r="K400" s="87" t="s">
        <v>108</v>
      </c>
      <c r="L400" s="87" t="s">
        <v>1546</v>
      </c>
      <c r="M400" s="87">
        <v>7</v>
      </c>
      <c r="N400" s="161">
        <v>268315</v>
      </c>
      <c r="O400" s="161" t="s">
        <v>2254</v>
      </c>
      <c r="P400" s="168">
        <v>254722845819</v>
      </c>
      <c r="Q400" s="210"/>
    </row>
    <row r="401" spans="1:17" x14ac:dyDescent="0.2">
      <c r="A401" s="104" t="s">
        <v>1656</v>
      </c>
      <c r="B401" s="87">
        <v>2502061</v>
      </c>
      <c r="C401" s="87">
        <v>87860</v>
      </c>
      <c r="D401" s="87" t="s">
        <v>2140</v>
      </c>
      <c r="E401" s="87">
        <v>1.5</v>
      </c>
      <c r="F401" s="87" t="str">
        <f>IF(E401&lt;=20,"0-19",
IF(E401&lt;=50,"20-49",
IF(E401&lt;=80,"50-79","80+")))</f>
        <v>0-19</v>
      </c>
      <c r="G401" s="87" t="s">
        <v>2141</v>
      </c>
      <c r="H401" s="87" t="s">
        <v>132</v>
      </c>
      <c r="I401" s="87" t="s">
        <v>2142</v>
      </c>
      <c r="J401" s="114" t="s">
        <v>2546</v>
      </c>
      <c r="K401" s="86" t="s">
        <v>2143</v>
      </c>
      <c r="L401" s="87" t="s">
        <v>1893</v>
      </c>
      <c r="M401" s="87">
        <v>7</v>
      </c>
      <c r="N401" s="161">
        <v>158505.45000000001</v>
      </c>
      <c r="O401" s="161" t="s">
        <v>2254</v>
      </c>
      <c r="P401" s="168">
        <v>254114750084</v>
      </c>
      <c r="Q401" s="210"/>
    </row>
    <row r="402" spans="1:17" x14ac:dyDescent="0.2">
      <c r="A402" s="139" t="s">
        <v>86</v>
      </c>
      <c r="B402" s="82">
        <v>2009846</v>
      </c>
      <c r="C402" s="82">
        <v>10966</v>
      </c>
      <c r="D402" s="82" t="s">
        <v>479</v>
      </c>
      <c r="E402" s="92">
        <v>70</v>
      </c>
      <c r="F402" s="92" t="str">
        <f>IF(E402&lt;=20,"0-19",
IF(E402&lt;=50,"20-49",
IF(E402&lt;=80,"50-79","80+")))</f>
        <v>50-79</v>
      </c>
      <c r="G402" s="82" t="s">
        <v>480</v>
      </c>
      <c r="H402" s="82" t="s">
        <v>22</v>
      </c>
      <c r="I402" s="82" t="s">
        <v>481</v>
      </c>
      <c r="J402" s="114" t="s">
        <v>2546</v>
      </c>
      <c r="K402" s="92" t="s">
        <v>482</v>
      </c>
      <c r="L402" s="92" t="s">
        <v>79</v>
      </c>
      <c r="M402" s="82">
        <v>7</v>
      </c>
      <c r="N402" s="101">
        <v>566422.69999999995</v>
      </c>
      <c r="O402" s="82" t="s">
        <v>18</v>
      </c>
      <c r="P402" s="170"/>
      <c r="Q402" s="210"/>
    </row>
    <row r="403" spans="1:17" x14ac:dyDescent="0.2">
      <c r="A403" s="139" t="s">
        <v>836</v>
      </c>
      <c r="B403" s="92">
        <v>2003627</v>
      </c>
      <c r="C403" s="82">
        <v>10424</v>
      </c>
      <c r="D403" s="92" t="s">
        <v>1069</v>
      </c>
      <c r="E403" s="92">
        <v>68</v>
      </c>
      <c r="F403" s="92" t="str">
        <f>IF(E403&lt;=20,"0-19",
IF(E403&lt;=50,"20-49",
IF(E403&lt;=80,"50-79","80+")))</f>
        <v>50-79</v>
      </c>
      <c r="G403" s="92" t="s">
        <v>126</v>
      </c>
      <c r="H403" s="92" t="s">
        <v>22</v>
      </c>
      <c r="I403" s="92" t="s">
        <v>1070</v>
      </c>
      <c r="J403" s="114" t="s">
        <v>2546</v>
      </c>
      <c r="K403" s="92" t="s">
        <v>843</v>
      </c>
      <c r="L403" s="92" t="s">
        <v>909</v>
      </c>
      <c r="M403" s="92">
        <v>7</v>
      </c>
      <c r="N403" s="101">
        <v>546512.19999999995</v>
      </c>
      <c r="O403" s="82" t="s">
        <v>832</v>
      </c>
      <c r="P403" s="171"/>
      <c r="Q403" s="210"/>
    </row>
    <row r="404" spans="1:17" x14ac:dyDescent="0.2">
      <c r="A404" s="105" t="s">
        <v>889</v>
      </c>
      <c r="B404" s="82">
        <v>2005261</v>
      </c>
      <c r="C404" s="82">
        <v>2067</v>
      </c>
      <c r="D404" s="82" t="s">
        <v>1681</v>
      </c>
      <c r="E404" s="82">
        <v>79</v>
      </c>
      <c r="F404" s="82" t="str">
        <f>IF(E404&lt;=20,"0-19",
IF(E404&lt;=50,"20-49",
IF(E404&lt;=80,"50-79","80+")))</f>
        <v>50-79</v>
      </c>
      <c r="G404" s="82" t="s">
        <v>1682</v>
      </c>
      <c r="H404" s="82" t="s">
        <v>706</v>
      </c>
      <c r="I404" s="92" t="s">
        <v>1683</v>
      </c>
      <c r="J404" s="114" t="s">
        <v>2546</v>
      </c>
      <c r="K404" s="82" t="s">
        <v>1610</v>
      </c>
      <c r="L404" s="82" t="s">
        <v>1559</v>
      </c>
      <c r="M404" s="82">
        <v>7</v>
      </c>
      <c r="N404" s="151">
        <v>70160</v>
      </c>
      <c r="O404" s="151" t="s">
        <v>2254</v>
      </c>
      <c r="P404" s="152">
        <v>254729882562</v>
      </c>
      <c r="Q404" s="210"/>
    </row>
    <row r="405" spans="1:17" x14ac:dyDescent="0.2">
      <c r="A405" s="139" t="s">
        <v>19</v>
      </c>
      <c r="B405" s="82">
        <v>2014688</v>
      </c>
      <c r="C405" s="82">
        <v>55141</v>
      </c>
      <c r="D405" s="82" t="s">
        <v>1074</v>
      </c>
      <c r="E405" s="82">
        <v>52</v>
      </c>
      <c r="F405" s="82" t="str">
        <f>IF(E405&lt;=20,"0-19",
IF(E405&lt;=50,"20-49",
IF(E405&lt;=80,"50-79","80+")))</f>
        <v>50-79</v>
      </c>
      <c r="G405" s="82" t="s">
        <v>1075</v>
      </c>
      <c r="H405" s="82" t="s">
        <v>15</v>
      </c>
      <c r="I405" s="92" t="s">
        <v>1076</v>
      </c>
      <c r="J405" s="114" t="s">
        <v>2311</v>
      </c>
      <c r="K405" s="92" t="s">
        <v>835</v>
      </c>
      <c r="L405" s="82" t="s">
        <v>901</v>
      </c>
      <c r="M405" s="82">
        <v>7</v>
      </c>
      <c r="N405" s="84">
        <v>140975</v>
      </c>
      <c r="O405" s="82" t="s">
        <v>832</v>
      </c>
      <c r="P405" s="170"/>
      <c r="Q405" s="210"/>
    </row>
    <row r="406" spans="1:17" x14ac:dyDescent="0.2">
      <c r="A406" s="103" t="s">
        <v>178</v>
      </c>
      <c r="B406" s="82">
        <v>2022537</v>
      </c>
      <c r="C406" s="82">
        <v>32636</v>
      </c>
      <c r="D406" s="82" t="s">
        <v>506</v>
      </c>
      <c r="E406" s="92">
        <v>60</v>
      </c>
      <c r="F406" s="92" t="str">
        <f>IF(E406&lt;=20,"0-19",
IF(E406&lt;=50,"20-49",
IF(E406&lt;=80,"50-79","80+")))</f>
        <v>50-79</v>
      </c>
      <c r="G406" s="82" t="s">
        <v>507</v>
      </c>
      <c r="H406" s="82" t="s">
        <v>22</v>
      </c>
      <c r="I406" s="82" t="s">
        <v>508</v>
      </c>
      <c r="J406" s="114" t="s">
        <v>2311</v>
      </c>
      <c r="K406" s="92" t="s">
        <v>66</v>
      </c>
      <c r="L406" s="92" t="s">
        <v>85</v>
      </c>
      <c r="M406" s="82">
        <v>7</v>
      </c>
      <c r="N406" s="101">
        <v>69941</v>
      </c>
      <c r="O406" s="82" t="s">
        <v>18</v>
      </c>
      <c r="P406" s="170"/>
      <c r="Q406" s="210"/>
    </row>
    <row r="407" spans="1:17" x14ac:dyDescent="0.2">
      <c r="A407" s="108" t="s">
        <v>483</v>
      </c>
      <c r="B407" s="87">
        <v>2001487</v>
      </c>
      <c r="C407" s="87">
        <v>11768</v>
      </c>
      <c r="D407" s="87" t="s">
        <v>484</v>
      </c>
      <c r="E407" s="86">
        <v>69</v>
      </c>
      <c r="F407" s="86" t="str">
        <f>IF(E407&lt;=20,"0-19",
IF(E407&lt;=50,"20-49",
IF(E407&lt;=80,"50-79","80+")))</f>
        <v>50-79</v>
      </c>
      <c r="G407" s="87" t="s">
        <v>485</v>
      </c>
      <c r="H407" s="87" t="s">
        <v>22</v>
      </c>
      <c r="I407" s="87" t="s">
        <v>486</v>
      </c>
      <c r="J407" s="114" t="s">
        <v>2311</v>
      </c>
      <c r="K407" s="86" t="s">
        <v>94</v>
      </c>
      <c r="L407" s="86" t="s">
        <v>31</v>
      </c>
      <c r="M407" s="87">
        <v>7</v>
      </c>
      <c r="N407" s="97">
        <v>212867</v>
      </c>
      <c r="O407" s="87" t="s">
        <v>18</v>
      </c>
      <c r="P407" s="171"/>
      <c r="Q407" s="210"/>
    </row>
    <row r="408" spans="1:17" x14ac:dyDescent="0.2">
      <c r="A408" s="105" t="s">
        <v>1622</v>
      </c>
      <c r="B408" s="93">
        <v>2001287</v>
      </c>
      <c r="C408" s="82">
        <v>17202</v>
      </c>
      <c r="D408" s="93" t="s">
        <v>2071</v>
      </c>
      <c r="E408" s="93">
        <v>84</v>
      </c>
      <c r="F408" s="93" t="str">
        <f>IF(E408&lt;=20,"0-19",
IF(E408&lt;=50,"20-49",
IF(E408&lt;=80,"50-79","80+")))</f>
        <v>80+</v>
      </c>
      <c r="G408" s="93" t="s">
        <v>2072</v>
      </c>
      <c r="H408" s="93" t="s">
        <v>22</v>
      </c>
      <c r="I408" s="93" t="s">
        <v>2073</v>
      </c>
      <c r="J408" s="114" t="s">
        <v>2295</v>
      </c>
      <c r="K408" s="93" t="s">
        <v>1895</v>
      </c>
      <c r="L408" s="93" t="s">
        <v>1906</v>
      </c>
      <c r="M408" s="93">
        <v>7</v>
      </c>
      <c r="N408" s="159">
        <v>81065</v>
      </c>
      <c r="O408" s="159" t="s">
        <v>2254</v>
      </c>
      <c r="P408" s="152">
        <v>7157332387</v>
      </c>
      <c r="Q408" s="210"/>
    </row>
    <row r="409" spans="1:17" x14ac:dyDescent="0.2">
      <c r="A409" s="139" t="s">
        <v>53</v>
      </c>
      <c r="B409" s="82">
        <v>2001006</v>
      </c>
      <c r="C409" s="82">
        <v>18347</v>
      </c>
      <c r="D409" s="82" t="s">
        <v>519</v>
      </c>
      <c r="E409" s="82">
        <v>60</v>
      </c>
      <c r="F409" s="82" t="str">
        <f>IF(E409&lt;=20,"0-19",
IF(E409&lt;=50,"20-49",
IF(E409&lt;=80,"50-79","80+")))</f>
        <v>50-79</v>
      </c>
      <c r="G409" s="82" t="s">
        <v>60</v>
      </c>
      <c r="H409" s="82" t="s">
        <v>22</v>
      </c>
      <c r="I409" s="92" t="s">
        <v>1358</v>
      </c>
      <c r="J409" s="92" t="s">
        <v>2270</v>
      </c>
      <c r="K409" s="92" t="s">
        <v>1359</v>
      </c>
      <c r="L409" s="92" t="s">
        <v>1241</v>
      </c>
      <c r="M409" s="82">
        <v>7</v>
      </c>
      <c r="N409" s="84">
        <v>280720.21999999997</v>
      </c>
      <c r="O409" s="82" t="s">
        <v>832</v>
      </c>
      <c r="P409" s="171"/>
      <c r="Q409" s="210"/>
    </row>
    <row r="410" spans="1:17" x14ac:dyDescent="0.2">
      <c r="A410" s="105" t="s">
        <v>1708</v>
      </c>
      <c r="B410" s="92">
        <v>2023538</v>
      </c>
      <c r="C410" s="82">
        <v>65299</v>
      </c>
      <c r="D410" s="92" t="s">
        <v>2228</v>
      </c>
      <c r="E410" s="92">
        <v>58</v>
      </c>
      <c r="F410" s="92" t="str">
        <f>IF(E410&lt;=20,"0-19",
IF(E410&lt;=50,"20-49",
IF(E410&lt;=80,"50-79","80+")))</f>
        <v>50-79</v>
      </c>
      <c r="G410" s="92" t="s">
        <v>2229</v>
      </c>
      <c r="H410" s="92" t="s">
        <v>22</v>
      </c>
      <c r="I410" s="92" t="s">
        <v>2230</v>
      </c>
      <c r="J410" s="114" t="s">
        <v>2328</v>
      </c>
      <c r="K410" s="92" t="s">
        <v>1589</v>
      </c>
      <c r="L410" s="92" t="s">
        <v>1911</v>
      </c>
      <c r="M410" s="92">
        <v>7</v>
      </c>
      <c r="N410" s="166">
        <v>504320</v>
      </c>
      <c r="O410" s="166" t="s">
        <v>2254</v>
      </c>
      <c r="P410" s="152">
        <v>254759231438</v>
      </c>
      <c r="Q410" s="210"/>
    </row>
    <row r="411" spans="1:17" x14ac:dyDescent="0.2">
      <c r="A411" s="104" t="s">
        <v>1653</v>
      </c>
      <c r="B411" s="87">
        <v>2014680</v>
      </c>
      <c r="C411" s="87">
        <v>37008</v>
      </c>
      <c r="D411" s="87" t="s">
        <v>1877</v>
      </c>
      <c r="E411" s="87">
        <v>79</v>
      </c>
      <c r="F411" s="87" t="str">
        <f>IF(E411&lt;=20,"0-19",
IF(E411&lt;=50,"20-49",
IF(E411&lt;=80,"50-79","80+")))</f>
        <v>50-79</v>
      </c>
      <c r="G411" s="87" t="s">
        <v>1878</v>
      </c>
      <c r="H411" s="87" t="s">
        <v>15</v>
      </c>
      <c r="I411" s="86" t="s">
        <v>1879</v>
      </c>
      <c r="J411" s="114" t="str">
        <f>VLOOKUP(Table4[[#This Row],[Diagnosis]],Sheet3!A:B,2,0)</f>
        <v>Orthopedics / Neurosurgery</v>
      </c>
      <c r="K411" s="87" t="s">
        <v>1880</v>
      </c>
      <c r="L411" s="87" t="s">
        <v>1589</v>
      </c>
      <c r="M411" s="87">
        <v>7</v>
      </c>
      <c r="N411" s="161">
        <v>875388.09</v>
      </c>
      <c r="O411" s="161" t="s">
        <v>2254</v>
      </c>
      <c r="P411" s="168">
        <v>254722258303</v>
      </c>
      <c r="Q411" s="210"/>
    </row>
    <row r="412" spans="1:17" x14ac:dyDescent="0.2">
      <c r="A412" s="108" t="s">
        <v>456</v>
      </c>
      <c r="B412" s="113">
        <v>2017620</v>
      </c>
      <c r="C412" s="113">
        <v>54137</v>
      </c>
      <c r="D412" s="114" t="s">
        <v>469</v>
      </c>
      <c r="E412" s="113">
        <v>17</v>
      </c>
      <c r="F412" s="113" t="str">
        <f>IF(E412&lt;=20,"0-19",
IF(E412&lt;=50,"20-49",
IF(E412&lt;=80,"50-79","80+")))</f>
        <v>0-19</v>
      </c>
      <c r="G412" s="113" t="s">
        <v>470</v>
      </c>
      <c r="H412" s="113" t="s">
        <v>88</v>
      </c>
      <c r="I412" s="114" t="s">
        <v>471</v>
      </c>
      <c r="J412" s="114" t="s">
        <v>2314</v>
      </c>
      <c r="K412" s="114" t="s">
        <v>103</v>
      </c>
      <c r="L412" s="113" t="s">
        <v>57</v>
      </c>
      <c r="M412" s="114">
        <v>7</v>
      </c>
      <c r="N412" s="115">
        <v>39977.86</v>
      </c>
      <c r="O412" s="87" t="s">
        <v>18</v>
      </c>
      <c r="P412" s="171"/>
      <c r="Q412" s="210"/>
    </row>
    <row r="413" spans="1:17" x14ac:dyDescent="0.2">
      <c r="A413" s="139" t="s">
        <v>1482</v>
      </c>
      <c r="B413" s="82">
        <v>2022483</v>
      </c>
      <c r="C413" s="82">
        <v>80695</v>
      </c>
      <c r="D413" s="82" t="s">
        <v>1496</v>
      </c>
      <c r="E413" s="82">
        <v>3</v>
      </c>
      <c r="F413" s="82" t="str">
        <f>IF(E413&lt;=20,"0-19",
IF(E413&lt;=50,"20-49",
IF(E413&lt;=80,"50-79","80+")))</f>
        <v>0-19</v>
      </c>
      <c r="G413" s="82" t="s">
        <v>1497</v>
      </c>
      <c r="H413" s="82" t="s">
        <v>132</v>
      </c>
      <c r="I413" s="82" t="s">
        <v>1498</v>
      </c>
      <c r="J413" s="82" t="s">
        <v>2283</v>
      </c>
      <c r="K413" s="82" t="s">
        <v>1236</v>
      </c>
      <c r="L413" s="82" t="s">
        <v>1231</v>
      </c>
      <c r="M413" s="82">
        <v>7</v>
      </c>
      <c r="N413" s="84">
        <v>94977.41</v>
      </c>
      <c r="O413" s="82" t="s">
        <v>832</v>
      </c>
      <c r="P413" s="171"/>
      <c r="Q413" s="210"/>
    </row>
    <row r="414" spans="1:17" x14ac:dyDescent="0.2">
      <c r="A414" s="139" t="s">
        <v>38</v>
      </c>
      <c r="B414" s="87">
        <v>2508078</v>
      </c>
      <c r="C414" s="87">
        <v>102807</v>
      </c>
      <c r="D414" s="87" t="s">
        <v>503</v>
      </c>
      <c r="E414" s="86">
        <v>61</v>
      </c>
      <c r="F414" s="86" t="str">
        <f>IF(E414&lt;=20,"0-19",
IF(E414&lt;=50,"20-49",
IF(E414&lt;=80,"50-79","80+")))</f>
        <v>50-79</v>
      </c>
      <c r="G414" s="87" t="s">
        <v>504</v>
      </c>
      <c r="H414" s="87" t="s">
        <v>22</v>
      </c>
      <c r="I414" s="87" t="s">
        <v>505</v>
      </c>
      <c r="J414" s="87" t="s">
        <v>2275</v>
      </c>
      <c r="K414" s="86" t="s">
        <v>57</v>
      </c>
      <c r="L414" s="86" t="s">
        <v>79</v>
      </c>
      <c r="M414" s="87">
        <v>8</v>
      </c>
      <c r="N414" s="97">
        <v>210125</v>
      </c>
      <c r="O414" s="87" t="s">
        <v>18</v>
      </c>
      <c r="P414" s="171"/>
      <c r="Q414" s="210"/>
    </row>
    <row r="415" spans="1:17" x14ac:dyDescent="0.2">
      <c r="A415" s="108" t="s">
        <v>75</v>
      </c>
      <c r="B415" s="113">
        <v>2005082</v>
      </c>
      <c r="C415" s="113">
        <v>101741</v>
      </c>
      <c r="D415" s="114" t="s">
        <v>509</v>
      </c>
      <c r="E415" s="113">
        <v>68</v>
      </c>
      <c r="F415" s="113" t="str">
        <f>IF(E415&lt;=20,"0-19",
IF(E415&lt;=50,"20-49",
IF(E415&lt;=80,"50-79","80+")))</f>
        <v>50-79</v>
      </c>
      <c r="G415" s="113" t="s">
        <v>510</v>
      </c>
      <c r="H415" s="113" t="s">
        <v>15</v>
      </c>
      <c r="I415" s="114" t="s">
        <v>511</v>
      </c>
      <c r="J415" s="114" t="s">
        <v>2275</v>
      </c>
      <c r="K415" s="114" t="s">
        <v>46</v>
      </c>
      <c r="L415" s="113" t="s">
        <v>36</v>
      </c>
      <c r="M415" s="114">
        <v>8</v>
      </c>
      <c r="N415" s="115">
        <v>133798</v>
      </c>
      <c r="O415" s="87" t="s">
        <v>18</v>
      </c>
      <c r="P415" s="171"/>
      <c r="Q415" s="210"/>
    </row>
    <row r="416" spans="1:17" ht="21" x14ac:dyDescent="0.2">
      <c r="A416" s="104" t="s">
        <v>373</v>
      </c>
      <c r="B416" s="86">
        <v>2010107</v>
      </c>
      <c r="C416" s="87">
        <v>18913</v>
      </c>
      <c r="D416" s="86" t="s">
        <v>2240</v>
      </c>
      <c r="E416" s="86">
        <v>50</v>
      </c>
      <c r="F416" s="86" t="str">
        <f>IF(E416&lt;=20,"0-19",
IF(E416&lt;=50,"20-49",
IF(E416&lt;=80,"50-79","80+")))</f>
        <v>20-49</v>
      </c>
      <c r="G416" s="86" t="s">
        <v>2241</v>
      </c>
      <c r="H416" s="86" t="s">
        <v>15</v>
      </c>
      <c r="I416" s="86" t="s">
        <v>2359</v>
      </c>
      <c r="J416" s="86" t="s">
        <v>2275</v>
      </c>
      <c r="K416" s="86" t="s">
        <v>1675</v>
      </c>
      <c r="L416" s="86" t="s">
        <v>1923</v>
      </c>
      <c r="M416" s="86">
        <v>8</v>
      </c>
      <c r="N416" s="163">
        <v>761234</v>
      </c>
      <c r="O416" s="163" t="s">
        <v>2254</v>
      </c>
      <c r="P416" s="168">
        <v>254722828789</v>
      </c>
      <c r="Q416" s="210"/>
    </row>
    <row r="417" spans="1:17" x14ac:dyDescent="0.2">
      <c r="A417" s="104" t="s">
        <v>19</v>
      </c>
      <c r="B417" s="86">
        <v>2004334</v>
      </c>
      <c r="C417" s="87">
        <v>56626</v>
      </c>
      <c r="D417" s="86" t="s">
        <v>2100</v>
      </c>
      <c r="E417" s="86">
        <v>67</v>
      </c>
      <c r="F417" s="86" t="str">
        <f>IF(E417&lt;=20,"0-19",
IF(E417&lt;=50,"20-49",
IF(E417&lt;=80,"50-79","80+")))</f>
        <v>50-79</v>
      </c>
      <c r="G417" s="86" t="s">
        <v>2101</v>
      </c>
      <c r="H417" s="86" t="s">
        <v>22</v>
      </c>
      <c r="I417" s="86" t="s">
        <v>2212</v>
      </c>
      <c r="J417" s="86" t="s">
        <v>2304</v>
      </c>
      <c r="K417" s="86" t="s">
        <v>1572</v>
      </c>
      <c r="L417" s="86" t="s">
        <v>1911</v>
      </c>
      <c r="M417" s="88">
        <v>8</v>
      </c>
      <c r="N417" s="163">
        <v>358925</v>
      </c>
      <c r="O417" s="163" t="s">
        <v>2254</v>
      </c>
      <c r="P417" s="168">
        <v>254715565766</v>
      </c>
      <c r="Q417" s="210"/>
    </row>
    <row r="418" spans="1:17" ht="31.5" x14ac:dyDescent="0.2">
      <c r="A418" s="139" t="s">
        <v>1503</v>
      </c>
      <c r="B418" s="82">
        <v>2005177</v>
      </c>
      <c r="C418" s="82">
        <v>11971</v>
      </c>
      <c r="D418" s="82" t="s">
        <v>1532</v>
      </c>
      <c r="E418" s="82">
        <v>69</v>
      </c>
      <c r="F418" s="82" t="str">
        <f>IF(E418&lt;=20,"0-19",
IF(E418&lt;=50,"20-49",
IF(E418&lt;=80,"50-79","80+")))</f>
        <v>50-79</v>
      </c>
      <c r="G418" s="82" t="s">
        <v>1533</v>
      </c>
      <c r="H418" s="82" t="s">
        <v>15</v>
      </c>
      <c r="I418" s="92" t="s">
        <v>1446</v>
      </c>
      <c r="J418" s="92" t="s">
        <v>2328</v>
      </c>
      <c r="K418" s="92" t="s">
        <v>1534</v>
      </c>
      <c r="L418" s="92" t="s">
        <v>1242</v>
      </c>
      <c r="M418" s="82">
        <v>8</v>
      </c>
      <c r="N418" s="84">
        <v>392008.13</v>
      </c>
      <c r="O418" s="82" t="s">
        <v>832</v>
      </c>
      <c r="P418" s="170"/>
      <c r="Q418" s="210"/>
    </row>
    <row r="419" spans="1:17" ht="21" x14ac:dyDescent="0.2">
      <c r="A419" s="104" t="s">
        <v>1700</v>
      </c>
      <c r="B419" s="88">
        <v>2018762</v>
      </c>
      <c r="C419" s="87">
        <v>64037</v>
      </c>
      <c r="D419" s="88" t="s">
        <v>1701</v>
      </c>
      <c r="E419" s="88">
        <v>16</v>
      </c>
      <c r="F419" s="88" t="str">
        <f>IF(E419&lt;=20,"0-19",
IF(E419&lt;=50,"20-49",
IF(E419&lt;=80,"50-79","80+")))</f>
        <v>0-19</v>
      </c>
      <c r="G419" s="88" t="s">
        <v>49</v>
      </c>
      <c r="H419" s="88" t="s">
        <v>132</v>
      </c>
      <c r="I419" s="88" t="s">
        <v>1702</v>
      </c>
      <c r="J419" s="114" t="s">
        <v>2304</v>
      </c>
      <c r="K419" s="88" t="s">
        <v>1703</v>
      </c>
      <c r="L419" s="88" t="s">
        <v>1594</v>
      </c>
      <c r="M419" s="88">
        <v>8</v>
      </c>
      <c r="N419" s="163">
        <v>90922.35</v>
      </c>
      <c r="O419" s="163" t="s">
        <v>2254</v>
      </c>
      <c r="P419" s="168">
        <v>254726559225</v>
      </c>
      <c r="Q419" s="210"/>
    </row>
    <row r="420" spans="1:17" x14ac:dyDescent="0.2">
      <c r="A420" s="139" t="s">
        <v>1503</v>
      </c>
      <c r="B420" s="82">
        <v>2020509</v>
      </c>
      <c r="C420" s="82">
        <v>104396</v>
      </c>
      <c r="D420" s="82" t="s">
        <v>852</v>
      </c>
      <c r="E420" s="82">
        <v>57</v>
      </c>
      <c r="F420" s="82" t="str">
        <f>IF(E420&lt;=20,"0-19",
IF(E420&lt;=50,"20-49",
IF(E420&lt;=80,"50-79","80+")))</f>
        <v>50-79</v>
      </c>
      <c r="G420" s="82" t="s">
        <v>853</v>
      </c>
      <c r="H420" s="82" t="s">
        <v>15</v>
      </c>
      <c r="I420" s="92" t="s">
        <v>1090</v>
      </c>
      <c r="J420" s="92" t="s">
        <v>2288</v>
      </c>
      <c r="K420" s="92" t="s">
        <v>289</v>
      </c>
      <c r="L420" s="82" t="s">
        <v>846</v>
      </c>
      <c r="M420" s="82">
        <v>8</v>
      </c>
      <c r="N420" s="84">
        <v>117459.09</v>
      </c>
      <c r="O420" s="82" t="s">
        <v>832</v>
      </c>
      <c r="P420" s="170"/>
      <c r="Q420" s="210"/>
    </row>
    <row r="421" spans="1:17" x14ac:dyDescent="0.2">
      <c r="A421" s="139" t="s">
        <v>522</v>
      </c>
      <c r="B421" s="82">
        <v>2003111</v>
      </c>
      <c r="C421" s="82">
        <v>53272</v>
      </c>
      <c r="D421" s="82" t="s">
        <v>59</v>
      </c>
      <c r="E421" s="82">
        <v>67</v>
      </c>
      <c r="F421" s="82" t="str">
        <f>IF(E421&lt;=20,"0-19",
IF(E421&lt;=50,"20-49",
IF(E421&lt;=80,"50-79","80+")))</f>
        <v>50-79</v>
      </c>
      <c r="G421" s="82" t="s">
        <v>213</v>
      </c>
      <c r="H421" s="82" t="s">
        <v>22</v>
      </c>
      <c r="I421" s="92" t="s">
        <v>1087</v>
      </c>
      <c r="J421" s="92" t="s">
        <v>2295</v>
      </c>
      <c r="K421" s="92" t="s">
        <v>31</v>
      </c>
      <c r="L421" s="82" t="s">
        <v>834</v>
      </c>
      <c r="M421" s="82">
        <v>8</v>
      </c>
      <c r="N421" s="84">
        <v>487614</v>
      </c>
      <c r="O421" s="82" t="s">
        <v>832</v>
      </c>
      <c r="P421" s="171"/>
      <c r="Q421" s="210"/>
    </row>
    <row r="422" spans="1:17" x14ac:dyDescent="0.2">
      <c r="A422" s="104" t="s">
        <v>117</v>
      </c>
      <c r="B422" s="87">
        <v>2019370</v>
      </c>
      <c r="C422" s="87">
        <v>60236</v>
      </c>
      <c r="D422" s="87" t="s">
        <v>2178</v>
      </c>
      <c r="E422" s="87">
        <v>60</v>
      </c>
      <c r="F422" s="87" t="str">
        <f>IF(E422&lt;=20,"0-19",
IF(E422&lt;=50,"20-49",
IF(E422&lt;=80,"50-79","80+")))</f>
        <v>50-79</v>
      </c>
      <c r="G422" s="87" t="s">
        <v>2179</v>
      </c>
      <c r="H422" s="87" t="s">
        <v>22</v>
      </c>
      <c r="I422" s="87" t="s">
        <v>227</v>
      </c>
      <c r="J422" s="87" t="s">
        <v>2295</v>
      </c>
      <c r="K422" s="86" t="s">
        <v>1543</v>
      </c>
      <c r="L422" s="87" t="s">
        <v>1928</v>
      </c>
      <c r="M422" s="87">
        <v>8</v>
      </c>
      <c r="N422" s="161">
        <v>197385</v>
      </c>
      <c r="O422" s="161" t="s">
        <v>2254</v>
      </c>
      <c r="P422" s="168">
        <v>254720242011</v>
      </c>
      <c r="Q422" s="210"/>
    </row>
    <row r="423" spans="1:17" x14ac:dyDescent="0.2">
      <c r="A423" s="139" t="s">
        <v>373</v>
      </c>
      <c r="B423" s="82">
        <v>2001198</v>
      </c>
      <c r="C423" s="82">
        <v>18587</v>
      </c>
      <c r="D423" s="82" t="s">
        <v>512</v>
      </c>
      <c r="E423" s="92">
        <v>76</v>
      </c>
      <c r="F423" s="92" t="str">
        <f>IF(E423&lt;=20,"0-19",
IF(E423&lt;=50,"20-49",
IF(E423&lt;=80,"50-79","80+")))</f>
        <v>50-79</v>
      </c>
      <c r="G423" s="82" t="s">
        <v>513</v>
      </c>
      <c r="H423" s="82" t="s">
        <v>22</v>
      </c>
      <c r="I423" s="82" t="s">
        <v>514</v>
      </c>
      <c r="J423" s="82" t="s">
        <v>2295</v>
      </c>
      <c r="K423" s="92" t="s">
        <v>78</v>
      </c>
      <c r="L423" s="92" t="s">
        <v>67</v>
      </c>
      <c r="M423" s="82">
        <v>8</v>
      </c>
      <c r="N423" s="101">
        <v>768485</v>
      </c>
      <c r="O423" s="82" t="s">
        <v>18</v>
      </c>
      <c r="P423" s="170"/>
      <c r="Q423" s="210"/>
    </row>
    <row r="424" spans="1:17" x14ac:dyDescent="0.2">
      <c r="A424" s="104" t="s">
        <v>72</v>
      </c>
      <c r="B424" s="87">
        <v>2003958</v>
      </c>
      <c r="C424" s="87">
        <v>31482</v>
      </c>
      <c r="D424" s="87" t="s">
        <v>1757</v>
      </c>
      <c r="E424" s="87">
        <v>67</v>
      </c>
      <c r="F424" s="87" t="str">
        <f>IF(E424&lt;=20,"0-19",
IF(E424&lt;=50,"20-49",
IF(E424&lt;=80,"50-79","80+")))</f>
        <v>50-79</v>
      </c>
      <c r="G424" s="87" t="s">
        <v>497</v>
      </c>
      <c r="H424" s="87" t="s">
        <v>664</v>
      </c>
      <c r="I424" s="86" t="s">
        <v>1758</v>
      </c>
      <c r="J424" s="114" t="s">
        <v>2546</v>
      </c>
      <c r="K424" s="87" t="s">
        <v>1610</v>
      </c>
      <c r="L424" s="87" t="s">
        <v>1675</v>
      </c>
      <c r="M424" s="87">
        <v>8</v>
      </c>
      <c r="N424" s="161">
        <v>167912</v>
      </c>
      <c r="O424" s="161" t="s">
        <v>2254</v>
      </c>
      <c r="P424" s="168">
        <v>254722345021</v>
      </c>
      <c r="Q424" s="210"/>
    </row>
    <row r="425" spans="1:17" x14ac:dyDescent="0.2">
      <c r="A425" s="105" t="s">
        <v>1504</v>
      </c>
      <c r="B425" s="82">
        <v>2018355</v>
      </c>
      <c r="C425" s="82">
        <v>63541</v>
      </c>
      <c r="D425" s="82" t="s">
        <v>1636</v>
      </c>
      <c r="E425" s="82">
        <v>61</v>
      </c>
      <c r="F425" s="82" t="str">
        <f>IF(E425&lt;=20,"0-19",
IF(E425&lt;=50,"20-49",
IF(E425&lt;=80,"50-79","80+")))</f>
        <v>50-79</v>
      </c>
      <c r="G425" s="82" t="s">
        <v>1637</v>
      </c>
      <c r="H425" s="82" t="s">
        <v>22</v>
      </c>
      <c r="I425" s="92" t="s">
        <v>1638</v>
      </c>
      <c r="J425" s="92" t="s">
        <v>2310</v>
      </c>
      <c r="K425" s="82" t="s">
        <v>1639</v>
      </c>
      <c r="L425" s="82" t="s">
        <v>1567</v>
      </c>
      <c r="M425" s="82">
        <v>8</v>
      </c>
      <c r="N425" s="151">
        <v>43225</v>
      </c>
      <c r="O425" s="151" t="s">
        <v>2254</v>
      </c>
      <c r="P425" s="152">
        <v>254722260248</v>
      </c>
      <c r="Q425" s="210"/>
    </row>
    <row r="426" spans="1:17" x14ac:dyDescent="0.2">
      <c r="A426" s="139" t="s">
        <v>1410</v>
      </c>
      <c r="B426" s="82">
        <v>2019476</v>
      </c>
      <c r="C426" s="82">
        <v>57023</v>
      </c>
      <c r="D426" s="82" t="s">
        <v>1088</v>
      </c>
      <c r="E426" s="82">
        <v>59</v>
      </c>
      <c r="F426" s="82" t="str">
        <f>IF(E426&lt;=20,"0-19",
IF(E426&lt;=50,"20-49",
IF(E426&lt;=80,"50-79","80+")))</f>
        <v>50-79</v>
      </c>
      <c r="G426" s="82" t="s">
        <v>126</v>
      </c>
      <c r="H426" s="82" t="s">
        <v>22</v>
      </c>
      <c r="I426" s="82" t="s">
        <v>1089</v>
      </c>
      <c r="J426" s="114" t="s">
        <v>2295</v>
      </c>
      <c r="K426" s="92" t="s">
        <v>843</v>
      </c>
      <c r="L426" s="92" t="s">
        <v>860</v>
      </c>
      <c r="M426" s="82">
        <v>8</v>
      </c>
      <c r="N426" s="84">
        <v>475110</v>
      </c>
      <c r="O426" s="82" t="s">
        <v>832</v>
      </c>
      <c r="P426" s="170"/>
      <c r="Q426" s="210"/>
    </row>
    <row r="427" spans="1:17" x14ac:dyDescent="0.2">
      <c r="A427" s="194" t="s">
        <v>515</v>
      </c>
      <c r="B427" s="188">
        <v>2004274</v>
      </c>
      <c r="C427" s="188">
        <v>12673</v>
      </c>
      <c r="D427" s="188" t="s">
        <v>516</v>
      </c>
      <c r="E427" s="199">
        <v>68</v>
      </c>
      <c r="F427" s="199" t="str">
        <f>IF(E427&lt;=20,"0-19",
IF(E427&lt;=50,"20-49",
IF(E427&lt;=80,"50-79","80+")))</f>
        <v>50-79</v>
      </c>
      <c r="G427" s="199" t="s">
        <v>517</v>
      </c>
      <c r="H427" s="199" t="s">
        <v>22</v>
      </c>
      <c r="I427" s="199" t="s">
        <v>518</v>
      </c>
      <c r="J427" s="199" t="s">
        <v>2270</v>
      </c>
      <c r="K427" s="199" t="s">
        <v>66</v>
      </c>
      <c r="L427" s="188" t="s">
        <v>289</v>
      </c>
      <c r="M427" s="86">
        <v>8</v>
      </c>
      <c r="N427" s="192">
        <v>379882</v>
      </c>
      <c r="O427" s="87" t="s">
        <v>18</v>
      </c>
      <c r="P427" s="171"/>
      <c r="Q427" s="210"/>
    </row>
    <row r="428" spans="1:17" x14ac:dyDescent="0.2">
      <c r="A428" s="105" t="s">
        <v>354</v>
      </c>
      <c r="B428" s="93">
        <v>2001273</v>
      </c>
      <c r="C428" s="82">
        <v>20535</v>
      </c>
      <c r="D428" s="93" t="s">
        <v>387</v>
      </c>
      <c r="E428" s="93">
        <v>80</v>
      </c>
      <c r="F428" s="93" t="str">
        <f>IF(E428&lt;=20,"0-19",
IF(E428&lt;=50,"20-49",
IF(E428&lt;=80,"50-79","80+")))</f>
        <v>50-79</v>
      </c>
      <c r="G428" s="93" t="s">
        <v>388</v>
      </c>
      <c r="H428" s="93" t="s">
        <v>22</v>
      </c>
      <c r="I428" s="93" t="s">
        <v>1750</v>
      </c>
      <c r="J428" s="93" t="s">
        <v>2283</v>
      </c>
      <c r="K428" s="93" t="s">
        <v>1231</v>
      </c>
      <c r="L428" s="92" t="s">
        <v>1562</v>
      </c>
      <c r="M428" s="93">
        <v>8</v>
      </c>
      <c r="N428" s="159">
        <v>147165.88</v>
      </c>
      <c r="O428" s="159" t="s">
        <v>2254</v>
      </c>
      <c r="P428" s="152">
        <v>254722536183</v>
      </c>
      <c r="Q428" s="210"/>
    </row>
    <row r="429" spans="1:17" x14ac:dyDescent="0.2">
      <c r="A429" s="105" t="s">
        <v>856</v>
      </c>
      <c r="B429" s="82">
        <v>2002987</v>
      </c>
      <c r="C429" s="82">
        <v>60750</v>
      </c>
      <c r="D429" s="82" t="s">
        <v>1066</v>
      </c>
      <c r="E429" s="82">
        <v>56</v>
      </c>
      <c r="F429" s="82" t="str">
        <f>IF(E429&lt;=20,"0-19",
IF(E429&lt;=50,"20-49",
IF(E429&lt;=80,"50-79","80+")))</f>
        <v>50-79</v>
      </c>
      <c r="G429" s="82" t="s">
        <v>1067</v>
      </c>
      <c r="H429" s="82" t="s">
        <v>22</v>
      </c>
      <c r="I429" s="82" t="s">
        <v>1891</v>
      </c>
      <c r="J429" s="82" t="s">
        <v>2275</v>
      </c>
      <c r="K429" s="92" t="s">
        <v>1895</v>
      </c>
      <c r="L429" s="82" t="s">
        <v>1893</v>
      </c>
      <c r="M429" s="82">
        <v>9</v>
      </c>
      <c r="N429" s="151">
        <v>699263.64</v>
      </c>
      <c r="O429" s="151" t="s">
        <v>2254</v>
      </c>
      <c r="P429" s="152">
        <v>254703352923</v>
      </c>
      <c r="Q429" s="210"/>
    </row>
    <row r="430" spans="1:17" x14ac:dyDescent="0.2">
      <c r="A430" s="139" t="s">
        <v>449</v>
      </c>
      <c r="B430" s="82">
        <v>2013074</v>
      </c>
      <c r="C430" s="82">
        <v>101343</v>
      </c>
      <c r="D430" s="82" t="s">
        <v>1091</v>
      </c>
      <c r="E430" s="82">
        <v>68</v>
      </c>
      <c r="F430" s="82" t="str">
        <f>IF(E430&lt;=20,"0-19",
IF(E430&lt;=50,"20-49",
IF(E430&lt;=80,"50-79","80+")))</f>
        <v>50-79</v>
      </c>
      <c r="G430" s="82" t="s">
        <v>451</v>
      </c>
      <c r="H430" s="82" t="s">
        <v>15</v>
      </c>
      <c r="I430" s="92" t="s">
        <v>1092</v>
      </c>
      <c r="J430" s="92" t="s">
        <v>2288</v>
      </c>
      <c r="K430" s="92" t="s">
        <v>835</v>
      </c>
      <c r="L430" s="82" t="s">
        <v>855</v>
      </c>
      <c r="M430" s="82">
        <v>9</v>
      </c>
      <c r="N430" s="84">
        <v>196082.8</v>
      </c>
      <c r="O430" s="82" t="s">
        <v>832</v>
      </c>
      <c r="P430" s="170"/>
      <c r="Q430" s="210"/>
    </row>
    <row r="431" spans="1:17" x14ac:dyDescent="0.2">
      <c r="A431" s="104" t="s">
        <v>1856</v>
      </c>
      <c r="B431" s="86">
        <v>2021185</v>
      </c>
      <c r="C431" s="87">
        <v>64234</v>
      </c>
      <c r="D431" s="86" t="s">
        <v>1857</v>
      </c>
      <c r="E431" s="86">
        <v>60</v>
      </c>
      <c r="F431" s="86" t="str">
        <f>IF(E431&lt;=20,"0-19",
IF(E431&lt;=50,"20-49",
IF(E431&lt;=80,"50-79","80+")))</f>
        <v>50-79</v>
      </c>
      <c r="G431" s="86" t="s">
        <v>1858</v>
      </c>
      <c r="H431" s="86" t="s">
        <v>22</v>
      </c>
      <c r="I431" s="86" t="s">
        <v>1859</v>
      </c>
      <c r="J431" s="114" t="s">
        <v>2546</v>
      </c>
      <c r="K431" s="86" t="s">
        <v>1366</v>
      </c>
      <c r="L431" s="86" t="s">
        <v>1562</v>
      </c>
      <c r="M431" s="88">
        <v>9</v>
      </c>
      <c r="N431" s="164">
        <v>449874</v>
      </c>
      <c r="O431" s="164" t="s">
        <v>2254</v>
      </c>
      <c r="P431" s="168">
        <v>254724926757</v>
      </c>
      <c r="Q431" s="210"/>
    </row>
    <row r="432" spans="1:17" ht="21" x14ac:dyDescent="0.2">
      <c r="A432" s="105" t="s">
        <v>53</v>
      </c>
      <c r="B432" s="92">
        <v>2005719</v>
      </c>
      <c r="C432" s="82">
        <v>53410</v>
      </c>
      <c r="D432" s="93" t="s">
        <v>1864</v>
      </c>
      <c r="E432" s="117">
        <v>64</v>
      </c>
      <c r="F432" s="117" t="str">
        <f>IF(E432&lt;=20,"0-19",
IF(E432&lt;=50,"20-49",
IF(E432&lt;=80,"50-79","80+")))</f>
        <v>50-79</v>
      </c>
      <c r="G432" s="92" t="s">
        <v>1865</v>
      </c>
      <c r="H432" s="92" t="s">
        <v>15</v>
      </c>
      <c r="I432" s="92" t="s">
        <v>1866</v>
      </c>
      <c r="J432" s="92" t="s">
        <v>2328</v>
      </c>
      <c r="K432" s="92" t="s">
        <v>1231</v>
      </c>
      <c r="L432" s="92" t="s">
        <v>1542</v>
      </c>
      <c r="M432" s="93">
        <v>9</v>
      </c>
      <c r="N432" s="166">
        <v>650000</v>
      </c>
      <c r="O432" s="166" t="s">
        <v>2254</v>
      </c>
      <c r="P432" s="152">
        <v>254722612206</v>
      </c>
      <c r="Q432" s="210"/>
    </row>
    <row r="433" spans="1:17" ht="21" x14ac:dyDescent="0.2">
      <c r="A433" s="105" t="s">
        <v>2165</v>
      </c>
      <c r="B433" s="92">
        <v>2006498</v>
      </c>
      <c r="C433" s="82">
        <v>11078</v>
      </c>
      <c r="D433" s="92" t="s">
        <v>2166</v>
      </c>
      <c r="E433" s="92">
        <v>50</v>
      </c>
      <c r="F433" s="92" t="str">
        <f>IF(E433&lt;=20,"0-19",
IF(E433&lt;=50,"20-49",
IF(E433&lt;=80,"50-79","80+")))</f>
        <v>20-49</v>
      </c>
      <c r="G433" s="92" t="s">
        <v>2167</v>
      </c>
      <c r="H433" s="92" t="s">
        <v>15</v>
      </c>
      <c r="I433" s="92" t="s">
        <v>2168</v>
      </c>
      <c r="J433" s="92" t="s">
        <v>2328</v>
      </c>
      <c r="K433" s="92" t="s">
        <v>1908</v>
      </c>
      <c r="L433" s="92" t="s">
        <v>1898</v>
      </c>
      <c r="M433" s="92">
        <v>9</v>
      </c>
      <c r="N433" s="166">
        <v>180100</v>
      </c>
      <c r="O433" s="166" t="s">
        <v>2254</v>
      </c>
      <c r="P433" s="152">
        <v>254720367477</v>
      </c>
      <c r="Q433" s="210"/>
    </row>
    <row r="434" spans="1:17" x14ac:dyDescent="0.2">
      <c r="A434" s="105" t="s">
        <v>1653</v>
      </c>
      <c r="B434" s="82">
        <v>2020047</v>
      </c>
      <c r="C434" s="82">
        <v>83597</v>
      </c>
      <c r="D434" s="82" t="s">
        <v>1881</v>
      </c>
      <c r="E434" s="82">
        <v>8</v>
      </c>
      <c r="F434" s="82" t="str">
        <f>IF(E434&lt;=20,"0-19",
IF(E434&lt;=50,"20-49",
IF(E434&lt;=80,"50-79","80+")))</f>
        <v>0-19</v>
      </c>
      <c r="G434" s="82" t="s">
        <v>438</v>
      </c>
      <c r="H434" s="82" t="s">
        <v>132</v>
      </c>
      <c r="I434" s="92" t="s">
        <v>1882</v>
      </c>
      <c r="J434" s="92" t="s">
        <v>2322</v>
      </c>
      <c r="K434" s="82" t="s">
        <v>1883</v>
      </c>
      <c r="L434" s="82" t="s">
        <v>1572</v>
      </c>
      <c r="M434" s="82">
        <v>9</v>
      </c>
      <c r="N434" s="151">
        <v>1192329</v>
      </c>
      <c r="O434" s="151" t="s">
        <v>2254</v>
      </c>
      <c r="P434" s="152">
        <v>254722258303</v>
      </c>
      <c r="Q434" s="210"/>
    </row>
    <row r="435" spans="1:17" x14ac:dyDescent="0.2">
      <c r="A435" s="139" t="s">
        <v>38</v>
      </c>
      <c r="B435" s="93">
        <v>2001006</v>
      </c>
      <c r="C435" s="82">
        <v>18347</v>
      </c>
      <c r="D435" s="93" t="s">
        <v>519</v>
      </c>
      <c r="E435" s="93">
        <v>69</v>
      </c>
      <c r="F435" s="93" t="str">
        <f>IF(E435&lt;=20,"0-19",
IF(E435&lt;=50,"20-49",
IF(E435&lt;=80,"50-79","80+")))</f>
        <v>50-79</v>
      </c>
      <c r="G435" s="93" t="s">
        <v>520</v>
      </c>
      <c r="H435" s="93" t="s">
        <v>22</v>
      </c>
      <c r="I435" s="93" t="s">
        <v>521</v>
      </c>
      <c r="J435" s="93" t="s">
        <v>2275</v>
      </c>
      <c r="K435" s="93" t="s">
        <v>121</v>
      </c>
      <c r="L435" s="93" t="s">
        <v>78</v>
      </c>
      <c r="M435" s="93">
        <v>10</v>
      </c>
      <c r="N435" s="94">
        <v>439915</v>
      </c>
      <c r="O435" s="82" t="s">
        <v>18</v>
      </c>
      <c r="P435" s="170"/>
      <c r="Q435" s="210"/>
    </row>
    <row r="436" spans="1:17" x14ac:dyDescent="0.2">
      <c r="A436" s="139" t="s">
        <v>68</v>
      </c>
      <c r="B436" s="87">
        <v>2018243</v>
      </c>
      <c r="C436" s="87">
        <v>62659</v>
      </c>
      <c r="D436" s="87" t="s">
        <v>528</v>
      </c>
      <c r="E436" s="86">
        <v>59</v>
      </c>
      <c r="F436" s="86" t="str">
        <f>IF(E436&lt;=20,"0-19",
IF(E436&lt;=50,"20-49",
IF(E436&lt;=80,"50-79","80+")))</f>
        <v>50-79</v>
      </c>
      <c r="G436" s="87" t="s">
        <v>529</v>
      </c>
      <c r="H436" s="87" t="s">
        <v>22</v>
      </c>
      <c r="I436" s="87" t="s">
        <v>530</v>
      </c>
      <c r="J436" s="87" t="s">
        <v>2295</v>
      </c>
      <c r="K436" s="86" t="s">
        <v>37</v>
      </c>
      <c r="L436" s="86" t="s">
        <v>67</v>
      </c>
      <c r="M436" s="87">
        <v>10</v>
      </c>
      <c r="N436" s="97">
        <v>320187</v>
      </c>
      <c r="O436" s="87" t="s">
        <v>18</v>
      </c>
      <c r="P436" s="171"/>
      <c r="Q436" s="210"/>
    </row>
    <row r="437" spans="1:17" x14ac:dyDescent="0.2">
      <c r="A437" s="139" t="s">
        <v>522</v>
      </c>
      <c r="B437" s="82">
        <v>2002069</v>
      </c>
      <c r="C437" s="82">
        <v>16836</v>
      </c>
      <c r="D437" s="82" t="s">
        <v>526</v>
      </c>
      <c r="E437" s="92">
        <v>68</v>
      </c>
      <c r="F437" s="92" t="str">
        <f>IF(E437&lt;=20,"0-19",
IF(E437&lt;=50,"20-49",
IF(E437&lt;=80,"50-79","80+")))</f>
        <v>50-79</v>
      </c>
      <c r="G437" s="82" t="s">
        <v>527</v>
      </c>
      <c r="H437" s="82" t="s">
        <v>22</v>
      </c>
      <c r="I437" s="82" t="s">
        <v>227</v>
      </c>
      <c r="J437" s="82" t="s">
        <v>2295</v>
      </c>
      <c r="K437" s="92" t="s">
        <v>36</v>
      </c>
      <c r="L437" s="92" t="s">
        <v>66</v>
      </c>
      <c r="M437" s="82">
        <v>10</v>
      </c>
      <c r="N437" s="101">
        <v>273389.63</v>
      </c>
      <c r="O437" s="82" t="s">
        <v>18</v>
      </c>
      <c r="P437" s="170"/>
      <c r="Q437" s="210"/>
    </row>
    <row r="438" spans="1:17" x14ac:dyDescent="0.2">
      <c r="A438" s="139" t="s">
        <v>63</v>
      </c>
      <c r="B438" s="82">
        <v>2002234</v>
      </c>
      <c r="C438" s="82">
        <v>31013</v>
      </c>
      <c r="D438" s="82" t="s">
        <v>1093</v>
      </c>
      <c r="E438" s="82">
        <v>69</v>
      </c>
      <c r="F438" s="82" t="str">
        <f>IF(E438&lt;=20,"0-19",
IF(E438&lt;=50,"20-49",
IF(E438&lt;=80,"50-79","80+")))</f>
        <v>50-79</v>
      </c>
      <c r="G438" s="82" t="s">
        <v>1094</v>
      </c>
      <c r="H438" s="82" t="s">
        <v>22</v>
      </c>
      <c r="I438" s="92" t="s">
        <v>1095</v>
      </c>
      <c r="J438" s="92" t="s">
        <v>2328</v>
      </c>
      <c r="K438" s="92" t="s">
        <v>193</v>
      </c>
      <c r="L438" s="82" t="s">
        <v>896</v>
      </c>
      <c r="M438" s="82">
        <v>10</v>
      </c>
      <c r="N438" s="84">
        <v>846478</v>
      </c>
      <c r="O438" s="82" t="s">
        <v>832</v>
      </c>
      <c r="P438" s="171"/>
      <c r="Q438" s="210"/>
    </row>
    <row r="439" spans="1:17" ht="21" x14ac:dyDescent="0.2">
      <c r="A439" s="139" t="s">
        <v>155</v>
      </c>
      <c r="B439" s="93">
        <v>2407209</v>
      </c>
      <c r="C439" s="82">
        <v>58921</v>
      </c>
      <c r="D439" s="93" t="s">
        <v>531</v>
      </c>
      <c r="E439" s="93">
        <v>44</v>
      </c>
      <c r="F439" s="93" t="str">
        <f>IF(E439&lt;=20,"0-19",
IF(E439&lt;=50,"20-49",
IF(E439&lt;=80,"50-79","80+")))</f>
        <v>20-49</v>
      </c>
      <c r="G439" s="93" t="s">
        <v>532</v>
      </c>
      <c r="H439" s="93" t="s">
        <v>15</v>
      </c>
      <c r="I439" s="93" t="s">
        <v>533</v>
      </c>
      <c r="J439" s="93" t="s">
        <v>2328</v>
      </c>
      <c r="K439" s="93" t="s">
        <v>121</v>
      </c>
      <c r="L439" s="93" t="s">
        <v>78</v>
      </c>
      <c r="M439" s="93">
        <v>10</v>
      </c>
      <c r="N439" s="94">
        <v>236795</v>
      </c>
      <c r="O439" s="82" t="s">
        <v>18</v>
      </c>
      <c r="P439" s="170"/>
      <c r="Q439" s="210"/>
    </row>
    <row r="440" spans="1:17" ht="21" x14ac:dyDescent="0.2">
      <c r="A440" s="139" t="s">
        <v>522</v>
      </c>
      <c r="B440" s="113">
        <v>2018815</v>
      </c>
      <c r="C440" s="113">
        <v>43293</v>
      </c>
      <c r="D440" s="114" t="s">
        <v>44</v>
      </c>
      <c r="E440" s="113">
        <v>60</v>
      </c>
      <c r="F440" s="113" t="str">
        <f>IF(E440&lt;=20,"0-19",
IF(E440&lt;=50,"20-49",
IF(E440&lt;=80,"50-79","80+")))</f>
        <v>50-79</v>
      </c>
      <c r="G440" s="113" t="s">
        <v>523</v>
      </c>
      <c r="H440" s="113" t="s">
        <v>15</v>
      </c>
      <c r="I440" s="114" t="s">
        <v>524</v>
      </c>
      <c r="J440" s="114" t="s">
        <v>2314</v>
      </c>
      <c r="K440" s="114" t="s">
        <v>525</v>
      </c>
      <c r="L440" s="113" t="s">
        <v>42</v>
      </c>
      <c r="M440" s="114">
        <v>10</v>
      </c>
      <c r="N440" s="115">
        <v>511509.72</v>
      </c>
      <c r="O440" s="87" t="s">
        <v>18</v>
      </c>
      <c r="P440" s="171"/>
      <c r="Q440" s="210"/>
    </row>
    <row r="441" spans="1:17" x14ac:dyDescent="0.2">
      <c r="A441" s="104" t="s">
        <v>515</v>
      </c>
      <c r="B441" s="87">
        <v>2002192</v>
      </c>
      <c r="C441" s="87">
        <v>104817</v>
      </c>
      <c r="D441" s="87" t="s">
        <v>753</v>
      </c>
      <c r="E441" s="87">
        <v>61</v>
      </c>
      <c r="F441" s="87" t="str">
        <f>IF(E441&lt;=20,"0-19",
IF(E441&lt;=50,"20-49",
IF(E441&lt;=80,"50-79","80+")))</f>
        <v>50-79</v>
      </c>
      <c r="G441" s="87" t="s">
        <v>1846</v>
      </c>
      <c r="H441" s="87" t="s">
        <v>22</v>
      </c>
      <c r="I441" s="86" t="s">
        <v>752</v>
      </c>
      <c r="J441" s="111" t="s">
        <v>2270</v>
      </c>
      <c r="K441" s="87" t="s">
        <v>1847</v>
      </c>
      <c r="L441" s="87" t="s">
        <v>1559</v>
      </c>
      <c r="M441" s="87">
        <v>10</v>
      </c>
      <c r="N441" s="161">
        <v>394307</v>
      </c>
      <c r="O441" s="161" t="s">
        <v>2254</v>
      </c>
      <c r="P441" s="168">
        <v>254721729511</v>
      </c>
      <c r="Q441" s="210"/>
    </row>
    <row r="442" spans="1:17" x14ac:dyDescent="0.2">
      <c r="A442" s="194" t="s">
        <v>534</v>
      </c>
      <c r="B442" s="188">
        <v>2001116</v>
      </c>
      <c r="C442" s="188">
        <v>1035</v>
      </c>
      <c r="D442" s="188" t="s">
        <v>535</v>
      </c>
      <c r="E442" s="199">
        <v>86</v>
      </c>
      <c r="F442" s="199" t="str">
        <f>IF(E442&lt;=20,"0-19",
IF(E442&lt;=50,"20-49",
IF(E442&lt;=80,"50-79","80+")))</f>
        <v>80+</v>
      </c>
      <c r="G442" s="199" t="s">
        <v>536</v>
      </c>
      <c r="H442" s="199" t="s">
        <v>22</v>
      </c>
      <c r="I442" s="199" t="s">
        <v>537</v>
      </c>
      <c r="J442" s="199" t="s">
        <v>2283</v>
      </c>
      <c r="K442" s="199" t="s">
        <v>95</v>
      </c>
      <c r="L442" s="188" t="s">
        <v>190</v>
      </c>
      <c r="M442" s="88">
        <v>10</v>
      </c>
      <c r="N442" s="192">
        <v>465833.84</v>
      </c>
      <c r="O442" s="87" t="s">
        <v>18</v>
      </c>
      <c r="P442" s="171"/>
      <c r="Q442" s="210"/>
    </row>
    <row r="443" spans="1:17" x14ac:dyDescent="0.2">
      <c r="A443" s="104" t="s">
        <v>373</v>
      </c>
      <c r="B443" s="87">
        <v>2408116</v>
      </c>
      <c r="C443" s="87">
        <v>18320</v>
      </c>
      <c r="D443" s="87" t="s">
        <v>1884</v>
      </c>
      <c r="E443" s="87">
        <v>74</v>
      </c>
      <c r="F443" s="87" t="str">
        <f>IF(E443&lt;=20,"0-19",
IF(E443&lt;=50,"20-49",
IF(E443&lt;=80,"50-79","80+")))</f>
        <v>50-79</v>
      </c>
      <c r="G443" s="87" t="s">
        <v>1885</v>
      </c>
      <c r="H443" s="87" t="s">
        <v>15</v>
      </c>
      <c r="I443" s="86" t="s">
        <v>1886</v>
      </c>
      <c r="J443" s="86" t="s">
        <v>2275</v>
      </c>
      <c r="K443" s="87" t="s">
        <v>1254</v>
      </c>
      <c r="L443" s="87" t="s">
        <v>1543</v>
      </c>
      <c r="M443" s="87">
        <v>11</v>
      </c>
      <c r="N443" s="161">
        <v>1486520</v>
      </c>
      <c r="O443" s="161" t="s">
        <v>2254</v>
      </c>
      <c r="P443" s="168">
        <v>710444129</v>
      </c>
      <c r="Q443" s="210"/>
    </row>
    <row r="444" spans="1:17" x14ac:dyDescent="0.2">
      <c r="A444" s="139" t="s">
        <v>43</v>
      </c>
      <c r="B444" s="82">
        <v>2007413</v>
      </c>
      <c r="C444" s="82">
        <v>20881</v>
      </c>
      <c r="D444" s="82" t="s">
        <v>27</v>
      </c>
      <c r="E444" s="82">
        <v>64</v>
      </c>
      <c r="F444" s="82" t="str">
        <f>IF(E444&lt;=20,"0-19",
IF(E444&lt;=50,"20-49",
IF(E444&lt;=80,"50-79","80+")))</f>
        <v>50-79</v>
      </c>
      <c r="G444" s="82" t="s">
        <v>28</v>
      </c>
      <c r="H444" s="82" t="s">
        <v>15</v>
      </c>
      <c r="I444" s="92" t="s">
        <v>1102</v>
      </c>
      <c r="J444" s="92" t="s">
        <v>2288</v>
      </c>
      <c r="K444" s="92" t="s">
        <v>31</v>
      </c>
      <c r="L444" s="82" t="s">
        <v>831</v>
      </c>
      <c r="M444" s="82">
        <v>11</v>
      </c>
      <c r="N444" s="84">
        <v>887876</v>
      </c>
      <c r="O444" s="82" t="s">
        <v>832</v>
      </c>
      <c r="P444" s="171"/>
      <c r="Q444" s="210"/>
    </row>
    <row r="445" spans="1:17" x14ac:dyDescent="0.2">
      <c r="A445" s="139" t="s">
        <v>1482</v>
      </c>
      <c r="B445" s="82">
        <v>2002546</v>
      </c>
      <c r="C445" s="82">
        <v>107206</v>
      </c>
      <c r="D445" s="82" t="s">
        <v>1493</v>
      </c>
      <c r="E445" s="82">
        <v>63</v>
      </c>
      <c r="F445" s="82" t="str">
        <f>IF(E445&lt;=20,"0-19",
IF(E445&lt;=50,"20-49",
IF(E445&lt;=80,"50-79","80+")))</f>
        <v>50-79</v>
      </c>
      <c r="G445" s="82" t="s">
        <v>1494</v>
      </c>
      <c r="H445" s="82" t="s">
        <v>15</v>
      </c>
      <c r="I445" s="82" t="s">
        <v>1495</v>
      </c>
      <c r="J445" s="114" t="s">
        <v>2546</v>
      </c>
      <c r="K445" s="82" t="s">
        <v>901</v>
      </c>
      <c r="L445" s="82" t="s">
        <v>1288</v>
      </c>
      <c r="M445" s="82">
        <v>11</v>
      </c>
      <c r="N445" s="84">
        <v>174027.96</v>
      </c>
      <c r="O445" s="82" t="s">
        <v>832</v>
      </c>
      <c r="P445" s="171"/>
      <c r="Q445" s="210"/>
    </row>
    <row r="446" spans="1:17" x14ac:dyDescent="0.2">
      <c r="A446" s="139" t="s">
        <v>38</v>
      </c>
      <c r="B446" s="82">
        <v>2002890</v>
      </c>
      <c r="C446" s="82">
        <v>13580</v>
      </c>
      <c r="D446" s="82" t="s">
        <v>1099</v>
      </c>
      <c r="E446" s="82">
        <v>66</v>
      </c>
      <c r="F446" s="82" t="str">
        <f>IF(E446&lt;=20,"0-19",
IF(E446&lt;=50,"20-49",
IF(E446&lt;=80,"50-79","80+")))</f>
        <v>50-79</v>
      </c>
      <c r="G446" s="82" t="s">
        <v>1100</v>
      </c>
      <c r="H446" s="82" t="s">
        <v>22</v>
      </c>
      <c r="I446" s="92" t="s">
        <v>1101</v>
      </c>
      <c r="J446" s="92" t="s">
        <v>2328</v>
      </c>
      <c r="K446" s="92" t="s">
        <v>108</v>
      </c>
      <c r="L446" s="82" t="s">
        <v>846</v>
      </c>
      <c r="M446" s="82">
        <v>11</v>
      </c>
      <c r="N446" s="84">
        <v>642785</v>
      </c>
      <c r="O446" s="82" t="s">
        <v>832</v>
      </c>
      <c r="P446" s="171"/>
      <c r="Q446" s="210"/>
    </row>
    <row r="447" spans="1:17" x14ac:dyDescent="0.2">
      <c r="A447" s="139" t="s">
        <v>337</v>
      </c>
      <c r="B447" s="82">
        <v>2019617</v>
      </c>
      <c r="C447" s="82">
        <v>62874</v>
      </c>
      <c r="D447" s="82" t="s">
        <v>1103</v>
      </c>
      <c r="E447" s="82">
        <v>19</v>
      </c>
      <c r="F447" s="82" t="str">
        <f>IF(E447&lt;=20,"0-19",
IF(E447&lt;=50,"20-49",
IF(E447&lt;=80,"50-79","80+")))</f>
        <v>0-19</v>
      </c>
      <c r="G447" s="82" t="s">
        <v>60</v>
      </c>
      <c r="H447" s="82" t="s">
        <v>132</v>
      </c>
      <c r="I447" s="92" t="s">
        <v>1104</v>
      </c>
      <c r="J447" s="92" t="s">
        <v>2328</v>
      </c>
      <c r="K447" s="92" t="s">
        <v>31</v>
      </c>
      <c r="L447" s="82" t="s">
        <v>831</v>
      </c>
      <c r="M447" s="82">
        <v>11</v>
      </c>
      <c r="N447" s="84">
        <v>949084</v>
      </c>
      <c r="O447" s="82" t="s">
        <v>832</v>
      </c>
      <c r="P447" s="171"/>
      <c r="Q447" s="210"/>
    </row>
    <row r="448" spans="1:17" x14ac:dyDescent="0.2">
      <c r="A448" s="104" t="s">
        <v>544</v>
      </c>
      <c r="B448" s="86">
        <v>2001361</v>
      </c>
      <c r="C448" s="87">
        <v>6678</v>
      </c>
      <c r="D448" s="86" t="s">
        <v>1829</v>
      </c>
      <c r="E448" s="86">
        <v>72</v>
      </c>
      <c r="F448" s="86" t="str">
        <f>IF(E448&lt;=20,"0-19",
IF(E448&lt;=50,"20-49",
IF(E448&lt;=80,"50-79","80+")))</f>
        <v>50-79</v>
      </c>
      <c r="G448" s="86" t="s">
        <v>1830</v>
      </c>
      <c r="H448" s="86" t="s">
        <v>22</v>
      </c>
      <c r="I448" s="86" t="s">
        <v>1831</v>
      </c>
      <c r="J448" s="86" t="s">
        <v>2328</v>
      </c>
      <c r="K448" s="86" t="s">
        <v>1249</v>
      </c>
      <c r="L448" s="86" t="s">
        <v>834</v>
      </c>
      <c r="M448" s="88">
        <v>11</v>
      </c>
      <c r="N448" s="164">
        <v>333812</v>
      </c>
      <c r="O448" s="164" t="s">
        <v>2254</v>
      </c>
      <c r="P448" s="168">
        <v>254716574617</v>
      </c>
      <c r="Q448" s="210"/>
    </row>
    <row r="449" spans="1:17" x14ac:dyDescent="0.2">
      <c r="A449" s="139" t="s">
        <v>1482</v>
      </c>
      <c r="B449" s="93">
        <v>2001808</v>
      </c>
      <c r="C449" s="82">
        <v>19290</v>
      </c>
      <c r="D449" s="93" t="s">
        <v>1096</v>
      </c>
      <c r="E449" s="93">
        <v>69</v>
      </c>
      <c r="F449" s="93" t="str">
        <f>IF(E449&lt;=20,"0-19",
IF(E449&lt;=50,"20-49",
IF(E449&lt;=80,"50-79","80+")))</f>
        <v>50-79</v>
      </c>
      <c r="G449" s="93" t="s">
        <v>1097</v>
      </c>
      <c r="H449" s="93" t="s">
        <v>22</v>
      </c>
      <c r="I449" s="93" t="s">
        <v>1098</v>
      </c>
      <c r="J449" s="93" t="s">
        <v>2314</v>
      </c>
      <c r="K449" s="93" t="s">
        <v>873</v>
      </c>
      <c r="L449" s="93" t="s">
        <v>909</v>
      </c>
      <c r="M449" s="93">
        <v>11</v>
      </c>
      <c r="N449" s="94">
        <v>136236</v>
      </c>
      <c r="O449" s="82" t="s">
        <v>832</v>
      </c>
      <c r="P449" s="170"/>
      <c r="Q449" s="210"/>
    </row>
    <row r="450" spans="1:17" ht="21" x14ac:dyDescent="0.2">
      <c r="A450" s="105" t="s">
        <v>19</v>
      </c>
      <c r="B450" s="82">
        <v>2002482</v>
      </c>
      <c r="C450" s="82">
        <v>14794</v>
      </c>
      <c r="D450" s="82" t="s">
        <v>1785</v>
      </c>
      <c r="E450" s="82">
        <v>67</v>
      </c>
      <c r="F450" s="82" t="str">
        <f>IF(E450&lt;=20,"0-19",
IF(E450&lt;=50,"20-49",
IF(E450&lt;=80,"50-79","80+")))</f>
        <v>50-79</v>
      </c>
      <c r="G450" s="82" t="s">
        <v>1786</v>
      </c>
      <c r="H450" s="82" t="s">
        <v>22</v>
      </c>
      <c r="I450" s="92" t="s">
        <v>1787</v>
      </c>
      <c r="J450" s="92" t="s">
        <v>2314</v>
      </c>
      <c r="K450" s="82" t="s">
        <v>1594</v>
      </c>
      <c r="L450" s="82" t="s">
        <v>1567</v>
      </c>
      <c r="M450" s="82">
        <v>11</v>
      </c>
      <c r="N450" s="151">
        <v>241144</v>
      </c>
      <c r="O450" s="151" t="s">
        <v>2254</v>
      </c>
      <c r="P450" s="152">
        <v>254726800511</v>
      </c>
      <c r="Q450" s="210"/>
    </row>
    <row r="451" spans="1:17" x14ac:dyDescent="0.2">
      <c r="A451" s="105" t="s">
        <v>53</v>
      </c>
      <c r="B451" s="82">
        <v>2008867</v>
      </c>
      <c r="C451" s="82">
        <v>101493</v>
      </c>
      <c r="D451" s="82" t="s">
        <v>743</v>
      </c>
      <c r="E451" s="82">
        <v>62</v>
      </c>
      <c r="F451" s="82" t="str">
        <f>IF(E451&lt;=20,"0-19",
IF(E451&lt;=50,"20-49",
IF(E451&lt;=80,"50-79","80+")))</f>
        <v>50-79</v>
      </c>
      <c r="G451" s="82" t="s">
        <v>1520</v>
      </c>
      <c r="H451" s="82" t="s">
        <v>15</v>
      </c>
      <c r="I451" s="92" t="s">
        <v>1869</v>
      </c>
      <c r="J451" s="114" t="s">
        <v>2270</v>
      </c>
      <c r="K451" s="82" t="s">
        <v>1870</v>
      </c>
      <c r="L451" s="82" t="s">
        <v>1589</v>
      </c>
      <c r="M451" s="82">
        <v>11</v>
      </c>
      <c r="N451" s="151">
        <v>750113</v>
      </c>
      <c r="O451" s="151" t="s">
        <v>2254</v>
      </c>
      <c r="P451" s="152">
        <v>254718913055</v>
      </c>
      <c r="Q451" s="210"/>
    </row>
    <row r="452" spans="1:17" x14ac:dyDescent="0.2">
      <c r="A452" s="139" t="s">
        <v>522</v>
      </c>
      <c r="B452" s="113">
        <v>202056</v>
      </c>
      <c r="C452" s="113">
        <v>78023</v>
      </c>
      <c r="D452" s="114" t="s">
        <v>538</v>
      </c>
      <c r="E452" s="113">
        <v>42</v>
      </c>
      <c r="F452" s="113" t="str">
        <f>IF(E452&lt;=20,"0-19",
IF(E452&lt;=50,"20-49",
IF(E452&lt;=80,"50-79","80+")))</f>
        <v>20-49</v>
      </c>
      <c r="G452" s="113" t="s">
        <v>539</v>
      </c>
      <c r="H452" s="113" t="s">
        <v>22</v>
      </c>
      <c r="I452" s="114" t="s">
        <v>540</v>
      </c>
      <c r="J452" s="114" t="s">
        <v>2314</v>
      </c>
      <c r="K452" s="114" t="s">
        <v>103</v>
      </c>
      <c r="L452" s="113" t="s">
        <v>52</v>
      </c>
      <c r="M452" s="114">
        <v>11</v>
      </c>
      <c r="N452" s="115">
        <v>83422.33</v>
      </c>
      <c r="O452" s="82" t="s">
        <v>18</v>
      </c>
      <c r="P452" s="170"/>
      <c r="Q452" s="210"/>
    </row>
    <row r="453" spans="1:17" ht="21" x14ac:dyDescent="0.2">
      <c r="A453" s="139" t="s">
        <v>212</v>
      </c>
      <c r="B453" s="92">
        <v>2014542</v>
      </c>
      <c r="C453" s="82">
        <v>15484</v>
      </c>
      <c r="D453" s="92" t="s">
        <v>1282</v>
      </c>
      <c r="E453" s="92">
        <v>57</v>
      </c>
      <c r="F453" s="92" t="str">
        <f>IF(E453&lt;=20,"0-19",
IF(E453&lt;=50,"20-49",
IF(E453&lt;=80,"50-79","80+")))</f>
        <v>50-79</v>
      </c>
      <c r="G453" s="92" t="s">
        <v>1283</v>
      </c>
      <c r="H453" s="92" t="s">
        <v>15</v>
      </c>
      <c r="I453" s="92" t="s">
        <v>2360</v>
      </c>
      <c r="J453" s="92" t="s">
        <v>2275</v>
      </c>
      <c r="K453" s="92" t="s">
        <v>1236</v>
      </c>
      <c r="L453" s="93" t="s">
        <v>1254</v>
      </c>
      <c r="M453" s="93">
        <v>12</v>
      </c>
      <c r="N453" s="94">
        <v>194295</v>
      </c>
      <c r="O453" s="82" t="s">
        <v>832</v>
      </c>
      <c r="P453" s="170"/>
      <c r="Q453" s="210"/>
    </row>
    <row r="454" spans="1:17" x14ac:dyDescent="0.2">
      <c r="A454" s="139" t="s">
        <v>1237</v>
      </c>
      <c r="B454" s="82">
        <v>2020047</v>
      </c>
      <c r="C454" s="82">
        <v>83597</v>
      </c>
      <c r="D454" s="82" t="s">
        <v>1239</v>
      </c>
      <c r="E454" s="82">
        <v>8</v>
      </c>
      <c r="F454" s="82" t="str">
        <f>IF(E454&lt;=20,"0-19",
IF(E454&lt;=50,"20-49",
IF(E454&lt;=80,"50-79","80+")))</f>
        <v>0-19</v>
      </c>
      <c r="G454" s="82" t="s">
        <v>438</v>
      </c>
      <c r="H454" s="82" t="s">
        <v>132</v>
      </c>
      <c r="I454" s="92" t="s">
        <v>1240</v>
      </c>
      <c r="J454" s="114" t="s">
        <v>2546</v>
      </c>
      <c r="K454" s="92" t="s">
        <v>846</v>
      </c>
      <c r="L454" s="92" t="s">
        <v>1241</v>
      </c>
      <c r="M454" s="82">
        <v>12</v>
      </c>
      <c r="N454" s="84">
        <v>377178</v>
      </c>
      <c r="O454" s="82" t="s">
        <v>832</v>
      </c>
      <c r="P454" s="171"/>
      <c r="Q454" s="210"/>
    </row>
    <row r="455" spans="1:17" x14ac:dyDescent="0.2">
      <c r="A455" s="139" t="s">
        <v>1503</v>
      </c>
      <c r="B455" s="82">
        <v>2008867</v>
      </c>
      <c r="C455" s="82">
        <v>101493</v>
      </c>
      <c r="D455" s="82" t="s">
        <v>1519</v>
      </c>
      <c r="E455" s="82">
        <v>62</v>
      </c>
      <c r="F455" s="82" t="str">
        <f>IF(E455&lt;=20,"0-19",
IF(E455&lt;=50,"20-49",
IF(E455&lt;=80,"50-79","80+")))</f>
        <v>50-79</v>
      </c>
      <c r="G455" s="82" t="s">
        <v>1520</v>
      </c>
      <c r="H455" s="82" t="s">
        <v>15</v>
      </c>
      <c r="I455" s="82" t="s">
        <v>1521</v>
      </c>
      <c r="J455" s="82" t="s">
        <v>2270</v>
      </c>
      <c r="K455" s="82" t="s">
        <v>880</v>
      </c>
      <c r="L455" s="82" t="s">
        <v>1236</v>
      </c>
      <c r="M455" s="82">
        <v>12</v>
      </c>
      <c r="N455" s="84">
        <v>357723</v>
      </c>
      <c r="O455" s="82" t="s">
        <v>832</v>
      </c>
      <c r="P455" s="170"/>
      <c r="Q455" s="210"/>
    </row>
    <row r="456" spans="1:17" x14ac:dyDescent="0.2">
      <c r="A456" s="139" t="s">
        <v>1417</v>
      </c>
      <c r="B456" s="82">
        <v>2402026</v>
      </c>
      <c r="C456" s="82">
        <v>56018</v>
      </c>
      <c r="D456" s="82" t="s">
        <v>1418</v>
      </c>
      <c r="E456" s="82">
        <v>59</v>
      </c>
      <c r="F456" s="82" t="str">
        <f>IF(E456&lt;=20,"0-19",
IF(E456&lt;=50,"20-49",
IF(E456&lt;=80,"50-79","80+")))</f>
        <v>50-79</v>
      </c>
      <c r="G456" s="82" t="s">
        <v>1419</v>
      </c>
      <c r="H456" s="82" t="s">
        <v>15</v>
      </c>
      <c r="I456" s="82" t="s">
        <v>1420</v>
      </c>
      <c r="J456" s="114" t="s">
        <v>2328</v>
      </c>
      <c r="K456" s="82" t="s">
        <v>909</v>
      </c>
      <c r="L456" s="82" t="s">
        <v>1231</v>
      </c>
      <c r="M456" s="82">
        <v>12</v>
      </c>
      <c r="N456" s="84">
        <v>512380</v>
      </c>
      <c r="O456" s="82" t="s">
        <v>832</v>
      </c>
      <c r="P456" s="170"/>
      <c r="Q456" s="210"/>
    </row>
    <row r="457" spans="1:17" x14ac:dyDescent="0.2">
      <c r="A457" s="105" t="s">
        <v>19</v>
      </c>
      <c r="B457" s="82">
        <v>2008980</v>
      </c>
      <c r="C457" s="82">
        <v>59457</v>
      </c>
      <c r="D457" s="82" t="s">
        <v>1838</v>
      </c>
      <c r="E457" s="82">
        <v>65</v>
      </c>
      <c r="F457" s="82" t="str">
        <f>IF(E457&lt;=20,"0-19",
IF(E457&lt;=50,"20-49",
IF(E457&lt;=80,"50-79","80+")))</f>
        <v>50-79</v>
      </c>
      <c r="G457" s="82" t="s">
        <v>314</v>
      </c>
      <c r="H457" s="82" t="s">
        <v>15</v>
      </c>
      <c r="I457" s="92" t="s">
        <v>1839</v>
      </c>
      <c r="J457" s="114" t="s">
        <v>2275</v>
      </c>
      <c r="K457" s="82" t="s">
        <v>1562</v>
      </c>
      <c r="L457" s="82" t="s">
        <v>1675</v>
      </c>
      <c r="M457" s="82">
        <v>13</v>
      </c>
      <c r="N457" s="151">
        <v>369816</v>
      </c>
      <c r="O457" s="151" t="s">
        <v>2254</v>
      </c>
      <c r="P457" s="152">
        <v>254722680420</v>
      </c>
      <c r="Q457" s="210"/>
    </row>
    <row r="458" spans="1:17" ht="21" x14ac:dyDescent="0.2">
      <c r="A458" s="104" t="s">
        <v>856</v>
      </c>
      <c r="B458" s="87">
        <v>2002660</v>
      </c>
      <c r="C458" s="87">
        <v>10320</v>
      </c>
      <c r="D458" s="87" t="s">
        <v>1871</v>
      </c>
      <c r="E458" s="87">
        <v>71</v>
      </c>
      <c r="F458" s="87" t="str">
        <f>IF(E458&lt;=20,"0-19",
IF(E458&lt;=50,"20-49",
IF(E458&lt;=80,"50-79","80+")))</f>
        <v>50-79</v>
      </c>
      <c r="G458" s="87" t="s">
        <v>1872</v>
      </c>
      <c r="H458" s="87" t="s">
        <v>22</v>
      </c>
      <c r="I458" s="86" t="s">
        <v>1873</v>
      </c>
      <c r="J458" s="86" t="s">
        <v>2275</v>
      </c>
      <c r="K458" s="87" t="s">
        <v>1232</v>
      </c>
      <c r="L458" s="87" t="s">
        <v>1589</v>
      </c>
      <c r="M458" s="87">
        <v>13</v>
      </c>
      <c r="N458" s="161">
        <v>762725.45</v>
      </c>
      <c r="O458" s="161" t="s">
        <v>2254</v>
      </c>
      <c r="P458" s="168">
        <v>254745782670</v>
      </c>
      <c r="Q458" s="210"/>
    </row>
    <row r="459" spans="1:17" x14ac:dyDescent="0.2">
      <c r="A459" s="104" t="s">
        <v>354</v>
      </c>
      <c r="B459" s="86">
        <v>2001529</v>
      </c>
      <c r="C459" s="87">
        <v>4598</v>
      </c>
      <c r="D459" s="86" t="s">
        <v>2191</v>
      </c>
      <c r="E459" s="86">
        <v>72</v>
      </c>
      <c r="F459" s="86" t="str">
        <f>IF(E459&lt;=20,"0-19",
IF(E459&lt;=50,"20-49",
IF(E459&lt;=80,"50-79","80+")))</f>
        <v>50-79</v>
      </c>
      <c r="G459" s="86" t="s">
        <v>2192</v>
      </c>
      <c r="H459" s="86" t="s">
        <v>22</v>
      </c>
      <c r="I459" s="86" t="s">
        <v>2193</v>
      </c>
      <c r="J459" s="86" t="s">
        <v>2275</v>
      </c>
      <c r="K459" s="86" t="s">
        <v>1567</v>
      </c>
      <c r="L459" s="88" t="s">
        <v>1906</v>
      </c>
      <c r="M459" s="88">
        <v>14</v>
      </c>
      <c r="N459" s="163">
        <v>224510.89</v>
      </c>
      <c r="O459" s="163" t="s">
        <v>2254</v>
      </c>
      <c r="P459" s="168">
        <v>254722975509</v>
      </c>
      <c r="Q459" s="210"/>
    </row>
    <row r="460" spans="1:17" x14ac:dyDescent="0.2">
      <c r="A460" s="105" t="s">
        <v>72</v>
      </c>
      <c r="B460" s="82">
        <v>2002534</v>
      </c>
      <c r="C460" s="82">
        <v>9231</v>
      </c>
      <c r="D460" s="82" t="s">
        <v>2223</v>
      </c>
      <c r="E460" s="82">
        <v>69</v>
      </c>
      <c r="F460" s="82" t="str">
        <f>IF(E460&lt;=20,"0-19",
IF(E460&lt;=50,"20-49",
IF(E460&lt;=80,"50-79","80+")))</f>
        <v>50-79</v>
      </c>
      <c r="G460" s="82" t="s">
        <v>1442</v>
      </c>
      <c r="H460" s="82" t="s">
        <v>22</v>
      </c>
      <c r="I460" s="82" t="s">
        <v>2224</v>
      </c>
      <c r="J460" s="82" t="s">
        <v>2288</v>
      </c>
      <c r="K460" s="92" t="s">
        <v>1562</v>
      </c>
      <c r="L460" s="82" t="s">
        <v>1908</v>
      </c>
      <c r="M460" s="82">
        <v>14</v>
      </c>
      <c r="N460" s="151">
        <v>413618.4</v>
      </c>
      <c r="O460" s="151" t="s">
        <v>2254</v>
      </c>
      <c r="P460" s="152">
        <v>254759231438</v>
      </c>
      <c r="Q460" s="210"/>
    </row>
    <row r="461" spans="1:17" ht="21" x14ac:dyDescent="0.2">
      <c r="A461" s="139" t="s">
        <v>856</v>
      </c>
      <c r="B461" s="92">
        <v>2006553</v>
      </c>
      <c r="C461" s="82">
        <v>100752</v>
      </c>
      <c r="D461" s="92" t="s">
        <v>1131</v>
      </c>
      <c r="E461" s="92">
        <v>63</v>
      </c>
      <c r="F461" s="92" t="str">
        <f>IF(E461&lt;=20,"0-19",
IF(E461&lt;=50,"20-49",
IF(E461&lt;=80,"50-79","80+")))</f>
        <v>50-79</v>
      </c>
      <c r="G461" s="92" t="s">
        <v>1353</v>
      </c>
      <c r="H461" s="92" t="s">
        <v>15</v>
      </c>
      <c r="I461" s="92" t="s">
        <v>1354</v>
      </c>
      <c r="J461" s="92" t="s">
        <v>2288</v>
      </c>
      <c r="K461" s="92" t="s">
        <v>860</v>
      </c>
      <c r="L461" s="92" t="s">
        <v>1254</v>
      </c>
      <c r="M461" s="92">
        <v>14</v>
      </c>
      <c r="N461" s="94">
        <v>772980</v>
      </c>
      <c r="O461" s="82" t="s">
        <v>832</v>
      </c>
      <c r="P461" s="170"/>
      <c r="Q461" s="210"/>
    </row>
    <row r="462" spans="1:17" ht="21" x14ac:dyDescent="0.2">
      <c r="A462" s="105" t="s">
        <v>53</v>
      </c>
      <c r="B462" s="82">
        <v>2001006</v>
      </c>
      <c r="C462" s="82">
        <v>18347</v>
      </c>
      <c r="D462" s="82" t="s">
        <v>607</v>
      </c>
      <c r="E462" s="82">
        <v>69</v>
      </c>
      <c r="F462" s="82" t="str">
        <f>IF(E462&lt;=20,"0-19",
IF(E462&lt;=50,"20-49",
IF(E462&lt;=80,"50-79","80+")))</f>
        <v>50-79</v>
      </c>
      <c r="G462" s="82" t="s">
        <v>520</v>
      </c>
      <c r="H462" s="82" t="s">
        <v>22</v>
      </c>
      <c r="I462" s="82" t="s">
        <v>2238</v>
      </c>
      <c r="J462" s="82" t="s">
        <v>2270</v>
      </c>
      <c r="K462" s="92" t="s">
        <v>2239</v>
      </c>
      <c r="L462" s="82" t="s">
        <v>1913</v>
      </c>
      <c r="M462" s="82">
        <v>14</v>
      </c>
      <c r="N462" s="151">
        <v>757994</v>
      </c>
      <c r="O462" s="151" t="s">
        <v>2254</v>
      </c>
      <c r="P462" s="152">
        <v>254722828789</v>
      </c>
      <c r="Q462" s="210"/>
    </row>
    <row r="463" spans="1:17" x14ac:dyDescent="0.2">
      <c r="A463" s="104" t="s">
        <v>72</v>
      </c>
      <c r="B463" s="87">
        <v>2005039</v>
      </c>
      <c r="C463" s="87">
        <v>13172</v>
      </c>
      <c r="D463" s="87" t="s">
        <v>541</v>
      </c>
      <c r="E463" s="86">
        <v>65</v>
      </c>
      <c r="F463" s="86" t="str">
        <f>IF(E463&lt;=20,"0-19",
IF(E463&lt;=50,"20-49",
IF(E463&lt;=80,"50-79","80+")))</f>
        <v>50-79</v>
      </c>
      <c r="G463" s="87" t="s">
        <v>542</v>
      </c>
      <c r="H463" s="87" t="s">
        <v>15</v>
      </c>
      <c r="I463" s="87" t="s">
        <v>543</v>
      </c>
      <c r="J463" s="114" t="s">
        <v>2328</v>
      </c>
      <c r="K463" s="86" t="s">
        <v>51</v>
      </c>
      <c r="L463" s="86" t="s">
        <v>67</v>
      </c>
      <c r="M463" s="87">
        <v>14</v>
      </c>
      <c r="N463" s="97">
        <v>961520</v>
      </c>
      <c r="O463" s="87" t="s">
        <v>18</v>
      </c>
      <c r="P463" s="171"/>
      <c r="Q463" s="210"/>
    </row>
    <row r="464" spans="1:17" x14ac:dyDescent="0.2">
      <c r="A464" s="108" t="s">
        <v>228</v>
      </c>
      <c r="B464" s="87">
        <v>2501066</v>
      </c>
      <c r="C464" s="87">
        <v>93352</v>
      </c>
      <c r="D464" s="87" t="s">
        <v>2182</v>
      </c>
      <c r="E464" s="87">
        <v>38</v>
      </c>
      <c r="F464" s="87" t="str">
        <f>IF(E464&lt;=20,"0-19",
IF(E464&lt;=50,"20-49",
IF(E464&lt;=80,"50-79","80+")))</f>
        <v>20-49</v>
      </c>
      <c r="G464" s="87" t="s">
        <v>2183</v>
      </c>
      <c r="H464" s="87" t="s">
        <v>22</v>
      </c>
      <c r="I464" s="87" t="s">
        <v>471</v>
      </c>
      <c r="J464" s="114" t="s">
        <v>2314</v>
      </c>
      <c r="K464" s="86" t="s">
        <v>1542</v>
      </c>
      <c r="L464" s="87" t="s">
        <v>1895</v>
      </c>
      <c r="M464" s="87">
        <v>14</v>
      </c>
      <c r="N464" s="161">
        <v>207033.3</v>
      </c>
      <c r="O464" s="161" t="s">
        <v>2254</v>
      </c>
      <c r="P464" s="168">
        <v>254711864528</v>
      </c>
      <c r="Q464" s="210"/>
    </row>
    <row r="465" spans="1:17" x14ac:dyDescent="0.2">
      <c r="A465" s="103" t="s">
        <v>544</v>
      </c>
      <c r="B465" s="82">
        <v>2004049</v>
      </c>
      <c r="C465" s="82">
        <v>18559</v>
      </c>
      <c r="D465" s="82" t="s">
        <v>545</v>
      </c>
      <c r="E465" s="92">
        <v>71</v>
      </c>
      <c r="F465" s="92" t="str">
        <f>IF(E465&lt;=20,"0-19",
IF(E465&lt;=50,"20-49",
IF(E465&lt;=80,"50-79","80+")))</f>
        <v>50-79</v>
      </c>
      <c r="G465" s="82" t="s">
        <v>546</v>
      </c>
      <c r="H465" s="82" t="s">
        <v>22</v>
      </c>
      <c r="I465" s="82" t="s">
        <v>547</v>
      </c>
      <c r="J465" s="114" t="s">
        <v>2546</v>
      </c>
      <c r="K465" s="92" t="s">
        <v>52</v>
      </c>
      <c r="L465" s="92" t="s">
        <v>62</v>
      </c>
      <c r="M465" s="82">
        <v>14</v>
      </c>
      <c r="N465" s="101">
        <v>1326407</v>
      </c>
      <c r="O465" s="82" t="s">
        <v>18</v>
      </c>
      <c r="P465" s="170"/>
      <c r="Q465" s="210"/>
    </row>
    <row r="466" spans="1:17" ht="21" x14ac:dyDescent="0.2">
      <c r="A466" s="139" t="s">
        <v>1430</v>
      </c>
      <c r="B466" s="92">
        <v>2003072</v>
      </c>
      <c r="C466" s="82">
        <v>104118</v>
      </c>
      <c r="D466" s="92" t="s">
        <v>1431</v>
      </c>
      <c r="E466" s="92">
        <v>66</v>
      </c>
      <c r="F466" s="92" t="str">
        <f>IF(E466&lt;=20,"0-19",
IF(E466&lt;=50,"20-49",
IF(E466&lt;=80,"50-79","80+")))</f>
        <v>50-79</v>
      </c>
      <c r="G466" s="92" t="s">
        <v>1432</v>
      </c>
      <c r="H466" s="92" t="s">
        <v>22</v>
      </c>
      <c r="I466" s="92" t="s">
        <v>1433</v>
      </c>
      <c r="J466" s="92" t="s">
        <v>2275</v>
      </c>
      <c r="K466" s="92" t="s">
        <v>1434</v>
      </c>
      <c r="L466" s="92" t="s">
        <v>1225</v>
      </c>
      <c r="M466" s="92">
        <v>15</v>
      </c>
      <c r="N466" s="101">
        <v>478348.63</v>
      </c>
      <c r="O466" s="82" t="s">
        <v>832</v>
      </c>
      <c r="P466" s="170"/>
      <c r="Q466" s="210"/>
    </row>
    <row r="467" spans="1:17" x14ac:dyDescent="0.2">
      <c r="A467" s="138" t="s">
        <v>228</v>
      </c>
      <c r="B467" s="87">
        <v>2501032</v>
      </c>
      <c r="C467" s="87">
        <v>19598</v>
      </c>
      <c r="D467" s="87" t="s">
        <v>548</v>
      </c>
      <c r="E467" s="86">
        <v>44</v>
      </c>
      <c r="F467" s="86" t="str">
        <f>IF(E467&lt;=20,"0-19",
IF(E467&lt;=50,"20-49",
IF(E467&lt;=80,"50-79","80+")))</f>
        <v>20-49</v>
      </c>
      <c r="G467" s="87" t="s">
        <v>549</v>
      </c>
      <c r="H467" s="87" t="s">
        <v>22</v>
      </c>
      <c r="I467" s="87" t="s">
        <v>550</v>
      </c>
      <c r="J467" s="114" t="s">
        <v>2311</v>
      </c>
      <c r="K467" s="86" t="s">
        <v>24</v>
      </c>
      <c r="L467" s="86" t="s">
        <v>95</v>
      </c>
      <c r="M467" s="87">
        <v>15</v>
      </c>
      <c r="N467" s="97">
        <v>364420.36</v>
      </c>
      <c r="O467" s="87" t="s">
        <v>18</v>
      </c>
      <c r="P467" s="171"/>
      <c r="Q467" s="210"/>
    </row>
    <row r="468" spans="1:17" x14ac:dyDescent="0.2">
      <c r="A468" s="139" t="s">
        <v>53</v>
      </c>
      <c r="B468" s="82">
        <v>2000086</v>
      </c>
      <c r="C468" s="82">
        <v>17770</v>
      </c>
      <c r="D468" s="82" t="s">
        <v>551</v>
      </c>
      <c r="E468" s="92">
        <v>72</v>
      </c>
      <c r="F468" s="92" t="str">
        <f>IF(E468&lt;=20,"0-19",
IF(E468&lt;=50,"20-49",
IF(E468&lt;=80,"50-79","80+")))</f>
        <v>50-79</v>
      </c>
      <c r="G468" s="82" t="s">
        <v>552</v>
      </c>
      <c r="H468" s="82" t="s">
        <v>22</v>
      </c>
      <c r="I468" s="82" t="s">
        <v>553</v>
      </c>
      <c r="J468" s="82" t="s">
        <v>2270</v>
      </c>
      <c r="K468" s="92" t="s">
        <v>25</v>
      </c>
      <c r="L468" s="92" t="s">
        <v>66</v>
      </c>
      <c r="M468" s="82">
        <v>15</v>
      </c>
      <c r="N468" s="101">
        <v>612546</v>
      </c>
      <c r="O468" s="82" t="s">
        <v>18</v>
      </c>
      <c r="P468" s="170"/>
      <c r="Q468" s="210"/>
    </row>
    <row r="469" spans="1:17" x14ac:dyDescent="0.2">
      <c r="A469" s="105" t="s">
        <v>354</v>
      </c>
      <c r="B469" s="82">
        <v>2507448</v>
      </c>
      <c r="C469" s="82">
        <v>81740</v>
      </c>
      <c r="D469" s="82" t="s">
        <v>2134</v>
      </c>
      <c r="E469" s="82">
        <v>42</v>
      </c>
      <c r="F469" s="82" t="str">
        <f>IF(E469&lt;=20,"0-19",
IF(E469&lt;=50,"20-49",
IF(E469&lt;=80,"50-79","80+")))</f>
        <v>20-49</v>
      </c>
      <c r="G469" s="82" t="s">
        <v>2135</v>
      </c>
      <c r="H469" s="82" t="s">
        <v>22</v>
      </c>
      <c r="I469" s="82" t="s">
        <v>2136</v>
      </c>
      <c r="J469" s="114" t="s">
        <v>2311</v>
      </c>
      <c r="K469" s="92" t="s">
        <v>1675</v>
      </c>
      <c r="L469" s="82" t="s">
        <v>1922</v>
      </c>
      <c r="M469" s="82">
        <v>16</v>
      </c>
      <c r="N469" s="151">
        <v>152675.9</v>
      </c>
      <c r="O469" s="151" t="s">
        <v>2254</v>
      </c>
      <c r="P469" s="152">
        <v>254722787610</v>
      </c>
      <c r="Q469" s="210"/>
    </row>
    <row r="470" spans="1:17" ht="21" x14ac:dyDescent="0.2">
      <c r="A470" s="108" t="s">
        <v>354</v>
      </c>
      <c r="B470" s="87">
        <v>2019550</v>
      </c>
      <c r="C470" s="87">
        <v>60099</v>
      </c>
      <c r="D470" s="87" t="s">
        <v>575</v>
      </c>
      <c r="E470" s="86">
        <v>62</v>
      </c>
      <c r="F470" s="86" t="str">
        <f>IF(E470&lt;=20,"0-19",
IF(E470&lt;=50,"20-49",
IF(E470&lt;=80,"50-79","80+")))</f>
        <v>50-79</v>
      </c>
      <c r="G470" s="87" t="s">
        <v>576</v>
      </c>
      <c r="H470" s="87" t="s">
        <v>22</v>
      </c>
      <c r="I470" s="87" t="s">
        <v>577</v>
      </c>
      <c r="J470" s="82" t="s">
        <v>2270</v>
      </c>
      <c r="K470" s="86" t="s">
        <v>578</v>
      </c>
      <c r="L470" s="86" t="s">
        <v>154</v>
      </c>
      <c r="M470" s="87">
        <v>17</v>
      </c>
      <c r="N470" s="97">
        <v>315970</v>
      </c>
      <c r="O470" s="87" t="s">
        <v>18</v>
      </c>
      <c r="P470" s="171"/>
      <c r="Q470" s="210"/>
    </row>
    <row r="471" spans="1:17" x14ac:dyDescent="0.2">
      <c r="A471" s="139" t="s">
        <v>68</v>
      </c>
      <c r="B471" s="92">
        <v>2512234</v>
      </c>
      <c r="C471" s="82">
        <v>62162</v>
      </c>
      <c r="D471" s="92" t="s">
        <v>1408</v>
      </c>
      <c r="E471" s="92">
        <v>15</v>
      </c>
      <c r="F471" s="92" t="str">
        <f>IF(E471&lt;=20,"0-19",
IF(E471&lt;=50,"20-49",
IF(E471&lt;=80,"50-79","80+")))</f>
        <v>0-19</v>
      </c>
      <c r="G471" s="92" t="s">
        <v>49</v>
      </c>
      <c r="H471" s="92" t="s">
        <v>132</v>
      </c>
      <c r="I471" s="92" t="s">
        <v>1409</v>
      </c>
      <c r="J471" s="114" t="s">
        <v>2546</v>
      </c>
      <c r="K471" s="92" t="s">
        <v>901</v>
      </c>
      <c r="L471" s="92" t="s">
        <v>1264</v>
      </c>
      <c r="M471" s="92">
        <v>18</v>
      </c>
      <c r="N471" s="101">
        <v>562593</v>
      </c>
      <c r="O471" s="82" t="s">
        <v>832</v>
      </c>
      <c r="P471" s="170"/>
      <c r="Q471" s="210"/>
    </row>
    <row r="472" spans="1:17" x14ac:dyDescent="0.2">
      <c r="A472" s="139" t="s">
        <v>228</v>
      </c>
      <c r="B472" s="82">
        <v>2505152</v>
      </c>
      <c r="C472" s="82">
        <v>67191</v>
      </c>
      <c r="D472" s="82" t="s">
        <v>39</v>
      </c>
      <c r="E472" s="82">
        <v>57</v>
      </c>
      <c r="F472" s="82" t="str">
        <f>IF(E472&lt;=20,"0-19",
IF(E472&lt;=50,"20-49",
IF(E472&lt;=80,"50-79","80+")))</f>
        <v>50-79</v>
      </c>
      <c r="G472" s="82" t="s">
        <v>40</v>
      </c>
      <c r="H472" s="82" t="s">
        <v>22</v>
      </c>
      <c r="I472" s="92" t="s">
        <v>1105</v>
      </c>
      <c r="J472" s="114" t="s">
        <v>2311</v>
      </c>
      <c r="K472" s="92" t="s">
        <v>78</v>
      </c>
      <c r="L472" s="82" t="s">
        <v>834</v>
      </c>
      <c r="M472" s="82">
        <v>19</v>
      </c>
      <c r="N472" s="84">
        <v>288937.64</v>
      </c>
      <c r="O472" s="82" t="s">
        <v>832</v>
      </c>
      <c r="P472" s="171"/>
      <c r="Q472" s="210"/>
    </row>
    <row r="473" spans="1:17" x14ac:dyDescent="0.2">
      <c r="A473" s="139" t="s">
        <v>856</v>
      </c>
      <c r="B473" s="92">
        <v>2001872</v>
      </c>
      <c r="C473" s="82">
        <v>13663</v>
      </c>
      <c r="D473" s="92" t="s">
        <v>105</v>
      </c>
      <c r="E473" s="92">
        <v>65</v>
      </c>
      <c r="F473" s="92" t="str">
        <f>IF(E473&lt;=20,"0-19",
IF(E473&lt;=50,"20-49",
IF(E473&lt;=80,"50-79","80+")))</f>
        <v>50-79</v>
      </c>
      <c r="G473" s="92" t="s">
        <v>126</v>
      </c>
      <c r="H473" s="92" t="s">
        <v>22</v>
      </c>
      <c r="I473" s="92" t="s">
        <v>1342</v>
      </c>
      <c r="J473" s="92" t="s">
        <v>2288</v>
      </c>
      <c r="K473" s="92" t="s">
        <v>85</v>
      </c>
      <c r="L473" s="93" t="s">
        <v>1260</v>
      </c>
      <c r="M473" s="92">
        <v>20</v>
      </c>
      <c r="N473" s="101">
        <v>1398370.77</v>
      </c>
      <c r="O473" s="82" t="s">
        <v>832</v>
      </c>
      <c r="P473" s="171"/>
      <c r="Q473" s="210"/>
    </row>
    <row r="474" spans="1:17" ht="42" x14ac:dyDescent="0.2">
      <c r="A474" s="105" t="s">
        <v>856</v>
      </c>
      <c r="B474" s="92">
        <v>2001375</v>
      </c>
      <c r="C474" s="82">
        <v>17244</v>
      </c>
      <c r="D474" s="92" t="s">
        <v>1887</v>
      </c>
      <c r="E474" s="92">
        <v>83</v>
      </c>
      <c r="F474" s="92" t="str">
        <f>IF(E474&lt;=20,"0-19",
IF(E474&lt;=50,"20-49",
IF(E474&lt;=80,"50-79","80+")))</f>
        <v>80+</v>
      </c>
      <c r="G474" s="92" t="s">
        <v>488</v>
      </c>
      <c r="H474" s="92" t="s">
        <v>22</v>
      </c>
      <c r="I474" s="92" t="s">
        <v>1888</v>
      </c>
      <c r="J474" s="92" t="s">
        <v>2288</v>
      </c>
      <c r="K474" s="92" t="s">
        <v>1889</v>
      </c>
      <c r="L474" s="92" t="s">
        <v>1594</v>
      </c>
      <c r="M474" s="92">
        <v>20</v>
      </c>
      <c r="N474" s="159">
        <v>1580000</v>
      </c>
      <c r="O474" s="159" t="s">
        <v>2254</v>
      </c>
      <c r="P474" s="152">
        <v>254710645680</v>
      </c>
      <c r="Q474" s="210"/>
    </row>
    <row r="475" spans="1:17" x14ac:dyDescent="0.2">
      <c r="A475" s="105" t="s">
        <v>274</v>
      </c>
      <c r="B475" s="92">
        <v>2015924</v>
      </c>
      <c r="C475" s="82">
        <v>37303</v>
      </c>
      <c r="D475" s="92" t="s">
        <v>2149</v>
      </c>
      <c r="E475" s="92">
        <v>47</v>
      </c>
      <c r="F475" s="92" t="str">
        <f>IF(E475&lt;=20,"0-19",
IF(E475&lt;=50,"20-49",
IF(E475&lt;=80,"50-79","80+")))</f>
        <v>20-49</v>
      </c>
      <c r="G475" s="92" t="s">
        <v>2150</v>
      </c>
      <c r="H475" s="92" t="s">
        <v>22</v>
      </c>
      <c r="I475" s="92" t="s">
        <v>2151</v>
      </c>
      <c r="J475" s="114" t="s">
        <v>2311</v>
      </c>
      <c r="K475" s="92" t="s">
        <v>2265</v>
      </c>
      <c r="L475" s="92" t="s">
        <v>1928</v>
      </c>
      <c r="M475" s="92">
        <v>20</v>
      </c>
      <c r="N475" s="166">
        <v>166099.69</v>
      </c>
      <c r="O475" s="166" t="s">
        <v>2254</v>
      </c>
      <c r="P475" s="152">
        <v>254725560378</v>
      </c>
      <c r="Q475" s="210"/>
    </row>
    <row r="476" spans="1:17" ht="31.5" x14ac:dyDescent="0.2">
      <c r="A476" s="105" t="s">
        <v>544</v>
      </c>
      <c r="B476" s="82">
        <v>2009652</v>
      </c>
      <c r="C476" s="82">
        <v>10110</v>
      </c>
      <c r="D476" s="82" t="s">
        <v>2250</v>
      </c>
      <c r="E476" s="82">
        <v>56</v>
      </c>
      <c r="F476" s="82" t="str">
        <f>IF(E476&lt;=20,"0-19",
IF(E476&lt;=50,"20-49",
IF(E476&lt;=80,"50-79","80+")))</f>
        <v>50-79</v>
      </c>
      <c r="G476" s="82" t="s">
        <v>2251</v>
      </c>
      <c r="H476" s="82" t="s">
        <v>15</v>
      </c>
      <c r="I476" s="82" t="s">
        <v>2252</v>
      </c>
      <c r="J476" s="82" t="s">
        <v>2275</v>
      </c>
      <c r="K476" s="92" t="s">
        <v>2253</v>
      </c>
      <c r="L476" s="82" t="s">
        <v>2016</v>
      </c>
      <c r="M476" s="82">
        <v>21</v>
      </c>
      <c r="N476" s="151">
        <v>2000000</v>
      </c>
      <c r="O476" s="151" t="s">
        <v>2254</v>
      </c>
      <c r="P476" s="152">
        <v>254721872105</v>
      </c>
      <c r="Q476" s="210"/>
    </row>
    <row r="477" spans="1:17" x14ac:dyDescent="0.2">
      <c r="A477" s="103" t="s">
        <v>579</v>
      </c>
      <c r="B477" s="82">
        <v>2508213</v>
      </c>
      <c r="C477" s="82">
        <v>67872</v>
      </c>
      <c r="D477" s="82" t="s">
        <v>580</v>
      </c>
      <c r="E477" s="92">
        <v>19</v>
      </c>
      <c r="F477" s="92" t="str">
        <f>IF(E477&lt;=20,"0-19",
IF(E477&lt;=50,"20-49",
IF(E477&lt;=80,"50-79","80+")))</f>
        <v>0-19</v>
      </c>
      <c r="G477" s="82" t="s">
        <v>581</v>
      </c>
      <c r="H477" s="82" t="s">
        <v>132</v>
      </c>
      <c r="I477" s="82" t="s">
        <v>582</v>
      </c>
      <c r="J477" s="114" t="s">
        <v>2546</v>
      </c>
      <c r="K477" s="92" t="s">
        <v>583</v>
      </c>
      <c r="L477" s="92" t="s">
        <v>85</v>
      </c>
      <c r="M477" s="82">
        <v>21</v>
      </c>
      <c r="N477" s="101">
        <v>181815</v>
      </c>
      <c r="O477" s="82" t="s">
        <v>18</v>
      </c>
      <c r="P477" s="170"/>
      <c r="Q477" s="210"/>
    </row>
    <row r="478" spans="1:17" x14ac:dyDescent="0.2">
      <c r="A478" s="105" t="s">
        <v>354</v>
      </c>
      <c r="B478" s="82">
        <v>2003903</v>
      </c>
      <c r="C478" s="82">
        <v>12834</v>
      </c>
      <c r="D478" s="82" t="s">
        <v>2209</v>
      </c>
      <c r="E478" s="82">
        <v>67</v>
      </c>
      <c r="F478" s="82" t="str">
        <f>IF(E478&lt;=20,"0-19",
IF(E478&lt;=50,"20-49",
IF(E478&lt;=80,"50-79","80+")))</f>
        <v>50-79</v>
      </c>
      <c r="G478" s="82" t="s">
        <v>265</v>
      </c>
      <c r="H478" s="82" t="s">
        <v>664</v>
      </c>
      <c r="I478" s="82" t="s">
        <v>2210</v>
      </c>
      <c r="J478" s="82" t="s">
        <v>2283</v>
      </c>
      <c r="K478" s="92" t="s">
        <v>2211</v>
      </c>
      <c r="L478" s="82" t="s">
        <v>1913</v>
      </c>
      <c r="M478" s="82">
        <v>22</v>
      </c>
      <c r="N478" s="151">
        <v>339785.02</v>
      </c>
      <c r="O478" s="151" t="s">
        <v>2254</v>
      </c>
      <c r="P478" s="152">
        <v>254722505895</v>
      </c>
      <c r="Q478" s="210"/>
    </row>
    <row r="479" spans="1:17" ht="21" x14ac:dyDescent="0.2">
      <c r="A479" s="105" t="s">
        <v>354</v>
      </c>
      <c r="B479" s="93">
        <v>2020636</v>
      </c>
      <c r="C479" s="82">
        <v>18572</v>
      </c>
      <c r="D479" s="93" t="s">
        <v>968</v>
      </c>
      <c r="E479" s="93">
        <v>63</v>
      </c>
      <c r="F479" s="93" t="str">
        <f>IF(E479&lt;=20,"0-19",
IF(E479&lt;=50,"20-49",
IF(E479&lt;=80,"50-79","80+")))</f>
        <v>50-79</v>
      </c>
      <c r="G479" s="93" t="s">
        <v>969</v>
      </c>
      <c r="H479" s="93" t="s">
        <v>22</v>
      </c>
      <c r="I479" s="93" t="s">
        <v>1848</v>
      </c>
      <c r="J479" s="93" t="s">
        <v>2295</v>
      </c>
      <c r="K479" s="93" t="s">
        <v>2263</v>
      </c>
      <c r="L479" s="92" t="s">
        <v>1542</v>
      </c>
      <c r="M479" s="93">
        <v>23</v>
      </c>
      <c r="N479" s="166">
        <v>405877.22</v>
      </c>
      <c r="O479" s="166" t="s">
        <v>2254</v>
      </c>
      <c r="P479" s="152">
        <v>254720718885</v>
      </c>
      <c r="Q479" s="210"/>
    </row>
    <row r="480" spans="1:17" x14ac:dyDescent="0.2">
      <c r="A480" s="139" t="s">
        <v>43</v>
      </c>
      <c r="B480" s="82">
        <v>2002668</v>
      </c>
      <c r="C480" s="82">
        <v>17920</v>
      </c>
      <c r="D480" s="82" t="s">
        <v>1265</v>
      </c>
      <c r="E480" s="82">
        <v>66</v>
      </c>
      <c r="F480" s="82" t="str">
        <f>IF(E480&lt;=20,"0-19",
IF(E480&lt;=50,"20-49",
IF(E480&lt;=80,"50-79","80+")))</f>
        <v>50-79</v>
      </c>
      <c r="G480" s="82" t="s">
        <v>1317</v>
      </c>
      <c r="H480" s="82" t="s">
        <v>22</v>
      </c>
      <c r="I480" s="82" t="s">
        <v>1318</v>
      </c>
      <c r="J480" s="82" t="s">
        <v>2304</v>
      </c>
      <c r="K480" s="82" t="s">
        <v>1319</v>
      </c>
      <c r="L480" s="82" t="s">
        <v>1249</v>
      </c>
      <c r="M480" s="82">
        <v>24</v>
      </c>
      <c r="N480" s="84">
        <v>1929520</v>
      </c>
      <c r="O480" s="82" t="s">
        <v>832</v>
      </c>
      <c r="P480" s="170"/>
      <c r="Q480" s="210"/>
    </row>
    <row r="481" spans="1:17" x14ac:dyDescent="0.2">
      <c r="A481" s="139" t="s">
        <v>990</v>
      </c>
      <c r="B481" s="82">
        <v>2022800</v>
      </c>
      <c r="C481" s="82">
        <v>16631</v>
      </c>
      <c r="D481" s="82" t="s">
        <v>320</v>
      </c>
      <c r="E481" s="82">
        <v>57</v>
      </c>
      <c r="F481" s="82" t="str">
        <f>IF(E481&lt;=20,"0-19",
IF(E481&lt;=50,"20-49",
IF(E481&lt;=80,"50-79","80+")))</f>
        <v>50-79</v>
      </c>
      <c r="G481" s="82" t="s">
        <v>49</v>
      </c>
      <c r="H481" s="82" t="s">
        <v>15</v>
      </c>
      <c r="I481" s="92" t="s">
        <v>1261</v>
      </c>
      <c r="J481" s="92" t="s">
        <v>2270</v>
      </c>
      <c r="K481" s="92" t="s">
        <v>1262</v>
      </c>
      <c r="L481" s="92" t="s">
        <v>1241</v>
      </c>
      <c r="M481" s="82">
        <v>24</v>
      </c>
      <c r="N481" s="84">
        <v>553939</v>
      </c>
      <c r="O481" s="82" t="s">
        <v>832</v>
      </c>
      <c r="P481" s="171"/>
      <c r="Q481" s="210"/>
    </row>
    <row r="482" spans="1:17" ht="21" x14ac:dyDescent="0.2">
      <c r="A482" s="105" t="s">
        <v>515</v>
      </c>
      <c r="B482" s="82">
        <v>2014304</v>
      </c>
      <c r="C482" s="82">
        <v>55303</v>
      </c>
      <c r="D482" s="82" t="s">
        <v>1106</v>
      </c>
      <c r="E482" s="82">
        <v>14</v>
      </c>
      <c r="F482" s="82" t="str">
        <f>IF(E482&lt;=20,"0-19",
IF(E482&lt;=50,"20-49",
IF(E482&lt;=80,"50-79","80+")))</f>
        <v>0-19</v>
      </c>
      <c r="G482" s="82" t="s">
        <v>2232</v>
      </c>
      <c r="H482" s="82" t="s">
        <v>88</v>
      </c>
      <c r="I482" s="82" t="s">
        <v>2233</v>
      </c>
      <c r="J482" s="114" t="s">
        <v>2270</v>
      </c>
      <c r="K482" s="92" t="s">
        <v>2234</v>
      </c>
      <c r="L482" s="82" t="s">
        <v>1922</v>
      </c>
      <c r="M482" s="82">
        <v>27</v>
      </c>
      <c r="N482" s="151">
        <v>626634</v>
      </c>
      <c r="O482" s="151" t="s">
        <v>2254</v>
      </c>
      <c r="P482" s="152">
        <v>722582038</v>
      </c>
      <c r="Q482" s="210"/>
    </row>
    <row r="483" spans="1:17" ht="31.5" x14ac:dyDescent="0.2">
      <c r="A483" s="139" t="s">
        <v>515</v>
      </c>
      <c r="B483" s="82">
        <v>2014301</v>
      </c>
      <c r="C483" s="82">
        <v>55303</v>
      </c>
      <c r="D483" s="82" t="s">
        <v>1106</v>
      </c>
      <c r="E483" s="82">
        <v>14</v>
      </c>
      <c r="F483" s="82" t="str">
        <f>IF(E483&lt;=20,"0-19",
IF(E483&lt;=50,"20-49",
IF(E483&lt;=80,"50-79","80+")))</f>
        <v>0-19</v>
      </c>
      <c r="G483" s="82" t="s">
        <v>1107</v>
      </c>
      <c r="H483" s="82" t="s">
        <v>88</v>
      </c>
      <c r="I483" s="92" t="s">
        <v>1108</v>
      </c>
      <c r="J483" s="92" t="s">
        <v>2270</v>
      </c>
      <c r="K483" s="92" t="s">
        <v>1109</v>
      </c>
      <c r="L483" s="82" t="s">
        <v>835</v>
      </c>
      <c r="M483" s="82">
        <v>28</v>
      </c>
      <c r="N483" s="84">
        <v>728082</v>
      </c>
      <c r="O483" s="82" t="s">
        <v>832</v>
      </c>
      <c r="P483" s="171"/>
      <c r="Q483" s="210"/>
    </row>
    <row r="484" spans="1:17" x14ac:dyDescent="0.2">
      <c r="A484" s="139" t="s">
        <v>373</v>
      </c>
      <c r="B484" s="93">
        <v>2013777</v>
      </c>
      <c r="C484" s="82">
        <v>78863</v>
      </c>
      <c r="D484" s="93" t="s">
        <v>1114</v>
      </c>
      <c r="E484" s="92">
        <v>43</v>
      </c>
      <c r="F484" s="92" t="str">
        <f>IF(E484&lt;=20,"0-19",
IF(E484&lt;=50,"20-49",
IF(E484&lt;=80,"50-79","80+")))</f>
        <v>20-49</v>
      </c>
      <c r="G484" s="92" t="s">
        <v>1115</v>
      </c>
      <c r="H484" s="92" t="s">
        <v>22</v>
      </c>
      <c r="I484" s="92" t="s">
        <v>1116</v>
      </c>
      <c r="J484" s="92" t="s">
        <v>2295</v>
      </c>
      <c r="K484" s="92" t="s">
        <v>42</v>
      </c>
      <c r="L484" s="92" t="s">
        <v>36</v>
      </c>
      <c r="M484" s="92">
        <v>29</v>
      </c>
      <c r="N484" s="101">
        <v>1999999</v>
      </c>
      <c r="O484" s="82" t="s">
        <v>832</v>
      </c>
      <c r="P484" s="170"/>
      <c r="Q484" s="210"/>
    </row>
    <row r="485" spans="1:17" ht="21" x14ac:dyDescent="0.2">
      <c r="A485" s="139" t="s">
        <v>228</v>
      </c>
      <c r="B485" s="93">
        <v>2005259</v>
      </c>
      <c r="C485" s="82">
        <v>106787</v>
      </c>
      <c r="D485" s="93" t="s">
        <v>1110</v>
      </c>
      <c r="E485" s="93">
        <v>47</v>
      </c>
      <c r="F485" s="93" t="str">
        <f>IF(E485&lt;=20,"0-19",
IF(E485&lt;=50,"20-49",
IF(E485&lt;=80,"50-79","80+")))</f>
        <v>20-49</v>
      </c>
      <c r="G485" s="93" t="s">
        <v>1111</v>
      </c>
      <c r="H485" s="93" t="s">
        <v>15</v>
      </c>
      <c r="I485" s="93" t="s">
        <v>1112</v>
      </c>
      <c r="J485" s="114" t="s">
        <v>2314</v>
      </c>
      <c r="K485" s="93" t="s">
        <v>1113</v>
      </c>
      <c r="L485" s="93" t="s">
        <v>835</v>
      </c>
      <c r="M485" s="93">
        <v>29</v>
      </c>
      <c r="N485" s="94">
        <v>115440.52</v>
      </c>
      <c r="O485" s="82" t="s">
        <v>832</v>
      </c>
      <c r="P485" s="170"/>
      <c r="Q485" s="210"/>
    </row>
    <row r="486" spans="1:17" ht="21" x14ac:dyDescent="0.2">
      <c r="A486" s="104" t="s">
        <v>274</v>
      </c>
      <c r="B486" s="88">
        <v>2020064</v>
      </c>
      <c r="C486" s="87">
        <v>55459</v>
      </c>
      <c r="D486" s="88" t="s">
        <v>2225</v>
      </c>
      <c r="E486" s="88">
        <v>62</v>
      </c>
      <c r="F486" s="88" t="str">
        <f>IF(E486&lt;=20,"0-19",
IF(E486&lt;=50,"20-49",
IF(E486&lt;=80,"50-79","80+")))</f>
        <v>50-79</v>
      </c>
      <c r="G486" s="88" t="s">
        <v>2267</v>
      </c>
      <c r="H486" s="88" t="s">
        <v>15</v>
      </c>
      <c r="I486" s="88" t="s">
        <v>2227</v>
      </c>
      <c r="J486" s="88" t="s">
        <v>2304</v>
      </c>
      <c r="K486" s="88" t="s">
        <v>919</v>
      </c>
      <c r="L486" s="86" t="s">
        <v>1911</v>
      </c>
      <c r="M486" s="88">
        <v>30</v>
      </c>
      <c r="N486" s="163">
        <v>426456</v>
      </c>
      <c r="O486" s="163" t="s">
        <v>2254</v>
      </c>
      <c r="P486" s="168">
        <v>254759231438</v>
      </c>
      <c r="Q486" s="210"/>
    </row>
    <row r="487" spans="1:17" x14ac:dyDescent="0.2">
      <c r="A487" s="104" t="s">
        <v>354</v>
      </c>
      <c r="B487" s="87">
        <v>2602004</v>
      </c>
      <c r="C487" s="87">
        <v>62092</v>
      </c>
      <c r="D487" s="87" t="s">
        <v>1021</v>
      </c>
      <c r="E487" s="87">
        <v>59</v>
      </c>
      <c r="F487" s="87" t="str">
        <f>IF(E487&lt;=20,"0-19",
IF(E487&lt;=50,"20-49",
IF(E487&lt;=80,"50-79","80+")))</f>
        <v>50-79</v>
      </c>
      <c r="G487" s="87" t="s">
        <v>1022</v>
      </c>
      <c r="H487" s="87" t="s">
        <v>22</v>
      </c>
      <c r="I487" s="86" t="s">
        <v>1781</v>
      </c>
      <c r="J487" s="86" t="s">
        <v>2288</v>
      </c>
      <c r="K487" s="87" t="s">
        <v>896</v>
      </c>
      <c r="L487" s="87" t="s">
        <v>1589</v>
      </c>
      <c r="M487" s="87">
        <v>30</v>
      </c>
      <c r="N487" s="161">
        <v>533761</v>
      </c>
      <c r="O487" s="161" t="s">
        <v>2254</v>
      </c>
      <c r="P487" s="168">
        <v>254721293215</v>
      </c>
      <c r="Q487" s="210"/>
    </row>
    <row r="488" spans="1:17" x14ac:dyDescent="0.2">
      <c r="A488" s="104" t="s">
        <v>1502</v>
      </c>
      <c r="B488" s="87">
        <v>2022537</v>
      </c>
      <c r="C488" s="87">
        <v>32636</v>
      </c>
      <c r="D488" s="87" t="s">
        <v>1793</v>
      </c>
      <c r="E488" s="87">
        <v>61</v>
      </c>
      <c r="F488" s="87" t="str">
        <f>IF(E488&lt;=20,"0-19",
IF(E488&lt;=50,"20-49",
IF(E488&lt;=80,"50-79","80+")))</f>
        <v>50-79</v>
      </c>
      <c r="G488" s="87" t="s">
        <v>507</v>
      </c>
      <c r="H488" s="87" t="s">
        <v>664</v>
      </c>
      <c r="I488" s="86" t="s">
        <v>1794</v>
      </c>
      <c r="J488" s="114" t="s">
        <v>2311</v>
      </c>
      <c r="K488" s="87" t="s">
        <v>1795</v>
      </c>
      <c r="L488" s="87" t="s">
        <v>1551</v>
      </c>
      <c r="M488" s="87">
        <v>30</v>
      </c>
      <c r="N488" s="161">
        <v>253650</v>
      </c>
      <c r="O488" s="161" t="s">
        <v>2254</v>
      </c>
      <c r="P488" s="168">
        <v>254722676312</v>
      </c>
      <c r="Q488" s="210"/>
    </row>
    <row r="489" spans="1:17" x14ac:dyDescent="0.2">
      <c r="A489" s="139" t="s">
        <v>1503</v>
      </c>
      <c r="B489" s="93">
        <v>2505061</v>
      </c>
      <c r="C489" s="93">
        <v>59211</v>
      </c>
      <c r="D489" s="93" t="s">
        <v>584</v>
      </c>
      <c r="E489" s="93">
        <v>59</v>
      </c>
      <c r="F489" s="93" t="str">
        <f>IF(E489&lt;=20,"0-19",
IF(E489&lt;=50,"20-49",
IF(E489&lt;=80,"50-79","80+")))</f>
        <v>50-79</v>
      </c>
      <c r="G489" s="93" t="s">
        <v>585</v>
      </c>
      <c r="H489" s="92" t="s">
        <v>22</v>
      </c>
      <c r="I489" s="92" t="s">
        <v>586</v>
      </c>
      <c r="J489" s="92" t="s">
        <v>2270</v>
      </c>
      <c r="K489" s="93" t="s">
        <v>1117</v>
      </c>
      <c r="L489" s="93" t="s">
        <v>873</v>
      </c>
      <c r="M489" s="93">
        <v>30</v>
      </c>
      <c r="N489" s="101">
        <v>535449.43999999994</v>
      </c>
      <c r="O489" s="82" t="s">
        <v>832</v>
      </c>
      <c r="P489" s="170"/>
      <c r="Q489" s="210"/>
    </row>
    <row r="490" spans="1:17" ht="31.5" x14ac:dyDescent="0.2">
      <c r="A490" s="139" t="s">
        <v>1504</v>
      </c>
      <c r="B490" s="82">
        <v>2407217</v>
      </c>
      <c r="C490" s="82">
        <v>62010</v>
      </c>
      <c r="D490" s="82" t="s">
        <v>1118</v>
      </c>
      <c r="E490" s="82">
        <v>59</v>
      </c>
      <c r="F490" s="82" t="str">
        <f>IF(E490&lt;=20,"0-19",
IF(E490&lt;=50,"20-49",
IF(E490&lt;=80,"50-79","80+")))</f>
        <v>50-79</v>
      </c>
      <c r="G490" s="82" t="s">
        <v>1119</v>
      </c>
      <c r="H490" s="82" t="s">
        <v>22</v>
      </c>
      <c r="I490" s="92" t="s">
        <v>1120</v>
      </c>
      <c r="J490" s="92" t="s">
        <v>2275</v>
      </c>
      <c r="K490" s="92" t="s">
        <v>1121</v>
      </c>
      <c r="L490" s="82" t="s">
        <v>831</v>
      </c>
      <c r="M490" s="82">
        <v>32</v>
      </c>
      <c r="N490" s="84">
        <v>288663.15000000002</v>
      </c>
      <c r="O490" s="82" t="s">
        <v>832</v>
      </c>
      <c r="P490" s="171"/>
      <c r="Q490" s="210"/>
    </row>
    <row r="491" spans="1:17" x14ac:dyDescent="0.2">
      <c r="A491" s="104" t="s">
        <v>354</v>
      </c>
      <c r="B491" s="87">
        <v>2019543</v>
      </c>
      <c r="C491" s="87">
        <v>16396</v>
      </c>
      <c r="D491" s="87" t="s">
        <v>390</v>
      </c>
      <c r="E491" s="87">
        <v>40</v>
      </c>
      <c r="F491" s="87" t="str">
        <f>IF(E491&lt;=20,"0-19",
IF(E491&lt;=50,"20-49",
IF(E491&lt;=80,"50-79","80+")))</f>
        <v>20-49</v>
      </c>
      <c r="G491" s="87" t="s">
        <v>1867</v>
      </c>
      <c r="H491" s="87" t="s">
        <v>15</v>
      </c>
      <c r="I491" s="86" t="s">
        <v>1868</v>
      </c>
      <c r="J491" s="114" t="s">
        <v>2546</v>
      </c>
      <c r="K491" s="87" t="s">
        <v>95</v>
      </c>
      <c r="L491" s="87" t="s">
        <v>1572</v>
      </c>
      <c r="M491" s="87">
        <v>46</v>
      </c>
      <c r="N491" s="161">
        <v>661914.37</v>
      </c>
      <c r="O491" s="161" t="s">
        <v>2254</v>
      </c>
      <c r="P491" s="168">
        <v>254722952865</v>
      </c>
      <c r="Q491" s="210"/>
    </row>
    <row r="492" spans="1:17" x14ac:dyDescent="0.2">
      <c r="A492" s="139" t="s">
        <v>1383</v>
      </c>
      <c r="B492" s="93">
        <v>2015925</v>
      </c>
      <c r="C492" s="82">
        <v>37303</v>
      </c>
      <c r="D492" s="93" t="s">
        <v>1384</v>
      </c>
      <c r="E492" s="93">
        <v>46</v>
      </c>
      <c r="F492" s="93" t="str">
        <f>IF(E492&lt;=20,"0-19",
IF(E492&lt;=50,"20-49",
IF(E492&lt;=80,"50-79","80+")))</f>
        <v>20-49</v>
      </c>
      <c r="G492" s="93" t="s">
        <v>126</v>
      </c>
      <c r="H492" s="93" t="s">
        <v>664</v>
      </c>
      <c r="I492" s="93" t="s">
        <v>1385</v>
      </c>
      <c r="J492" s="114" t="s">
        <v>2311</v>
      </c>
      <c r="K492" s="93" t="s">
        <v>103</v>
      </c>
      <c r="L492" s="92" t="s">
        <v>1260</v>
      </c>
      <c r="M492" s="93">
        <v>47</v>
      </c>
      <c r="N492" s="94">
        <v>172244</v>
      </c>
      <c r="O492" s="82" t="s">
        <v>832</v>
      </c>
      <c r="P492" s="170"/>
      <c r="Q492" s="210"/>
    </row>
    <row r="493" spans="1:17" ht="21" x14ac:dyDescent="0.2">
      <c r="A493" s="139" t="s">
        <v>1504</v>
      </c>
      <c r="B493" s="93">
        <v>2011353</v>
      </c>
      <c r="C493" s="82">
        <v>14193</v>
      </c>
      <c r="D493" s="93" t="s">
        <v>1505</v>
      </c>
      <c r="E493" s="93">
        <v>66</v>
      </c>
      <c r="F493" s="93" t="str">
        <f>IF(E493&lt;=20,"0-19",
IF(E493&lt;=50,"20-49",
IF(E493&lt;=80,"50-79","80+")))</f>
        <v>50-79</v>
      </c>
      <c r="G493" s="93" t="s">
        <v>1506</v>
      </c>
      <c r="H493" s="93" t="s">
        <v>22</v>
      </c>
      <c r="I493" s="92" t="s">
        <v>1507</v>
      </c>
      <c r="J493" s="92" t="s">
        <v>2328</v>
      </c>
      <c r="K493" s="93" t="s">
        <v>1508</v>
      </c>
      <c r="L493" s="93" t="s">
        <v>1264</v>
      </c>
      <c r="M493" s="93">
        <v>47</v>
      </c>
      <c r="N493" s="94">
        <v>372651</v>
      </c>
      <c r="O493" s="82" t="s">
        <v>832</v>
      </c>
      <c r="P493" s="170"/>
      <c r="Q493" s="210"/>
    </row>
    <row r="494" spans="1:17" ht="21" x14ac:dyDescent="0.2">
      <c r="A494" s="104" t="s">
        <v>1033</v>
      </c>
      <c r="B494" s="86">
        <v>2005082</v>
      </c>
      <c r="C494" s="87">
        <v>101741</v>
      </c>
      <c r="D494" s="86" t="s">
        <v>76</v>
      </c>
      <c r="E494" s="86">
        <v>69</v>
      </c>
      <c r="F494" s="86" t="str">
        <f>IF(E494&lt;=20,"0-19",
IF(E494&lt;=50,"20-49",
IF(E494&lt;=80,"50-79","80+")))</f>
        <v>50-79</v>
      </c>
      <c r="G494" s="86" t="s">
        <v>2235</v>
      </c>
      <c r="H494" s="86" t="s">
        <v>15</v>
      </c>
      <c r="I494" s="86" t="s">
        <v>2236</v>
      </c>
      <c r="J494" s="86" t="s">
        <v>2270</v>
      </c>
      <c r="K494" s="86" t="s">
        <v>2237</v>
      </c>
      <c r="L494" s="88" t="s">
        <v>1923</v>
      </c>
      <c r="M494" s="86">
        <v>48</v>
      </c>
      <c r="N494" s="164">
        <v>722695</v>
      </c>
      <c r="O494" s="164" t="s">
        <v>2254</v>
      </c>
      <c r="P494" s="168">
        <v>254722828789</v>
      </c>
      <c r="Q494" s="210"/>
    </row>
    <row r="495" spans="1:17" x14ac:dyDescent="0.2">
      <c r="A495" s="105" t="s">
        <v>354</v>
      </c>
      <c r="B495" s="82">
        <v>2004007</v>
      </c>
      <c r="C495" s="82">
        <v>31602</v>
      </c>
      <c r="D495" s="82" t="s">
        <v>2243</v>
      </c>
      <c r="E495" s="82">
        <v>67</v>
      </c>
      <c r="F495" s="82" t="str">
        <f>IF(E495&lt;=20,"0-19",
IF(E495&lt;=50,"20-49",
IF(E495&lt;=80,"50-79","80+")))</f>
        <v>50-79</v>
      </c>
      <c r="G495" s="82" t="s">
        <v>2244</v>
      </c>
      <c r="H495" s="82" t="s">
        <v>22</v>
      </c>
      <c r="I495" s="82" t="s">
        <v>2245</v>
      </c>
      <c r="J495" s="82" t="s">
        <v>2275</v>
      </c>
      <c r="K495" s="92" t="s">
        <v>85</v>
      </c>
      <c r="L495" s="82" t="s">
        <v>1928</v>
      </c>
      <c r="M495" s="82">
        <v>49</v>
      </c>
      <c r="N495" s="151">
        <v>841975.53</v>
      </c>
      <c r="O495" s="151" t="s">
        <v>2254</v>
      </c>
      <c r="P495" s="152">
        <v>254720133344</v>
      </c>
      <c r="Q495" s="210"/>
    </row>
    <row r="496" spans="1:17" x14ac:dyDescent="0.2">
      <c r="A496" s="105" t="s">
        <v>354</v>
      </c>
      <c r="B496" s="82">
        <v>2013560</v>
      </c>
      <c r="C496" s="82">
        <v>6625</v>
      </c>
      <c r="D496" s="82" t="s">
        <v>1874</v>
      </c>
      <c r="E496" s="82">
        <v>65</v>
      </c>
      <c r="F496" s="82" t="str">
        <f>IF(E496&lt;=20,"0-19",
IF(E496&lt;=50,"20-49",
IF(E496&lt;=80,"50-79","80+")))</f>
        <v>50-79</v>
      </c>
      <c r="G496" s="82" t="s">
        <v>1875</v>
      </c>
      <c r="H496" s="82" t="s">
        <v>15</v>
      </c>
      <c r="I496" s="92" t="s">
        <v>1876</v>
      </c>
      <c r="J496" s="92" t="s">
        <v>2270</v>
      </c>
      <c r="K496" s="82" t="s">
        <v>17</v>
      </c>
      <c r="L496" s="82" t="s">
        <v>1572</v>
      </c>
      <c r="M496" s="82">
        <v>67</v>
      </c>
      <c r="N496" s="151">
        <v>788226.55</v>
      </c>
      <c r="O496" s="151" t="s">
        <v>2254</v>
      </c>
      <c r="P496" s="152">
        <v>254724268799</v>
      </c>
      <c r="Q496" s="210"/>
    </row>
    <row r="497" spans="1:17" x14ac:dyDescent="0.2">
      <c r="A497" s="104" t="s">
        <v>354</v>
      </c>
      <c r="B497" s="88">
        <v>2002495</v>
      </c>
      <c r="C497" s="87">
        <v>18530</v>
      </c>
      <c r="D497" s="88" t="s">
        <v>2246</v>
      </c>
      <c r="E497" s="88">
        <v>65</v>
      </c>
      <c r="F497" s="88" t="str">
        <f>IF(E497&lt;=20,"0-19",
IF(E497&lt;=50,"20-49",
IF(E497&lt;=80,"50-79","80+")))</f>
        <v>50-79</v>
      </c>
      <c r="G497" s="88" t="s">
        <v>2247</v>
      </c>
      <c r="H497" s="86" t="s">
        <v>22</v>
      </c>
      <c r="I497" s="86" t="s">
        <v>2248</v>
      </c>
      <c r="J497" s="86" t="s">
        <v>2304</v>
      </c>
      <c r="K497" s="88" t="s">
        <v>2249</v>
      </c>
      <c r="L497" s="88" t="s">
        <v>1911</v>
      </c>
      <c r="M497" s="88">
        <v>75</v>
      </c>
      <c r="N497" s="164">
        <v>1151634.9099999999</v>
      </c>
      <c r="O497" s="164" t="s">
        <v>2254</v>
      </c>
      <c r="P497" s="168">
        <v>254720133344</v>
      </c>
      <c r="Q497" s="210"/>
    </row>
    <row r="498" spans="1:17" ht="21" x14ac:dyDescent="0.2">
      <c r="A498" s="104" t="s">
        <v>1504</v>
      </c>
      <c r="B498" s="88">
        <v>2017620</v>
      </c>
      <c r="C498" s="87">
        <v>54137</v>
      </c>
      <c r="D498" s="88" t="s">
        <v>1387</v>
      </c>
      <c r="E498" s="88">
        <v>17</v>
      </c>
      <c r="F498" s="88" t="str">
        <f>IF(E498&lt;=20,"0-19",
IF(E498&lt;=50,"20-49",
IF(E498&lt;=80,"50-79","80+")))</f>
        <v>0-19</v>
      </c>
      <c r="G498" s="88" t="s">
        <v>470</v>
      </c>
      <c r="H498" s="88" t="s">
        <v>88</v>
      </c>
      <c r="I498" s="86" t="s">
        <v>471</v>
      </c>
      <c r="J498" s="114" t="s">
        <v>2314</v>
      </c>
      <c r="K498" s="88" t="s">
        <v>57</v>
      </c>
      <c r="L498" s="86" t="s">
        <v>1918</v>
      </c>
      <c r="M498" s="88">
        <v>76</v>
      </c>
      <c r="N498" s="163">
        <v>667761.6</v>
      </c>
      <c r="O498" s="163" t="s">
        <v>2254</v>
      </c>
      <c r="P498" s="168">
        <v>254722348407</v>
      </c>
      <c r="Q498" s="210"/>
    </row>
    <row r="499" spans="1:17" x14ac:dyDescent="0.2">
      <c r="A499" s="105" t="s">
        <v>889</v>
      </c>
      <c r="B499" s="82">
        <v>2001061</v>
      </c>
      <c r="C499" s="82">
        <v>2067</v>
      </c>
      <c r="D499" s="82" t="s">
        <v>1709</v>
      </c>
      <c r="E499" s="82">
        <v>79</v>
      </c>
      <c r="F499" s="82" t="str">
        <f>IF(E499&lt;=20,"0-19",
IF(E499&lt;=50,"20-49",
IF(E499&lt;=80,"50-79","80+")))</f>
        <v>50-79</v>
      </c>
      <c r="G499" s="82" t="s">
        <v>1710</v>
      </c>
      <c r="H499" s="82" t="s">
        <v>22</v>
      </c>
      <c r="I499" s="92" t="s">
        <v>1711</v>
      </c>
      <c r="J499" s="92" t="s">
        <v>2288</v>
      </c>
      <c r="K499" s="82" t="s">
        <v>1572</v>
      </c>
      <c r="L499" s="82" t="s">
        <v>1675</v>
      </c>
      <c r="M499" s="82" t="s">
        <v>1712</v>
      </c>
      <c r="N499" s="151">
        <v>95988</v>
      </c>
      <c r="O499" s="151" t="s">
        <v>2254</v>
      </c>
      <c r="P499" s="152">
        <v>254722613828</v>
      </c>
      <c r="Q499" s="210"/>
    </row>
    <row r="500" spans="1:17" x14ac:dyDescent="0.2">
      <c r="A500" s="139" t="s">
        <v>155</v>
      </c>
      <c r="B500" s="82">
        <v>2510126</v>
      </c>
      <c r="C500" s="82">
        <v>55824</v>
      </c>
      <c r="D500" s="82" t="s">
        <v>1122</v>
      </c>
      <c r="E500" s="82">
        <v>21</v>
      </c>
      <c r="F500" s="82" t="str">
        <f>IF(E500&lt;=20,"0-19",
IF(E500&lt;=50,"20-49",
IF(E500&lt;=80,"50-79","80+")))</f>
        <v>20-49</v>
      </c>
      <c r="G500" s="82" t="s">
        <v>49</v>
      </c>
      <c r="H500" s="82" t="s">
        <v>132</v>
      </c>
      <c r="I500" s="92" t="s">
        <v>1123</v>
      </c>
      <c r="J500" s="92" t="s">
        <v>2288</v>
      </c>
      <c r="K500" s="92" t="s">
        <v>1124</v>
      </c>
      <c r="L500" s="82" t="s">
        <v>831</v>
      </c>
      <c r="M500" s="82" t="s">
        <v>1125</v>
      </c>
      <c r="N500" s="84">
        <v>43586</v>
      </c>
      <c r="O500" s="82" t="s">
        <v>832</v>
      </c>
      <c r="P500" s="170"/>
      <c r="Q500" s="210"/>
    </row>
    <row r="501" spans="1:17" ht="21" x14ac:dyDescent="0.2">
      <c r="A501" s="108" t="s">
        <v>1890</v>
      </c>
      <c r="B501" s="87">
        <v>2002987</v>
      </c>
      <c r="C501" s="87">
        <v>60750</v>
      </c>
      <c r="D501" s="87" t="s">
        <v>1066</v>
      </c>
      <c r="E501" s="87">
        <v>56</v>
      </c>
      <c r="F501" s="87" t="str">
        <f>IF(E501&lt;=20,"0-19",
IF(E501&lt;=50,"20-49",
IF(E501&lt;=80,"50-79","80+")))</f>
        <v>50-79</v>
      </c>
      <c r="G501" s="87" t="s">
        <v>1067</v>
      </c>
      <c r="H501" s="87" t="s">
        <v>22</v>
      </c>
      <c r="I501" s="87" t="s">
        <v>1891</v>
      </c>
      <c r="J501" s="87" t="s">
        <v>2275</v>
      </c>
      <c r="K501" s="86" t="s">
        <v>1892</v>
      </c>
      <c r="L501" s="87" t="s">
        <v>1893</v>
      </c>
      <c r="M501" s="87" t="s">
        <v>1226</v>
      </c>
      <c r="N501" s="161">
        <v>6500</v>
      </c>
      <c r="O501" s="161" t="s">
        <v>2254</v>
      </c>
      <c r="P501" s="168">
        <v>254722271315</v>
      </c>
      <c r="Q501" s="210"/>
    </row>
    <row r="502" spans="1:17" x14ac:dyDescent="0.2">
      <c r="A502" s="139" t="s">
        <v>1221</v>
      </c>
      <c r="B502" s="82">
        <v>2018628</v>
      </c>
      <c r="C502" s="82">
        <v>55007</v>
      </c>
      <c r="D502" s="82" t="s">
        <v>1222</v>
      </c>
      <c r="E502" s="82">
        <v>63</v>
      </c>
      <c r="F502" s="82" t="str">
        <f>IF(E502&lt;=20,"0-19",
IF(E502&lt;=50,"20-49",
IF(E502&lt;=80,"50-79","80+")))</f>
        <v>50-79</v>
      </c>
      <c r="G502" s="82" t="s">
        <v>60</v>
      </c>
      <c r="H502" s="82" t="s">
        <v>22</v>
      </c>
      <c r="I502" s="82" t="s">
        <v>1223</v>
      </c>
      <c r="J502" s="82" t="s">
        <v>2310</v>
      </c>
      <c r="K502" s="82" t="s">
        <v>1224</v>
      </c>
      <c r="L502" s="82" t="s">
        <v>1225</v>
      </c>
      <c r="M502" s="82" t="s">
        <v>1226</v>
      </c>
      <c r="N502" s="84">
        <v>20000</v>
      </c>
      <c r="O502" s="82" t="s">
        <v>832</v>
      </c>
      <c r="P502" s="171"/>
      <c r="Q502" s="210"/>
    </row>
    <row r="503" spans="1:17" ht="21" x14ac:dyDescent="0.2">
      <c r="A503" s="139" t="s">
        <v>1237</v>
      </c>
      <c r="B503" s="92">
        <v>2023530</v>
      </c>
      <c r="C503" s="82">
        <v>63470</v>
      </c>
      <c r="D503" s="92" t="s">
        <v>1243</v>
      </c>
      <c r="E503" s="92">
        <v>50</v>
      </c>
      <c r="F503" s="92" t="str">
        <f>IF(E503&lt;=20,"0-19",
IF(E503&lt;=50,"20-49",
IF(E503&lt;=80,"50-79","80+")))</f>
        <v>20-49</v>
      </c>
      <c r="G503" s="93" t="s">
        <v>49</v>
      </c>
      <c r="H503" s="93" t="s">
        <v>15</v>
      </c>
      <c r="I503" s="92" t="s">
        <v>1244</v>
      </c>
      <c r="J503" s="114" t="s">
        <v>2275</v>
      </c>
      <c r="K503" s="93" t="s">
        <v>1245</v>
      </c>
      <c r="L503" s="93" t="s">
        <v>1232</v>
      </c>
      <c r="M503" s="93" t="s">
        <v>556</v>
      </c>
      <c r="N503" s="94">
        <v>42000</v>
      </c>
      <c r="O503" s="82" t="s">
        <v>832</v>
      </c>
      <c r="P503" s="171"/>
      <c r="Q503" s="210"/>
    </row>
    <row r="504" spans="1:17" x14ac:dyDescent="0.2">
      <c r="A504" s="105" t="s">
        <v>43</v>
      </c>
      <c r="B504" s="92">
        <v>2002558</v>
      </c>
      <c r="C504" s="82">
        <v>31385</v>
      </c>
      <c r="D504" s="92" t="s">
        <v>2138</v>
      </c>
      <c r="E504" s="92">
        <v>64</v>
      </c>
      <c r="F504" s="92" t="str">
        <f>IF(E504&lt;=20,"0-19",
IF(E504&lt;=50,"20-49",
IF(E504&lt;=80,"50-79","80+")))</f>
        <v>50-79</v>
      </c>
      <c r="G504" s="93" t="s">
        <v>126</v>
      </c>
      <c r="H504" s="93" t="s">
        <v>22</v>
      </c>
      <c r="I504" s="92" t="s">
        <v>2139</v>
      </c>
      <c r="J504" s="92" t="s">
        <v>2275</v>
      </c>
      <c r="K504" s="93" t="s">
        <v>1918</v>
      </c>
      <c r="L504" s="93" t="s">
        <v>1918</v>
      </c>
      <c r="M504" s="82" t="s">
        <v>556</v>
      </c>
      <c r="N504" s="159">
        <v>155876</v>
      </c>
      <c r="O504" s="159" t="s">
        <v>2254</v>
      </c>
      <c r="P504" s="152">
        <v>254726508593</v>
      </c>
      <c r="Q504" s="210"/>
    </row>
    <row r="505" spans="1:17" x14ac:dyDescent="0.2">
      <c r="A505" s="139" t="s">
        <v>373</v>
      </c>
      <c r="B505" s="88">
        <v>2001379</v>
      </c>
      <c r="C505" s="87">
        <v>5803</v>
      </c>
      <c r="D505" s="88" t="s">
        <v>611</v>
      </c>
      <c r="E505" s="88">
        <v>73</v>
      </c>
      <c r="F505" s="88" t="str">
        <f>IF(E505&lt;=20,"0-19",
IF(E505&lt;=50,"20-49",
IF(E505&lt;=80,"50-79","80+")))</f>
        <v>50-79</v>
      </c>
      <c r="G505" s="88" t="s">
        <v>60</v>
      </c>
      <c r="H505" s="88" t="s">
        <v>22</v>
      </c>
      <c r="I505" s="88" t="s">
        <v>612</v>
      </c>
      <c r="J505" s="88" t="s">
        <v>2275</v>
      </c>
      <c r="K505" s="88" t="s">
        <v>78</v>
      </c>
      <c r="L505" s="88" t="s">
        <v>78</v>
      </c>
      <c r="M505" s="114" t="s">
        <v>556</v>
      </c>
      <c r="N505" s="90">
        <v>490109</v>
      </c>
      <c r="O505" s="87" t="s">
        <v>18</v>
      </c>
      <c r="P505" s="171"/>
      <c r="Q505" s="210"/>
    </row>
    <row r="506" spans="1:17" x14ac:dyDescent="0.2">
      <c r="A506" s="105" t="s">
        <v>544</v>
      </c>
      <c r="B506" s="82">
        <v>2015941</v>
      </c>
      <c r="C506" s="82">
        <v>55499</v>
      </c>
      <c r="D506" s="82" t="s">
        <v>1661</v>
      </c>
      <c r="E506" s="82">
        <v>64</v>
      </c>
      <c r="F506" s="82" t="str">
        <f>IF(E506&lt;=20,"0-19",
IF(E506&lt;=50,"20-49",
IF(E506&lt;=80,"50-79","80+")))</f>
        <v>50-79</v>
      </c>
      <c r="G506" s="82" t="s">
        <v>49</v>
      </c>
      <c r="H506" s="82" t="s">
        <v>15</v>
      </c>
      <c r="I506" s="92" t="s">
        <v>1662</v>
      </c>
      <c r="J506" s="92" t="s">
        <v>2275</v>
      </c>
      <c r="K506" s="82" t="s">
        <v>1663</v>
      </c>
      <c r="L506" s="82" t="s">
        <v>1572</v>
      </c>
      <c r="M506" s="82" t="s">
        <v>556</v>
      </c>
      <c r="N506" s="151">
        <v>61600</v>
      </c>
      <c r="O506" s="151" t="s">
        <v>2254</v>
      </c>
      <c r="P506" s="152">
        <v>254721396616</v>
      </c>
      <c r="Q506" s="210"/>
    </row>
    <row r="507" spans="1:17" x14ac:dyDescent="0.2">
      <c r="A507" s="139" t="s">
        <v>1449</v>
      </c>
      <c r="B507" s="82">
        <v>2004218</v>
      </c>
      <c r="C507" s="82">
        <v>15214</v>
      </c>
      <c r="D507" s="82" t="s">
        <v>1450</v>
      </c>
      <c r="E507" s="82">
        <v>67</v>
      </c>
      <c r="F507" s="82" t="str">
        <f>IF(E507&lt;=20,"0-19",
IF(E507&lt;=50,"20-49",
IF(E507&lt;=80,"50-79","80+")))</f>
        <v>50-79</v>
      </c>
      <c r="G507" s="82" t="s">
        <v>60</v>
      </c>
      <c r="H507" s="82" t="s">
        <v>22</v>
      </c>
      <c r="I507" s="92" t="s">
        <v>1451</v>
      </c>
      <c r="J507" s="92" t="s">
        <v>2275</v>
      </c>
      <c r="K507" s="92" t="s">
        <v>1241</v>
      </c>
      <c r="L507" s="92" t="s">
        <v>1241</v>
      </c>
      <c r="M507" s="93" t="s">
        <v>556</v>
      </c>
      <c r="N507" s="84">
        <v>25000</v>
      </c>
      <c r="O507" s="82" t="s">
        <v>832</v>
      </c>
      <c r="P507" s="170"/>
      <c r="Q507" s="210"/>
    </row>
    <row r="508" spans="1:17" x14ac:dyDescent="0.2">
      <c r="A508" s="139" t="s">
        <v>544</v>
      </c>
      <c r="B508" s="82">
        <v>2009676</v>
      </c>
      <c r="C508" s="82">
        <v>101152</v>
      </c>
      <c r="D508" s="82" t="s">
        <v>1071</v>
      </c>
      <c r="E508" s="82">
        <v>68</v>
      </c>
      <c r="F508" s="82" t="str">
        <f>IF(E508&lt;=20,"0-19",
IF(E508&lt;=50,"20-49",
IF(E508&lt;=80,"50-79","80+")))</f>
        <v>50-79</v>
      </c>
      <c r="G508" s="82" t="s">
        <v>49</v>
      </c>
      <c r="H508" s="82" t="s">
        <v>15</v>
      </c>
      <c r="I508" s="92" t="s">
        <v>1133</v>
      </c>
      <c r="J508" s="92" t="s">
        <v>2275</v>
      </c>
      <c r="K508" s="92" t="s">
        <v>846</v>
      </c>
      <c r="L508" s="82" t="s">
        <v>846</v>
      </c>
      <c r="M508" s="82" t="s">
        <v>556</v>
      </c>
      <c r="N508" s="84">
        <v>142320</v>
      </c>
      <c r="O508" s="82" t="s">
        <v>832</v>
      </c>
      <c r="P508" s="170"/>
      <c r="Q508" s="210"/>
    </row>
    <row r="509" spans="1:17" ht="21" x14ac:dyDescent="0.2">
      <c r="A509" s="103" t="s">
        <v>598</v>
      </c>
      <c r="B509" s="82">
        <v>2002343</v>
      </c>
      <c r="C509" s="82">
        <v>7835</v>
      </c>
      <c r="D509" s="82" t="s">
        <v>599</v>
      </c>
      <c r="E509" s="92">
        <v>70</v>
      </c>
      <c r="F509" s="92" t="str">
        <f>IF(E509&lt;=20,"0-19",
IF(E509&lt;=50,"20-49",
IF(E509&lt;=80,"50-79","80+")))</f>
        <v>50-79</v>
      </c>
      <c r="G509" s="82" t="s">
        <v>600</v>
      </c>
      <c r="H509" s="82" t="s">
        <v>22</v>
      </c>
      <c r="I509" s="82" t="s">
        <v>601</v>
      </c>
      <c r="J509" s="114" t="s">
        <v>2546</v>
      </c>
      <c r="K509" s="92" t="s">
        <v>602</v>
      </c>
      <c r="L509" s="92" t="s">
        <v>193</v>
      </c>
      <c r="M509" s="82" t="s">
        <v>556</v>
      </c>
      <c r="N509" s="101">
        <v>20800</v>
      </c>
      <c r="O509" s="82" t="s">
        <v>18</v>
      </c>
      <c r="P509" s="170"/>
      <c r="Q509" s="210"/>
    </row>
    <row r="510" spans="1:17" ht="21" x14ac:dyDescent="0.2">
      <c r="A510" s="139" t="s">
        <v>1482</v>
      </c>
      <c r="B510" s="82">
        <v>2021085</v>
      </c>
      <c r="C510" s="82">
        <v>18867</v>
      </c>
      <c r="D510" s="82" t="s">
        <v>1151</v>
      </c>
      <c r="E510" s="82">
        <v>64</v>
      </c>
      <c r="F510" s="82" t="str">
        <f>IF(E510&lt;=20,"0-19",
IF(E510&lt;=50,"20-49",
IF(E510&lt;=80,"50-79","80+")))</f>
        <v>50-79</v>
      </c>
      <c r="G510" s="82" t="s">
        <v>60</v>
      </c>
      <c r="H510" s="82" t="s">
        <v>22</v>
      </c>
      <c r="I510" s="92" t="s">
        <v>1152</v>
      </c>
      <c r="J510" s="114" t="s">
        <v>2546</v>
      </c>
      <c r="K510" s="92" t="s">
        <v>1153</v>
      </c>
      <c r="L510" s="82" t="s">
        <v>851</v>
      </c>
      <c r="M510" s="82" t="s">
        <v>556</v>
      </c>
      <c r="N510" s="84">
        <v>31458.02</v>
      </c>
      <c r="O510" s="82" t="s">
        <v>832</v>
      </c>
      <c r="P510" s="170"/>
      <c r="Q510" s="210"/>
    </row>
    <row r="511" spans="1:17" x14ac:dyDescent="0.2">
      <c r="A511" s="139" t="s">
        <v>155</v>
      </c>
      <c r="B511" s="82">
        <v>2017384</v>
      </c>
      <c r="C511" s="82">
        <v>53142</v>
      </c>
      <c r="D511" s="82" t="s">
        <v>1147</v>
      </c>
      <c r="E511" s="82">
        <v>63</v>
      </c>
      <c r="F511" s="82" t="str">
        <f>IF(E511&lt;=20,"0-19",
IF(E511&lt;=50,"20-49",
IF(E511&lt;=80,"50-79","80+")))</f>
        <v>50-79</v>
      </c>
      <c r="G511" s="82" t="s">
        <v>60</v>
      </c>
      <c r="H511" s="82" t="s">
        <v>22</v>
      </c>
      <c r="I511" s="92" t="s">
        <v>1148</v>
      </c>
      <c r="J511" s="114" t="s">
        <v>2546</v>
      </c>
      <c r="K511" s="92" t="s">
        <v>901</v>
      </c>
      <c r="L511" s="82" t="s">
        <v>901</v>
      </c>
      <c r="M511" s="82" t="s">
        <v>556</v>
      </c>
      <c r="N511" s="84">
        <v>150000</v>
      </c>
      <c r="O511" s="82" t="s">
        <v>832</v>
      </c>
      <c r="P511" s="171"/>
      <c r="Q511" s="210"/>
    </row>
    <row r="512" spans="1:17" x14ac:dyDescent="0.2">
      <c r="A512" s="139" t="s">
        <v>1482</v>
      </c>
      <c r="B512" s="82">
        <v>2023134</v>
      </c>
      <c r="C512" s="82">
        <v>18670</v>
      </c>
      <c r="D512" s="82" t="s">
        <v>1491</v>
      </c>
      <c r="E512" s="82">
        <v>49</v>
      </c>
      <c r="F512" s="82" t="str">
        <f>IF(E512&lt;=20,"0-19",
IF(E512&lt;=50,"20-49",
IF(E512&lt;=80,"50-79","80+")))</f>
        <v>20-49</v>
      </c>
      <c r="G512" s="82" t="s">
        <v>49</v>
      </c>
      <c r="H512" s="82" t="s">
        <v>15</v>
      </c>
      <c r="I512" s="92" t="s">
        <v>1492</v>
      </c>
      <c r="J512" s="114" t="s">
        <v>2546</v>
      </c>
      <c r="K512" s="92" t="s">
        <v>1241</v>
      </c>
      <c r="L512" s="92" t="s">
        <v>1241</v>
      </c>
      <c r="M512" s="93" t="s">
        <v>556</v>
      </c>
      <c r="N512" s="84">
        <v>21098</v>
      </c>
      <c r="O512" s="82" t="s">
        <v>832</v>
      </c>
      <c r="P512" s="170"/>
      <c r="Q512" s="210"/>
    </row>
    <row r="513" spans="1:17" x14ac:dyDescent="0.2">
      <c r="A513" s="108" t="s">
        <v>75</v>
      </c>
      <c r="B513" s="87">
        <v>2001089</v>
      </c>
      <c r="C513" s="87">
        <v>17668</v>
      </c>
      <c r="D513" s="87" t="s">
        <v>667</v>
      </c>
      <c r="E513" s="86">
        <v>78</v>
      </c>
      <c r="F513" s="86" t="str">
        <f>IF(E513&lt;=20,"0-19",
IF(E513&lt;=50,"20-49",
IF(E513&lt;=80,"50-79","80+")))</f>
        <v>50-79</v>
      </c>
      <c r="G513" s="87" t="s">
        <v>60</v>
      </c>
      <c r="H513" s="87" t="s">
        <v>22</v>
      </c>
      <c r="I513" s="87" t="s">
        <v>668</v>
      </c>
      <c r="J513" s="114" t="s">
        <v>2546</v>
      </c>
      <c r="K513" s="86" t="s">
        <v>108</v>
      </c>
      <c r="L513" s="86" t="s">
        <v>108</v>
      </c>
      <c r="M513" s="87" t="s">
        <v>556</v>
      </c>
      <c r="N513" s="97">
        <v>16237</v>
      </c>
      <c r="O513" s="87" t="s">
        <v>18</v>
      </c>
      <c r="P513" s="171"/>
      <c r="Q513" s="210"/>
    </row>
    <row r="514" spans="1:17" ht="21" x14ac:dyDescent="0.2">
      <c r="A514" s="139" t="s">
        <v>53</v>
      </c>
      <c r="B514" s="87">
        <v>2001220</v>
      </c>
      <c r="C514" s="88">
        <v>16779</v>
      </c>
      <c r="D514" s="88" t="s">
        <v>559</v>
      </c>
      <c r="E514" s="88">
        <v>66</v>
      </c>
      <c r="F514" s="88" t="str">
        <f>IF(E514&lt;=20,"0-19",
IF(E514&lt;=50,"20-49",
IF(E514&lt;=80,"50-79","80+")))</f>
        <v>50-79</v>
      </c>
      <c r="G514" s="88" t="s">
        <v>60</v>
      </c>
      <c r="H514" s="88" t="s">
        <v>22</v>
      </c>
      <c r="I514" s="88" t="s">
        <v>560</v>
      </c>
      <c r="J514" s="114" t="s">
        <v>2311</v>
      </c>
      <c r="K514" s="117" t="s">
        <v>561</v>
      </c>
      <c r="L514" s="88" t="s">
        <v>78</v>
      </c>
      <c r="M514" s="114" t="s">
        <v>556</v>
      </c>
      <c r="N514" s="90">
        <v>50000</v>
      </c>
      <c r="O514" s="87" t="s">
        <v>18</v>
      </c>
      <c r="P514" s="171"/>
      <c r="Q514" s="210"/>
    </row>
    <row r="515" spans="1:17" ht="21" x14ac:dyDescent="0.2">
      <c r="A515" s="139" t="s">
        <v>90</v>
      </c>
      <c r="B515" s="93">
        <v>20030720</v>
      </c>
      <c r="C515" s="82">
        <v>104118</v>
      </c>
      <c r="D515" s="93" t="s">
        <v>1158</v>
      </c>
      <c r="E515" s="93">
        <v>66</v>
      </c>
      <c r="F515" s="93" t="str">
        <f>IF(E515&lt;=20,"0-19",
IF(E515&lt;=50,"20-49",
IF(E515&lt;=80,"50-79","80+")))</f>
        <v>50-79</v>
      </c>
      <c r="G515" s="93" t="s">
        <v>126</v>
      </c>
      <c r="H515" s="93" t="s">
        <v>22</v>
      </c>
      <c r="I515" s="93" t="s">
        <v>1159</v>
      </c>
      <c r="J515" s="114" t="s">
        <v>2311</v>
      </c>
      <c r="K515" s="93" t="s">
        <v>1160</v>
      </c>
      <c r="L515" s="93" t="s">
        <v>843</v>
      </c>
      <c r="M515" s="82" t="s">
        <v>556</v>
      </c>
      <c r="N515" s="94">
        <v>25972.71</v>
      </c>
      <c r="O515" s="82" t="s">
        <v>832</v>
      </c>
      <c r="P515" s="170"/>
      <c r="Q515" s="210"/>
    </row>
    <row r="516" spans="1:17" x14ac:dyDescent="0.2">
      <c r="A516" s="139" t="s">
        <v>847</v>
      </c>
      <c r="B516" s="93">
        <v>2014982</v>
      </c>
      <c r="C516" s="82">
        <v>13660</v>
      </c>
      <c r="D516" s="93" t="s">
        <v>1143</v>
      </c>
      <c r="E516" s="93">
        <v>67</v>
      </c>
      <c r="F516" s="93" t="str">
        <f>IF(E516&lt;=20,"0-19",
IF(E516&lt;=50,"20-49",
IF(E516&lt;=80,"50-79","80+")))</f>
        <v>50-79</v>
      </c>
      <c r="G516" s="93" t="s">
        <v>126</v>
      </c>
      <c r="H516" s="93" t="s">
        <v>22</v>
      </c>
      <c r="I516" s="93" t="s">
        <v>1144</v>
      </c>
      <c r="J516" s="92" t="s">
        <v>2288</v>
      </c>
      <c r="K516" s="93" t="s">
        <v>843</v>
      </c>
      <c r="L516" s="93" t="s">
        <v>843</v>
      </c>
      <c r="M516" s="82" t="s">
        <v>556</v>
      </c>
      <c r="N516" s="94">
        <v>66499</v>
      </c>
      <c r="O516" s="82" t="s">
        <v>832</v>
      </c>
      <c r="P516" s="171"/>
      <c r="Q516" s="210"/>
    </row>
    <row r="517" spans="1:17" ht="21" x14ac:dyDescent="0.2">
      <c r="A517" s="104" t="s">
        <v>1166</v>
      </c>
      <c r="B517" s="88">
        <v>2412116</v>
      </c>
      <c r="C517" s="87">
        <v>104316</v>
      </c>
      <c r="D517" s="88" t="s">
        <v>1948</v>
      </c>
      <c r="E517" s="88">
        <v>41</v>
      </c>
      <c r="F517" s="88" t="str">
        <f>IF(E517&lt;=20,"0-19",
IF(E517&lt;=50,"20-49",
IF(E517&lt;=80,"50-79","80+")))</f>
        <v>20-49</v>
      </c>
      <c r="G517" s="86" t="s">
        <v>14</v>
      </c>
      <c r="H517" s="86" t="s">
        <v>15</v>
      </c>
      <c r="I517" s="86" t="s">
        <v>1949</v>
      </c>
      <c r="J517" s="92" t="s">
        <v>2288</v>
      </c>
      <c r="K517" s="88" t="s">
        <v>1912</v>
      </c>
      <c r="L517" s="88" t="s">
        <v>1898</v>
      </c>
      <c r="M517" s="86" t="s">
        <v>556</v>
      </c>
      <c r="N517" s="163">
        <v>25000</v>
      </c>
      <c r="O517" s="163" t="s">
        <v>2254</v>
      </c>
      <c r="P517" s="168">
        <v>254722218211</v>
      </c>
      <c r="Q517" s="210"/>
    </row>
    <row r="518" spans="1:17" x14ac:dyDescent="0.2">
      <c r="A518" s="139" t="s">
        <v>19</v>
      </c>
      <c r="B518" s="113">
        <v>2013935</v>
      </c>
      <c r="C518" s="113">
        <v>18811</v>
      </c>
      <c r="D518" s="114" t="s">
        <v>554</v>
      </c>
      <c r="E518" s="113">
        <v>60</v>
      </c>
      <c r="F518" s="113" t="str">
        <f>IF(E518&lt;=20,"0-19",
IF(E518&lt;=50,"20-49",
IF(E518&lt;=80,"50-79","80+")))</f>
        <v>50-79</v>
      </c>
      <c r="G518" s="113" t="s">
        <v>60</v>
      </c>
      <c r="H518" s="113" t="s">
        <v>22</v>
      </c>
      <c r="I518" s="114" t="s">
        <v>555</v>
      </c>
      <c r="J518" s="92" t="s">
        <v>2288</v>
      </c>
      <c r="K518" s="114" t="s">
        <v>57</v>
      </c>
      <c r="L518" s="113" t="s">
        <v>57</v>
      </c>
      <c r="M518" s="114" t="s">
        <v>556</v>
      </c>
      <c r="N518" s="115">
        <v>146477</v>
      </c>
      <c r="O518" s="87" t="s">
        <v>18</v>
      </c>
      <c r="P518" s="171"/>
      <c r="Q518" s="210"/>
    </row>
    <row r="519" spans="1:17" x14ac:dyDescent="0.2">
      <c r="A519" s="194" t="s">
        <v>615</v>
      </c>
      <c r="B519" s="188">
        <v>2017813</v>
      </c>
      <c r="C519" s="188">
        <v>59159</v>
      </c>
      <c r="D519" s="188" t="s">
        <v>616</v>
      </c>
      <c r="E519" s="199">
        <v>64</v>
      </c>
      <c r="F519" s="199" t="str">
        <f>IF(E519&lt;=20,"0-19",
IF(E519&lt;=50,"20-49",
IF(E519&lt;=80,"50-79","80+")))</f>
        <v>50-79</v>
      </c>
      <c r="G519" s="199" t="s">
        <v>60</v>
      </c>
      <c r="H519" s="199" t="s">
        <v>22</v>
      </c>
      <c r="I519" s="199" t="s">
        <v>617</v>
      </c>
      <c r="J519" s="199" t="s">
        <v>2288</v>
      </c>
      <c r="K519" s="199" t="s">
        <v>289</v>
      </c>
      <c r="L519" s="188" t="s">
        <v>289</v>
      </c>
      <c r="M519" s="86" t="s">
        <v>556</v>
      </c>
      <c r="N519" s="192">
        <v>53333</v>
      </c>
      <c r="O519" s="87" t="s">
        <v>18</v>
      </c>
      <c r="P519" s="171"/>
      <c r="Q519" s="210"/>
    </row>
    <row r="520" spans="1:17" x14ac:dyDescent="0.2">
      <c r="A520" s="139" t="s">
        <v>155</v>
      </c>
      <c r="B520" s="87">
        <v>2008457</v>
      </c>
      <c r="C520" s="87">
        <v>107319</v>
      </c>
      <c r="D520" s="87" t="s">
        <v>589</v>
      </c>
      <c r="E520" s="86">
        <v>20</v>
      </c>
      <c r="F520" s="86" t="str">
        <f>IF(E520&lt;=20,"0-19",
IF(E520&lt;=50,"20-49",
IF(E520&lt;=80,"50-79","80+")))</f>
        <v>0-19</v>
      </c>
      <c r="G520" s="87" t="s">
        <v>49</v>
      </c>
      <c r="H520" s="87" t="s">
        <v>132</v>
      </c>
      <c r="I520" s="87" t="s">
        <v>590</v>
      </c>
      <c r="J520" s="87" t="s">
        <v>2288</v>
      </c>
      <c r="K520" s="86" t="s">
        <v>66</v>
      </c>
      <c r="L520" s="86" t="s">
        <v>66</v>
      </c>
      <c r="M520" s="87" t="s">
        <v>556</v>
      </c>
      <c r="N520" s="97">
        <v>30000</v>
      </c>
      <c r="O520" s="87" t="s">
        <v>18</v>
      </c>
      <c r="P520" s="171"/>
      <c r="Q520" s="210"/>
    </row>
    <row r="521" spans="1:17" x14ac:dyDescent="0.2">
      <c r="A521" s="139" t="s">
        <v>1482</v>
      </c>
      <c r="B521" s="92">
        <v>2003008</v>
      </c>
      <c r="C521" s="82">
        <v>53413</v>
      </c>
      <c r="D521" s="92" t="s">
        <v>1483</v>
      </c>
      <c r="E521" s="92">
        <v>64</v>
      </c>
      <c r="F521" s="92" t="str">
        <f>IF(E521&lt;=20,"0-19",
IF(E521&lt;=50,"20-49",
IF(E521&lt;=80,"50-79","80+")))</f>
        <v>50-79</v>
      </c>
      <c r="G521" s="92" t="s">
        <v>60</v>
      </c>
      <c r="H521" s="92" t="s">
        <v>22</v>
      </c>
      <c r="I521" s="92" t="s">
        <v>1484</v>
      </c>
      <c r="J521" s="92" t="s">
        <v>2288</v>
      </c>
      <c r="K521" s="92" t="s">
        <v>1260</v>
      </c>
      <c r="L521" s="93" t="s">
        <v>1260</v>
      </c>
      <c r="M521" s="93" t="s">
        <v>556</v>
      </c>
      <c r="N521" s="101">
        <v>43474</v>
      </c>
      <c r="O521" s="82" t="s">
        <v>832</v>
      </c>
      <c r="P521" s="170"/>
      <c r="Q521" s="210"/>
    </row>
    <row r="522" spans="1:17" x14ac:dyDescent="0.2">
      <c r="A522" s="139" t="s">
        <v>373</v>
      </c>
      <c r="B522" s="113">
        <v>2009247</v>
      </c>
      <c r="C522" s="113">
        <v>17293</v>
      </c>
      <c r="D522" s="114" t="s">
        <v>613</v>
      </c>
      <c r="E522" s="113">
        <v>68</v>
      </c>
      <c r="F522" s="113" t="str">
        <f>IF(E522&lt;=20,"0-19",
IF(E522&lt;=50,"20-49",
IF(E522&lt;=80,"50-79","80+")))</f>
        <v>50-79</v>
      </c>
      <c r="G522" s="113" t="s">
        <v>49</v>
      </c>
      <c r="H522" s="113" t="s">
        <v>15</v>
      </c>
      <c r="I522" s="114" t="s">
        <v>614</v>
      </c>
      <c r="J522" s="114" t="s">
        <v>2288</v>
      </c>
      <c r="K522" s="114" t="s">
        <v>42</v>
      </c>
      <c r="L522" s="113" t="s">
        <v>42</v>
      </c>
      <c r="M522" s="114" t="s">
        <v>556</v>
      </c>
      <c r="N522" s="115">
        <v>196302</v>
      </c>
      <c r="O522" s="82" t="s">
        <v>18</v>
      </c>
      <c r="P522" s="170"/>
      <c r="Q522" s="210"/>
    </row>
    <row r="523" spans="1:17" x14ac:dyDescent="0.2">
      <c r="A523" s="104" t="s">
        <v>155</v>
      </c>
      <c r="B523" s="88">
        <v>2002439</v>
      </c>
      <c r="C523" s="87">
        <v>55156</v>
      </c>
      <c r="D523" s="88" t="s">
        <v>361</v>
      </c>
      <c r="E523" s="88">
        <v>75</v>
      </c>
      <c r="F523" s="88" t="str">
        <f>IF(E523&lt;=20,"0-19",
IF(E523&lt;=50,"20-49",
IF(E523&lt;=80,"50-79","80+")))</f>
        <v>50-79</v>
      </c>
      <c r="G523" s="88" t="s">
        <v>60</v>
      </c>
      <c r="H523" s="88" t="s">
        <v>22</v>
      </c>
      <c r="I523" s="88" t="s">
        <v>1297</v>
      </c>
      <c r="J523" s="88" t="s">
        <v>2288</v>
      </c>
      <c r="K523" s="88" t="s">
        <v>1594</v>
      </c>
      <c r="L523" s="88" t="s">
        <v>1594</v>
      </c>
      <c r="M523" s="87" t="s">
        <v>556</v>
      </c>
      <c r="N523" s="163">
        <v>62818</v>
      </c>
      <c r="O523" s="163" t="s">
        <v>2254</v>
      </c>
      <c r="P523" s="168">
        <v>254722274662</v>
      </c>
      <c r="Q523" s="210"/>
    </row>
    <row r="524" spans="1:17" x14ac:dyDescent="0.2">
      <c r="A524" s="139" t="s">
        <v>1482</v>
      </c>
      <c r="B524" s="92">
        <v>2507394</v>
      </c>
      <c r="C524" s="82">
        <v>60168</v>
      </c>
      <c r="D524" s="92" t="s">
        <v>1485</v>
      </c>
      <c r="E524" s="92">
        <v>60</v>
      </c>
      <c r="F524" s="92" t="str">
        <f>IF(E524&lt;=20,"0-19",
IF(E524&lt;=50,"20-49",
IF(E524&lt;=80,"50-79","80+")))</f>
        <v>50-79</v>
      </c>
      <c r="G524" s="92" t="s">
        <v>60</v>
      </c>
      <c r="H524" s="92" t="s">
        <v>22</v>
      </c>
      <c r="I524" s="92" t="s">
        <v>1297</v>
      </c>
      <c r="J524" s="92" t="s">
        <v>2288</v>
      </c>
      <c r="K524" s="92" t="s">
        <v>1260</v>
      </c>
      <c r="L524" s="93" t="s">
        <v>1260</v>
      </c>
      <c r="M524" s="93" t="s">
        <v>556</v>
      </c>
      <c r="N524" s="101">
        <v>34317</v>
      </c>
      <c r="O524" s="82" t="s">
        <v>832</v>
      </c>
      <c r="P524" s="171"/>
      <c r="Q524" s="210"/>
    </row>
    <row r="525" spans="1:17" x14ac:dyDescent="0.2">
      <c r="A525" s="139" t="s">
        <v>1295</v>
      </c>
      <c r="B525" s="82">
        <v>2407093</v>
      </c>
      <c r="C525" s="82">
        <v>56843</v>
      </c>
      <c r="D525" s="82" t="s">
        <v>1296</v>
      </c>
      <c r="E525" s="82">
        <v>61</v>
      </c>
      <c r="F525" s="82" t="str">
        <f>IF(E525&lt;=20,"0-19",
IF(E525&lt;=50,"20-49",
IF(E525&lt;=80,"50-79","80+")))</f>
        <v>50-79</v>
      </c>
      <c r="G525" s="82" t="s">
        <v>49</v>
      </c>
      <c r="H525" s="82" t="s">
        <v>15</v>
      </c>
      <c r="I525" s="82" t="s">
        <v>1297</v>
      </c>
      <c r="J525" s="82" t="s">
        <v>2288</v>
      </c>
      <c r="K525" s="82" t="s">
        <v>1225</v>
      </c>
      <c r="L525" s="82" t="s">
        <v>1225</v>
      </c>
      <c r="M525" s="93" t="s">
        <v>556</v>
      </c>
      <c r="N525" s="84">
        <v>36643</v>
      </c>
      <c r="O525" s="82" t="s">
        <v>832</v>
      </c>
      <c r="P525" s="170"/>
      <c r="Q525" s="210"/>
    </row>
    <row r="526" spans="1:17" ht="21" x14ac:dyDescent="0.2">
      <c r="A526" s="103" t="s">
        <v>337</v>
      </c>
      <c r="B526" s="113">
        <v>2003890</v>
      </c>
      <c r="C526" s="113">
        <v>15129</v>
      </c>
      <c r="D526" s="114" t="s">
        <v>568</v>
      </c>
      <c r="E526" s="113">
        <v>65</v>
      </c>
      <c r="F526" s="113" t="str">
        <f>IF(E526&lt;=20,"0-19",
IF(E526&lt;=50,"20-49",
IF(E526&lt;=80,"50-79","80+")))</f>
        <v>50-79</v>
      </c>
      <c r="G526" s="113" t="s">
        <v>60</v>
      </c>
      <c r="H526" s="113" t="s">
        <v>22</v>
      </c>
      <c r="I526" s="114" t="s">
        <v>567</v>
      </c>
      <c r="J526" s="114" t="s">
        <v>2288</v>
      </c>
      <c r="K526" s="114" t="s">
        <v>569</v>
      </c>
      <c r="L526" s="113" t="s">
        <v>51</v>
      </c>
      <c r="M526" s="114" t="s">
        <v>556</v>
      </c>
      <c r="N526" s="115">
        <v>30000</v>
      </c>
      <c r="O526" s="82" t="s">
        <v>18</v>
      </c>
      <c r="P526" s="170"/>
      <c r="Q526" s="210"/>
    </row>
    <row r="527" spans="1:17" x14ac:dyDescent="0.2">
      <c r="A527" s="139" t="s">
        <v>565</v>
      </c>
      <c r="B527" s="113">
        <v>2018319</v>
      </c>
      <c r="C527" s="113">
        <v>101582</v>
      </c>
      <c r="D527" s="114" t="s">
        <v>566</v>
      </c>
      <c r="E527" s="113">
        <v>49</v>
      </c>
      <c r="F527" s="113" t="str">
        <f>IF(E527&lt;=20,"0-19",
IF(E527&lt;=50,"20-49",
IF(E527&lt;=80,"50-79","80+")))</f>
        <v>20-49</v>
      </c>
      <c r="G527" s="113" t="s">
        <v>49</v>
      </c>
      <c r="H527" s="113" t="s">
        <v>15</v>
      </c>
      <c r="I527" s="114" t="s">
        <v>567</v>
      </c>
      <c r="J527" s="114" t="s">
        <v>2288</v>
      </c>
      <c r="K527" s="114" t="s">
        <v>37</v>
      </c>
      <c r="L527" s="113" t="s">
        <v>37</v>
      </c>
      <c r="M527" s="114" t="s">
        <v>556</v>
      </c>
      <c r="N527" s="115">
        <v>60000</v>
      </c>
      <c r="O527" s="87" t="s">
        <v>18</v>
      </c>
      <c r="P527" s="171"/>
      <c r="Q527" s="210"/>
    </row>
    <row r="528" spans="1:17" ht="21" x14ac:dyDescent="0.2">
      <c r="A528" s="108" t="s">
        <v>544</v>
      </c>
      <c r="B528" s="87">
        <v>2006072</v>
      </c>
      <c r="C528" s="87">
        <v>17405</v>
      </c>
      <c r="D528" s="87" t="s">
        <v>608</v>
      </c>
      <c r="E528" s="86">
        <v>75</v>
      </c>
      <c r="F528" s="86" t="str">
        <f>IF(E528&lt;=20,"0-19",
IF(E528&lt;=50,"20-49",
IF(E528&lt;=80,"50-79","80+")))</f>
        <v>50-79</v>
      </c>
      <c r="G528" s="87" t="s">
        <v>49</v>
      </c>
      <c r="H528" s="87" t="s">
        <v>15</v>
      </c>
      <c r="I528" s="87" t="s">
        <v>567</v>
      </c>
      <c r="J528" s="87" t="s">
        <v>2288</v>
      </c>
      <c r="K528" s="86" t="s">
        <v>207</v>
      </c>
      <c r="L528" s="86" t="s">
        <v>31</v>
      </c>
      <c r="M528" s="87" t="s">
        <v>556</v>
      </c>
      <c r="N528" s="97">
        <v>120000</v>
      </c>
      <c r="O528" s="87" t="s">
        <v>18</v>
      </c>
      <c r="P528" s="171"/>
      <c r="Q528" s="210"/>
    </row>
    <row r="529" spans="1:17" x14ac:dyDescent="0.2">
      <c r="A529" s="104" t="s">
        <v>373</v>
      </c>
      <c r="B529" s="87">
        <v>2009475</v>
      </c>
      <c r="C529" s="87">
        <v>20552</v>
      </c>
      <c r="D529" s="87" t="s">
        <v>1744</v>
      </c>
      <c r="E529" s="87">
        <v>70</v>
      </c>
      <c r="F529" s="87" t="str">
        <f>IF(E529&lt;=20,"0-19",
IF(E529&lt;=50,"20-49",
IF(E529&lt;=80,"50-79","80+")))</f>
        <v>50-79</v>
      </c>
      <c r="G529" s="87" t="s">
        <v>49</v>
      </c>
      <c r="H529" s="87" t="s">
        <v>15</v>
      </c>
      <c r="I529" s="86" t="s">
        <v>1745</v>
      </c>
      <c r="J529" s="86" t="s">
        <v>2288</v>
      </c>
      <c r="K529" s="87" t="s">
        <v>1567</v>
      </c>
      <c r="L529" s="87" t="s">
        <v>1567</v>
      </c>
      <c r="M529" s="87" t="s">
        <v>556</v>
      </c>
      <c r="N529" s="161">
        <v>130469</v>
      </c>
      <c r="O529" s="161" t="s">
        <v>2254</v>
      </c>
      <c r="P529" s="168">
        <v>254722700491</v>
      </c>
      <c r="Q529" s="210"/>
    </row>
    <row r="530" spans="1:17" ht="21" x14ac:dyDescent="0.2">
      <c r="A530" s="106" t="s">
        <v>603</v>
      </c>
      <c r="B530" s="88">
        <v>2013052</v>
      </c>
      <c r="C530" s="87">
        <v>60038</v>
      </c>
      <c r="D530" s="88" t="s">
        <v>604</v>
      </c>
      <c r="E530" s="88">
        <v>54</v>
      </c>
      <c r="F530" s="88" t="str">
        <f>IF(E530&lt;=20,"0-19",
IF(E530&lt;=50,"20-49",
IF(E530&lt;=80,"50-79","80+")))</f>
        <v>50-79</v>
      </c>
      <c r="G530" s="88" t="s">
        <v>49</v>
      </c>
      <c r="H530" s="88" t="s">
        <v>15</v>
      </c>
      <c r="I530" s="88" t="s">
        <v>605</v>
      </c>
      <c r="J530" s="88" t="s">
        <v>2288</v>
      </c>
      <c r="K530" s="88" t="s">
        <v>606</v>
      </c>
      <c r="L530" s="88" t="s">
        <v>78</v>
      </c>
      <c r="M530" s="114" t="s">
        <v>556</v>
      </c>
      <c r="N530" s="90">
        <v>20000</v>
      </c>
      <c r="O530" s="87" t="s">
        <v>18</v>
      </c>
      <c r="P530" s="171"/>
      <c r="Q530" s="210"/>
    </row>
    <row r="531" spans="1:17" x14ac:dyDescent="0.2">
      <c r="A531" s="105" t="s">
        <v>72</v>
      </c>
      <c r="B531" s="82">
        <v>2005658</v>
      </c>
      <c r="C531" s="82">
        <v>54643</v>
      </c>
      <c r="D531" s="82" t="s">
        <v>1577</v>
      </c>
      <c r="E531" s="82">
        <v>60</v>
      </c>
      <c r="F531" s="82" t="str">
        <f>IF(E531&lt;=20,"0-19",
IF(E531&lt;=50,"20-49",
IF(E531&lt;=80,"50-79","80+")))</f>
        <v>50-79</v>
      </c>
      <c r="G531" s="82" t="s">
        <v>49</v>
      </c>
      <c r="H531" s="82" t="s">
        <v>15</v>
      </c>
      <c r="I531" s="92" t="s">
        <v>1578</v>
      </c>
      <c r="J531" s="92" t="s">
        <v>2288</v>
      </c>
      <c r="K531" s="82" t="s">
        <v>1567</v>
      </c>
      <c r="L531" s="82" t="s">
        <v>1567</v>
      </c>
      <c r="M531" s="82" t="s">
        <v>556</v>
      </c>
      <c r="N531" s="151">
        <v>12000</v>
      </c>
      <c r="O531" s="151" t="s">
        <v>2254</v>
      </c>
      <c r="P531" s="152">
        <v>254715509227</v>
      </c>
      <c r="Q531" s="210"/>
    </row>
    <row r="532" spans="1:17" x14ac:dyDescent="0.2">
      <c r="A532" s="139" t="s">
        <v>1482</v>
      </c>
      <c r="B532" s="82">
        <v>2002477</v>
      </c>
      <c r="C532" s="82">
        <v>18273</v>
      </c>
      <c r="D532" s="82" t="s">
        <v>1129</v>
      </c>
      <c r="E532" s="82">
        <v>68</v>
      </c>
      <c r="F532" s="82" t="str">
        <f>IF(E532&lt;=20,"0-19",
IF(E532&lt;=50,"20-49",
IF(E532&lt;=80,"50-79","80+")))</f>
        <v>50-79</v>
      </c>
      <c r="G532" s="82" t="s">
        <v>60</v>
      </c>
      <c r="H532" s="82" t="s">
        <v>22</v>
      </c>
      <c r="I532" s="92" t="s">
        <v>1130</v>
      </c>
      <c r="J532" s="92" t="s">
        <v>2288</v>
      </c>
      <c r="K532" s="92" t="s">
        <v>855</v>
      </c>
      <c r="L532" s="82" t="s">
        <v>855</v>
      </c>
      <c r="M532" s="82" t="s">
        <v>556</v>
      </c>
      <c r="N532" s="84">
        <v>37779.4</v>
      </c>
      <c r="O532" s="82" t="s">
        <v>832</v>
      </c>
      <c r="P532" s="170"/>
      <c r="Q532" s="210"/>
    </row>
    <row r="533" spans="1:17" x14ac:dyDescent="0.2">
      <c r="A533" s="139" t="s">
        <v>53</v>
      </c>
      <c r="B533" s="82">
        <v>2006553</v>
      </c>
      <c r="C533" s="82">
        <v>100752</v>
      </c>
      <c r="D533" s="82" t="s">
        <v>1131</v>
      </c>
      <c r="E533" s="82">
        <v>63</v>
      </c>
      <c r="F533" s="82" t="str">
        <f>IF(E533&lt;=20,"0-19",
IF(E533&lt;=50,"20-49",
IF(E533&lt;=80,"50-79","80+")))</f>
        <v>50-79</v>
      </c>
      <c r="G533" s="82" t="s">
        <v>49</v>
      </c>
      <c r="H533" s="82" t="s">
        <v>15</v>
      </c>
      <c r="I533" s="92" t="s">
        <v>1132</v>
      </c>
      <c r="J533" s="92" t="s">
        <v>2288</v>
      </c>
      <c r="K533" s="92" t="s">
        <v>855</v>
      </c>
      <c r="L533" s="82" t="s">
        <v>855</v>
      </c>
      <c r="M533" s="82" t="s">
        <v>556</v>
      </c>
      <c r="N533" s="84">
        <v>70000</v>
      </c>
      <c r="O533" s="82" t="s">
        <v>832</v>
      </c>
      <c r="P533" s="171"/>
      <c r="Q533" s="210"/>
    </row>
    <row r="534" spans="1:17" x14ac:dyDescent="0.2">
      <c r="A534" s="104" t="s">
        <v>53</v>
      </c>
      <c r="B534" s="87">
        <v>2016327</v>
      </c>
      <c r="C534" s="87">
        <v>103314</v>
      </c>
      <c r="D534" s="87" t="s">
        <v>2009</v>
      </c>
      <c r="E534" s="87">
        <v>64</v>
      </c>
      <c r="F534" s="87" t="str">
        <f>IF(E534&lt;=20,"0-19",
IF(E534&lt;=50,"20-49",
IF(E534&lt;=80,"50-79","80+")))</f>
        <v>50-79</v>
      </c>
      <c r="G534" s="87" t="s">
        <v>60</v>
      </c>
      <c r="H534" s="87" t="s">
        <v>22</v>
      </c>
      <c r="I534" s="87" t="s">
        <v>2010</v>
      </c>
      <c r="J534" s="87" t="s">
        <v>2288</v>
      </c>
      <c r="K534" s="86" t="s">
        <v>1922</v>
      </c>
      <c r="L534" s="87" t="s">
        <v>1922</v>
      </c>
      <c r="M534" s="87" t="s">
        <v>556</v>
      </c>
      <c r="N534" s="161">
        <v>50000</v>
      </c>
      <c r="O534" s="161" t="s">
        <v>2254</v>
      </c>
      <c r="P534" s="168">
        <v>254725661357</v>
      </c>
      <c r="Q534" s="210"/>
    </row>
    <row r="535" spans="1:17" x14ac:dyDescent="0.2">
      <c r="A535" s="105" t="s">
        <v>1630</v>
      </c>
      <c r="B535" s="82">
        <v>2017885</v>
      </c>
      <c r="C535" s="82">
        <v>55503</v>
      </c>
      <c r="D535" s="82" t="s">
        <v>1631</v>
      </c>
      <c r="E535" s="82">
        <v>62</v>
      </c>
      <c r="F535" s="82" t="str">
        <f>IF(E535&lt;=20,"0-19",
IF(E535&lt;=50,"20-49",
IF(E535&lt;=80,"50-79","80+")))</f>
        <v>50-79</v>
      </c>
      <c r="G535" s="82" t="s">
        <v>60</v>
      </c>
      <c r="H535" s="82" t="s">
        <v>22</v>
      </c>
      <c r="I535" s="92" t="s">
        <v>1632</v>
      </c>
      <c r="J535" s="92" t="s">
        <v>2288</v>
      </c>
      <c r="K535" s="82" t="s">
        <v>1546</v>
      </c>
      <c r="L535" s="82" t="s">
        <v>1546</v>
      </c>
      <c r="M535" s="82" t="s">
        <v>556</v>
      </c>
      <c r="N535" s="151">
        <v>40093</v>
      </c>
      <c r="O535" s="151" t="s">
        <v>2254</v>
      </c>
      <c r="P535" s="152">
        <v>254713092310</v>
      </c>
      <c r="Q535" s="210"/>
    </row>
    <row r="536" spans="1:17" x14ac:dyDescent="0.2">
      <c r="A536" s="105" t="s">
        <v>1690</v>
      </c>
      <c r="B536" s="82">
        <v>2013818</v>
      </c>
      <c r="C536" s="82">
        <v>14250</v>
      </c>
      <c r="D536" s="82" t="s">
        <v>2114</v>
      </c>
      <c r="E536" s="82">
        <v>63</v>
      </c>
      <c r="F536" s="82" t="str">
        <f>IF(E536&lt;=20,"0-19",
IF(E536&lt;=50,"20-49",
IF(E536&lt;=80,"50-79","80+")))</f>
        <v>50-79</v>
      </c>
      <c r="G536" s="82" t="s">
        <v>14</v>
      </c>
      <c r="H536" s="82" t="s">
        <v>15</v>
      </c>
      <c r="I536" s="82" t="s">
        <v>2115</v>
      </c>
      <c r="J536" s="82" t="s">
        <v>2288</v>
      </c>
      <c r="K536" s="92" t="s">
        <v>1908</v>
      </c>
      <c r="L536" s="82" t="s">
        <v>1908</v>
      </c>
      <c r="M536" s="82" t="s">
        <v>556</v>
      </c>
      <c r="N536" s="151">
        <v>109445</v>
      </c>
      <c r="O536" s="151" t="s">
        <v>2254</v>
      </c>
      <c r="P536" s="152">
        <v>254724125679</v>
      </c>
      <c r="Q536" s="210"/>
    </row>
    <row r="537" spans="1:17" x14ac:dyDescent="0.2">
      <c r="A537" s="139" t="s">
        <v>836</v>
      </c>
      <c r="B537" s="93">
        <v>2001461</v>
      </c>
      <c r="C537" s="82">
        <v>18779</v>
      </c>
      <c r="D537" s="93" t="s">
        <v>1127</v>
      </c>
      <c r="E537" s="93">
        <v>71</v>
      </c>
      <c r="F537" s="93" t="str">
        <f>IF(E537&lt;=20,"0-19",
IF(E537&lt;=50,"20-49",
IF(E537&lt;=80,"50-79","80+")))</f>
        <v>50-79</v>
      </c>
      <c r="G537" s="93" t="s">
        <v>60</v>
      </c>
      <c r="H537" s="93" t="s">
        <v>22</v>
      </c>
      <c r="I537" s="93" t="s">
        <v>1128</v>
      </c>
      <c r="J537" s="93" t="s">
        <v>2288</v>
      </c>
      <c r="K537" s="93" t="s">
        <v>880</v>
      </c>
      <c r="L537" s="93" t="s">
        <v>880</v>
      </c>
      <c r="M537" s="82" t="s">
        <v>556</v>
      </c>
      <c r="N537" s="94">
        <v>25282</v>
      </c>
      <c r="O537" s="82" t="s">
        <v>832</v>
      </c>
      <c r="P537" s="170"/>
      <c r="Q537" s="210"/>
    </row>
    <row r="538" spans="1:17" x14ac:dyDescent="0.2">
      <c r="A538" s="105" t="s">
        <v>155</v>
      </c>
      <c r="B538" s="82">
        <v>2502191</v>
      </c>
      <c r="C538" s="82">
        <v>80863</v>
      </c>
      <c r="D538" s="82" t="s">
        <v>1742</v>
      </c>
      <c r="E538" s="82">
        <v>38</v>
      </c>
      <c r="F538" s="82" t="str">
        <f>IF(E538&lt;=20,"0-19",
IF(E538&lt;=50,"20-49",
IF(E538&lt;=80,"50-79","80+")))</f>
        <v>20-49</v>
      </c>
      <c r="G538" s="82" t="s">
        <v>60</v>
      </c>
      <c r="H538" s="82" t="s">
        <v>22</v>
      </c>
      <c r="I538" s="92" t="s">
        <v>1743</v>
      </c>
      <c r="J538" s="151" t="s">
        <v>2288</v>
      </c>
      <c r="K538" s="82" t="s">
        <v>1559</v>
      </c>
      <c r="L538" s="82" t="s">
        <v>1559</v>
      </c>
      <c r="M538" s="82" t="s">
        <v>556</v>
      </c>
      <c r="N538" s="151">
        <v>130000</v>
      </c>
      <c r="O538" s="151" t="s">
        <v>2254</v>
      </c>
      <c r="P538" s="152">
        <v>254721554732</v>
      </c>
      <c r="Q538" s="210"/>
    </row>
    <row r="539" spans="1:17" x14ac:dyDescent="0.2">
      <c r="A539" s="104" t="s">
        <v>53</v>
      </c>
      <c r="B539" s="87">
        <v>2006375</v>
      </c>
      <c r="C539" s="87">
        <v>68552</v>
      </c>
      <c r="D539" s="87" t="s">
        <v>1604</v>
      </c>
      <c r="E539" s="87"/>
      <c r="F539" s="87" t="str">
        <f>IF(E539&lt;=20,"0-19",
IF(E539&lt;=50,"20-49",
IF(E539&lt;=80,"50-79","80+")))</f>
        <v>0-19</v>
      </c>
      <c r="G539" s="87" t="s">
        <v>14</v>
      </c>
      <c r="H539" s="87" t="s">
        <v>88</v>
      </c>
      <c r="I539" s="86" t="s">
        <v>1605</v>
      </c>
      <c r="J539" s="92" t="s">
        <v>2288</v>
      </c>
      <c r="K539" s="87" t="s">
        <v>1556</v>
      </c>
      <c r="L539" s="87" t="s">
        <v>1556</v>
      </c>
      <c r="M539" s="87" t="s">
        <v>556</v>
      </c>
      <c r="N539" s="161">
        <v>30000</v>
      </c>
      <c r="O539" s="161" t="s">
        <v>2254</v>
      </c>
      <c r="P539" s="168">
        <v>254722420871</v>
      </c>
      <c r="Q539" s="210"/>
    </row>
    <row r="540" spans="1:17" x14ac:dyDescent="0.2">
      <c r="A540" s="103" t="s">
        <v>1940</v>
      </c>
      <c r="B540" s="82">
        <v>2004081</v>
      </c>
      <c r="C540" s="82">
        <v>74710</v>
      </c>
      <c r="D540" s="82" t="s">
        <v>1941</v>
      </c>
      <c r="E540" s="82">
        <v>42</v>
      </c>
      <c r="F540" s="82" t="str">
        <f>IF(E540&lt;=20,"0-19",
IF(E540&lt;=50,"20-49",
IF(E540&lt;=80,"50-79","80+")))</f>
        <v>20-49</v>
      </c>
      <c r="G540" s="82" t="s">
        <v>126</v>
      </c>
      <c r="H540" s="82" t="s">
        <v>664</v>
      </c>
      <c r="I540" s="82" t="s">
        <v>1942</v>
      </c>
      <c r="J540" s="92" t="s">
        <v>2288</v>
      </c>
      <c r="K540" s="92" t="s">
        <v>1921</v>
      </c>
      <c r="L540" s="82" t="s">
        <v>1921</v>
      </c>
      <c r="M540" s="82" t="s">
        <v>1943</v>
      </c>
      <c r="N540" s="151">
        <v>20000</v>
      </c>
      <c r="O540" s="151" t="s">
        <v>2254</v>
      </c>
      <c r="P540" s="152">
        <v>254720890592</v>
      </c>
      <c r="Q540" s="210"/>
    </row>
    <row r="541" spans="1:17" x14ac:dyDescent="0.2">
      <c r="A541" s="105" t="s">
        <v>515</v>
      </c>
      <c r="B541" s="82">
        <v>2012481</v>
      </c>
      <c r="C541" s="82">
        <v>10103</v>
      </c>
      <c r="D541" s="82" t="s">
        <v>1267</v>
      </c>
      <c r="E541" s="82">
        <v>63</v>
      </c>
      <c r="F541" s="82" t="str">
        <f>IF(E541&lt;=20,"0-19",
IF(E541&lt;=50,"20-49",
IF(E541&lt;=80,"50-79","80+")))</f>
        <v>50-79</v>
      </c>
      <c r="G541" s="82" t="s">
        <v>60</v>
      </c>
      <c r="H541" s="82" t="s">
        <v>22</v>
      </c>
      <c r="I541" s="92" t="s">
        <v>227</v>
      </c>
      <c r="J541" s="92" t="s">
        <v>2295</v>
      </c>
      <c r="K541" s="82" t="s">
        <v>1549</v>
      </c>
      <c r="L541" s="82" t="s">
        <v>1549</v>
      </c>
      <c r="M541" s="82" t="s">
        <v>556</v>
      </c>
      <c r="N541" s="151">
        <v>84040</v>
      </c>
      <c r="O541" s="151" t="s">
        <v>2254</v>
      </c>
      <c r="P541" s="152">
        <v>254726559225</v>
      </c>
      <c r="Q541" s="210"/>
    </row>
    <row r="542" spans="1:17" x14ac:dyDescent="0.2">
      <c r="A542" s="139" t="s">
        <v>68</v>
      </c>
      <c r="B542" s="82">
        <v>2016320</v>
      </c>
      <c r="C542" s="82">
        <v>13287</v>
      </c>
      <c r="D542" s="82" t="s">
        <v>1405</v>
      </c>
      <c r="E542" s="82">
        <v>64</v>
      </c>
      <c r="F542" s="82" t="str">
        <f>IF(E542&lt;=20,"0-19",
IF(E542&lt;=50,"20-49",
IF(E542&lt;=80,"50-79","80+")))</f>
        <v>50-79</v>
      </c>
      <c r="G542" s="82" t="s">
        <v>60</v>
      </c>
      <c r="H542" s="82" t="s">
        <v>22</v>
      </c>
      <c r="I542" s="92" t="s">
        <v>227</v>
      </c>
      <c r="J542" s="92" t="s">
        <v>2295</v>
      </c>
      <c r="K542" s="92" t="s">
        <v>1238</v>
      </c>
      <c r="L542" s="92" t="s">
        <v>1238</v>
      </c>
      <c r="M542" s="93" t="s">
        <v>556</v>
      </c>
      <c r="N542" s="84">
        <v>41520</v>
      </c>
      <c r="O542" s="82" t="s">
        <v>832</v>
      </c>
      <c r="P542" s="170"/>
      <c r="Q542" s="210"/>
    </row>
    <row r="543" spans="1:17" x14ac:dyDescent="0.2">
      <c r="A543" s="195" t="s">
        <v>618</v>
      </c>
      <c r="B543" s="190">
        <v>2012118</v>
      </c>
      <c r="C543" s="190">
        <v>18259</v>
      </c>
      <c r="D543" s="190" t="s">
        <v>619</v>
      </c>
      <c r="E543" s="190">
        <v>63</v>
      </c>
      <c r="F543" s="190" t="str">
        <f>IF(E543&lt;=20,"0-19",
IF(E543&lt;=50,"20-49",
IF(E543&lt;=80,"50-79","80+")))</f>
        <v>50-79</v>
      </c>
      <c r="G543" s="190" t="s">
        <v>49</v>
      </c>
      <c r="H543" s="190" t="s">
        <v>15</v>
      </c>
      <c r="I543" s="190" t="s">
        <v>620</v>
      </c>
      <c r="J543" s="190" t="s">
        <v>2295</v>
      </c>
      <c r="K543" s="190" t="s">
        <v>190</v>
      </c>
      <c r="L543" s="190" t="s">
        <v>190</v>
      </c>
      <c r="M543" s="93" t="s">
        <v>556</v>
      </c>
      <c r="N543" s="193">
        <v>127093</v>
      </c>
      <c r="O543" s="82" t="s">
        <v>18</v>
      </c>
      <c r="P543" s="170"/>
      <c r="Q543" s="210"/>
    </row>
    <row r="544" spans="1:17" x14ac:dyDescent="0.2">
      <c r="A544" s="139" t="s">
        <v>570</v>
      </c>
      <c r="B544" s="113">
        <v>2006695</v>
      </c>
      <c r="C544" s="113">
        <v>100802</v>
      </c>
      <c r="D544" s="114" t="s">
        <v>571</v>
      </c>
      <c r="E544" s="113">
        <v>65</v>
      </c>
      <c r="F544" s="113" t="str">
        <f>IF(E544&lt;=20,"0-19",
IF(E544&lt;=50,"20-49",
IF(E544&lt;=80,"50-79","80+")))</f>
        <v>50-79</v>
      </c>
      <c r="G544" s="113" t="s">
        <v>60</v>
      </c>
      <c r="H544" s="113" t="s">
        <v>22</v>
      </c>
      <c r="I544" s="114" t="s">
        <v>572</v>
      </c>
      <c r="J544" s="114" t="s">
        <v>2295</v>
      </c>
      <c r="K544" s="114" t="s">
        <v>37</v>
      </c>
      <c r="L544" s="113" t="s">
        <v>37</v>
      </c>
      <c r="M544" s="114" t="s">
        <v>556</v>
      </c>
      <c r="N544" s="115">
        <v>30000</v>
      </c>
      <c r="O544" s="87" t="s">
        <v>18</v>
      </c>
      <c r="P544" s="171"/>
      <c r="Q544" s="210"/>
    </row>
    <row r="545" spans="1:17" x14ac:dyDescent="0.2">
      <c r="A545" s="139" t="s">
        <v>1136</v>
      </c>
      <c r="B545" s="93">
        <v>2012165</v>
      </c>
      <c r="C545" s="82">
        <v>85480</v>
      </c>
      <c r="D545" s="93" t="s">
        <v>1137</v>
      </c>
      <c r="E545" s="93">
        <v>40</v>
      </c>
      <c r="F545" s="93" t="str">
        <f>IF(E545&lt;=20,"0-19",
IF(E545&lt;=50,"20-49",
IF(E545&lt;=80,"50-79","80+")))</f>
        <v>20-49</v>
      </c>
      <c r="G545" s="93" t="s">
        <v>49</v>
      </c>
      <c r="H545" s="93" t="s">
        <v>15</v>
      </c>
      <c r="I545" s="93" t="s">
        <v>1138</v>
      </c>
      <c r="J545" s="93" t="s">
        <v>2295</v>
      </c>
      <c r="K545" s="93" t="s">
        <v>835</v>
      </c>
      <c r="L545" s="93" t="s">
        <v>835</v>
      </c>
      <c r="M545" s="82" t="s">
        <v>556</v>
      </c>
      <c r="N545" s="94">
        <v>43566.239999999998</v>
      </c>
      <c r="O545" s="82" t="s">
        <v>832</v>
      </c>
      <c r="P545" s="170"/>
      <c r="Q545" s="210"/>
    </row>
    <row r="546" spans="1:17" x14ac:dyDescent="0.2">
      <c r="A546" s="139" t="s">
        <v>155</v>
      </c>
      <c r="B546" s="82">
        <v>2014385</v>
      </c>
      <c r="C546" s="82">
        <v>12663</v>
      </c>
      <c r="D546" s="82" t="s">
        <v>1139</v>
      </c>
      <c r="E546" s="82">
        <v>66</v>
      </c>
      <c r="F546" s="82" t="str">
        <f>IF(E546&lt;=20,"0-19",
IF(E546&lt;=50,"20-49",
IF(E546&lt;=80,"50-79","80+")))</f>
        <v>50-79</v>
      </c>
      <c r="G546" s="82" t="s">
        <v>60</v>
      </c>
      <c r="H546" s="82" t="s">
        <v>22</v>
      </c>
      <c r="I546" s="92" t="s">
        <v>1140</v>
      </c>
      <c r="J546" s="92" t="s">
        <v>2295</v>
      </c>
      <c r="K546" s="92" t="s">
        <v>855</v>
      </c>
      <c r="L546" s="82" t="s">
        <v>855</v>
      </c>
      <c r="M546" s="82" t="s">
        <v>556</v>
      </c>
      <c r="N546" s="84">
        <v>165000</v>
      </c>
      <c r="O546" s="82" t="s">
        <v>832</v>
      </c>
      <c r="P546" s="170"/>
      <c r="Q546" s="210"/>
    </row>
    <row r="547" spans="1:17" x14ac:dyDescent="0.2">
      <c r="A547" s="139" t="s">
        <v>142</v>
      </c>
      <c r="B547" s="82">
        <v>2007427</v>
      </c>
      <c r="C547" s="82">
        <v>57700</v>
      </c>
      <c r="D547" s="82" t="s">
        <v>1404</v>
      </c>
      <c r="E547" s="82">
        <v>64</v>
      </c>
      <c r="F547" s="82" t="str">
        <f>IF(E547&lt;=20,"0-19",
IF(E547&lt;=50,"20-49",
IF(E547&lt;=80,"50-79","80+")))</f>
        <v>50-79</v>
      </c>
      <c r="G547" s="82" t="s">
        <v>49</v>
      </c>
      <c r="H547" s="82" t="s">
        <v>15</v>
      </c>
      <c r="I547" s="82" t="s">
        <v>558</v>
      </c>
      <c r="J547" s="82" t="s">
        <v>2295</v>
      </c>
      <c r="K547" s="82" t="s">
        <v>1231</v>
      </c>
      <c r="L547" s="82" t="s">
        <v>1231</v>
      </c>
      <c r="M547" s="93" t="s">
        <v>556</v>
      </c>
      <c r="N547" s="84">
        <v>122168</v>
      </c>
      <c r="O547" s="82" t="s">
        <v>832</v>
      </c>
      <c r="P547" s="170"/>
      <c r="Q547" s="210"/>
    </row>
    <row r="548" spans="1:17" x14ac:dyDescent="0.2">
      <c r="A548" s="139" t="s">
        <v>19</v>
      </c>
      <c r="B548" s="82">
        <v>2002795</v>
      </c>
      <c r="C548" s="82">
        <v>8034</v>
      </c>
      <c r="D548" s="82" t="s">
        <v>557</v>
      </c>
      <c r="E548" s="92">
        <v>66</v>
      </c>
      <c r="F548" s="92" t="str">
        <f>IF(E548&lt;=20,"0-19",
IF(E548&lt;=50,"20-49",
IF(E548&lt;=80,"50-79","80+")))</f>
        <v>50-79</v>
      </c>
      <c r="G548" s="82" t="s">
        <v>49</v>
      </c>
      <c r="H548" s="82" t="s">
        <v>15</v>
      </c>
      <c r="I548" s="82" t="s">
        <v>558</v>
      </c>
      <c r="J548" s="82" t="s">
        <v>2295</v>
      </c>
      <c r="K548" s="92" t="s">
        <v>85</v>
      </c>
      <c r="L548" s="92" t="s">
        <v>85</v>
      </c>
      <c r="M548" s="82" t="s">
        <v>556</v>
      </c>
      <c r="N548" s="101">
        <v>104500</v>
      </c>
      <c r="O548" s="82" t="s">
        <v>18</v>
      </c>
      <c r="P548" s="170"/>
      <c r="Q548" s="210"/>
    </row>
    <row r="549" spans="1:17" x14ac:dyDescent="0.2">
      <c r="A549" s="104" t="s">
        <v>63</v>
      </c>
      <c r="B549" s="87">
        <v>2407508</v>
      </c>
      <c r="C549" s="87">
        <v>57704</v>
      </c>
      <c r="D549" s="87" t="s">
        <v>2196</v>
      </c>
      <c r="E549" s="87">
        <v>61</v>
      </c>
      <c r="F549" s="87" t="str">
        <f>IF(E549&lt;=20,"0-19",
IF(E549&lt;=50,"20-49",
IF(E549&lt;=80,"50-79","80+")))</f>
        <v>50-79</v>
      </c>
      <c r="G549" s="87" t="s">
        <v>226</v>
      </c>
      <c r="H549" s="87" t="s">
        <v>22</v>
      </c>
      <c r="I549" s="87" t="s">
        <v>2197</v>
      </c>
      <c r="J549" s="87" t="s">
        <v>2295</v>
      </c>
      <c r="K549" s="86" t="s">
        <v>1928</v>
      </c>
      <c r="L549" s="87" t="s">
        <v>1928</v>
      </c>
      <c r="M549" s="87" t="s">
        <v>556</v>
      </c>
      <c r="N549" s="161">
        <v>238482</v>
      </c>
      <c r="O549" s="161" t="s">
        <v>2254</v>
      </c>
      <c r="P549" s="168">
        <v>254726788384</v>
      </c>
      <c r="Q549" s="210"/>
    </row>
    <row r="550" spans="1:17" ht="21" x14ac:dyDescent="0.2">
      <c r="A550" s="107" t="s">
        <v>562</v>
      </c>
      <c r="B550" s="93">
        <v>2002887</v>
      </c>
      <c r="C550" s="82">
        <v>54892</v>
      </c>
      <c r="D550" s="93" t="s">
        <v>563</v>
      </c>
      <c r="E550" s="93">
        <v>64</v>
      </c>
      <c r="F550" s="93" t="str">
        <f>IF(E550&lt;=20,"0-19",
IF(E550&lt;=50,"20-49",
IF(E550&lt;=80,"50-79","80+")))</f>
        <v>50-79</v>
      </c>
      <c r="G550" s="93" t="s">
        <v>49</v>
      </c>
      <c r="H550" s="93" t="s">
        <v>15</v>
      </c>
      <c r="I550" s="93" t="s">
        <v>564</v>
      </c>
      <c r="J550" s="114" t="s">
        <v>2295</v>
      </c>
      <c r="K550" s="117" t="s">
        <v>561</v>
      </c>
      <c r="L550" s="93" t="s">
        <v>78</v>
      </c>
      <c r="M550" s="114" t="s">
        <v>556</v>
      </c>
      <c r="N550" s="94">
        <v>46099.4</v>
      </c>
      <c r="O550" s="82" t="s">
        <v>18</v>
      </c>
      <c r="P550" s="170"/>
      <c r="Q550" s="210"/>
    </row>
    <row r="551" spans="1:17" x14ac:dyDescent="0.2">
      <c r="A551" s="139" t="s">
        <v>142</v>
      </c>
      <c r="B551" s="113">
        <v>2014747</v>
      </c>
      <c r="C551" s="113">
        <v>34481</v>
      </c>
      <c r="D551" s="114" t="s">
        <v>573</v>
      </c>
      <c r="E551" s="113">
        <v>32</v>
      </c>
      <c r="F551" s="113" t="str">
        <f>IF(E551&lt;=20,"0-19",
IF(E551&lt;=50,"20-49",
IF(E551&lt;=80,"50-79","80+")))</f>
        <v>20-49</v>
      </c>
      <c r="G551" s="113" t="s">
        <v>49</v>
      </c>
      <c r="H551" s="113" t="s">
        <v>15</v>
      </c>
      <c r="I551" s="114" t="s">
        <v>574</v>
      </c>
      <c r="J551" s="114" t="s">
        <v>2310</v>
      </c>
      <c r="K551" s="114" t="s">
        <v>57</v>
      </c>
      <c r="L551" s="113" t="s">
        <v>57</v>
      </c>
      <c r="M551" s="114" t="s">
        <v>556</v>
      </c>
      <c r="N551" s="115">
        <v>104777</v>
      </c>
      <c r="O551" s="82" t="s">
        <v>18</v>
      </c>
      <c r="P551" s="170"/>
      <c r="Q551" s="210"/>
    </row>
    <row r="552" spans="1:17" ht="21" x14ac:dyDescent="0.2">
      <c r="A552" s="104" t="s">
        <v>228</v>
      </c>
      <c r="B552" s="86">
        <v>2505152</v>
      </c>
      <c r="C552" s="87">
        <v>67191</v>
      </c>
      <c r="D552" s="86" t="s">
        <v>39</v>
      </c>
      <c r="E552" s="86">
        <v>59</v>
      </c>
      <c r="F552" s="86" t="str">
        <f>IF(E552&lt;=20,"0-19",
IF(E552&lt;=50,"20-49",
IF(E552&lt;=80,"50-79","80+")))</f>
        <v>50-79</v>
      </c>
      <c r="G552" s="86" t="s">
        <v>126</v>
      </c>
      <c r="H552" s="86" t="s">
        <v>22</v>
      </c>
      <c r="I552" s="86" t="s">
        <v>1963</v>
      </c>
      <c r="J552" s="86" t="s">
        <v>2310</v>
      </c>
      <c r="K552" s="86" t="s">
        <v>2264</v>
      </c>
      <c r="L552" s="86" t="s">
        <v>1911</v>
      </c>
      <c r="M552" s="87" t="s">
        <v>556</v>
      </c>
      <c r="N552" s="164">
        <v>29613</v>
      </c>
      <c r="O552" s="164" t="s">
        <v>2254</v>
      </c>
      <c r="P552" s="168">
        <v>254722961245</v>
      </c>
      <c r="Q552" s="210"/>
    </row>
    <row r="553" spans="1:17" x14ac:dyDescent="0.2">
      <c r="A553" s="105" t="s">
        <v>43</v>
      </c>
      <c r="B553" s="82">
        <v>2019611</v>
      </c>
      <c r="C553" s="82">
        <v>71912</v>
      </c>
      <c r="D553" s="82" t="s">
        <v>1694</v>
      </c>
      <c r="E553" s="82">
        <v>42</v>
      </c>
      <c r="F553" s="82" t="str">
        <f>IF(E553&lt;=20,"0-19",
IF(E553&lt;=50,"20-49",
IF(E553&lt;=80,"50-79","80+")))</f>
        <v>20-49</v>
      </c>
      <c r="G553" s="82" t="s">
        <v>60</v>
      </c>
      <c r="H553" s="82" t="s">
        <v>22</v>
      </c>
      <c r="I553" s="92" t="s">
        <v>1695</v>
      </c>
      <c r="J553" s="92" t="s">
        <v>2310</v>
      </c>
      <c r="K553" s="82" t="s">
        <v>1675</v>
      </c>
      <c r="L553" s="82" t="s">
        <v>1675</v>
      </c>
      <c r="M553" s="82" t="s">
        <v>556</v>
      </c>
      <c r="N553" s="151">
        <v>81149.02</v>
      </c>
      <c r="O553" s="151" t="s">
        <v>2254</v>
      </c>
      <c r="P553" s="152">
        <v>254715205323</v>
      </c>
      <c r="Q553" s="210"/>
    </row>
    <row r="554" spans="1:17" x14ac:dyDescent="0.2">
      <c r="A554" s="104" t="s">
        <v>1386</v>
      </c>
      <c r="B554" s="87">
        <v>2017620</v>
      </c>
      <c r="C554" s="87">
        <v>54137</v>
      </c>
      <c r="D554" s="87" t="s">
        <v>1688</v>
      </c>
      <c r="E554" s="87">
        <v>18</v>
      </c>
      <c r="F554" s="87" t="str">
        <f>IF(E554&lt;=20,"0-19",
IF(E554&lt;=50,"20-49",
IF(E554&lt;=80,"50-79","80+")))</f>
        <v>0-19</v>
      </c>
      <c r="G554" s="87" t="s">
        <v>49</v>
      </c>
      <c r="H554" s="87" t="s">
        <v>132</v>
      </c>
      <c r="I554" s="86" t="s">
        <v>1689</v>
      </c>
      <c r="J554" s="114" t="s">
        <v>2311</v>
      </c>
      <c r="K554" s="87" t="s">
        <v>1546</v>
      </c>
      <c r="L554" s="87" t="s">
        <v>1546</v>
      </c>
      <c r="M554" s="87" t="s">
        <v>556</v>
      </c>
      <c r="N554" s="161">
        <v>75000</v>
      </c>
      <c r="O554" s="161" t="s">
        <v>2254</v>
      </c>
      <c r="P554" s="168">
        <v>254722658703</v>
      </c>
      <c r="Q554" s="210"/>
    </row>
    <row r="555" spans="1:17" ht="21" x14ac:dyDescent="0.2">
      <c r="A555" s="139" t="s">
        <v>155</v>
      </c>
      <c r="B555" s="82">
        <v>2014589</v>
      </c>
      <c r="C555" s="82">
        <v>101449</v>
      </c>
      <c r="D555" s="82" t="s">
        <v>591</v>
      </c>
      <c r="E555" s="92">
        <v>66</v>
      </c>
      <c r="F555" s="92" t="str">
        <f>IF(E555&lt;=20,"0-19",
IF(E555&lt;=50,"20-49",
IF(E555&lt;=80,"50-79","80+")))</f>
        <v>50-79</v>
      </c>
      <c r="G555" s="82" t="s">
        <v>60</v>
      </c>
      <c r="H555" s="82" t="s">
        <v>22</v>
      </c>
      <c r="I555" s="82" t="s">
        <v>592</v>
      </c>
      <c r="J555" s="82" t="s">
        <v>2328</v>
      </c>
      <c r="K555" s="92" t="s">
        <v>215</v>
      </c>
      <c r="L555" s="92" t="s">
        <v>94</v>
      </c>
      <c r="M555" s="82" t="s">
        <v>556</v>
      </c>
      <c r="N555" s="101">
        <v>40000</v>
      </c>
      <c r="O555" s="82" t="s">
        <v>18</v>
      </c>
      <c r="P555" s="170"/>
      <c r="Q555" s="210"/>
    </row>
    <row r="556" spans="1:17" ht="31.5" x14ac:dyDescent="0.2">
      <c r="A556" s="139" t="s">
        <v>1502</v>
      </c>
      <c r="B556" s="82">
        <v>2011456</v>
      </c>
      <c r="C556" s="82">
        <v>54164</v>
      </c>
      <c r="D556" s="82" t="s">
        <v>1126</v>
      </c>
      <c r="E556" s="82">
        <v>63</v>
      </c>
      <c r="F556" s="82" t="str">
        <f>IF(E556&lt;=20,"0-19",
IF(E556&lt;=50,"20-49",
IF(E556&lt;=80,"50-79","80+")))</f>
        <v>50-79</v>
      </c>
      <c r="G556" s="82" t="s">
        <v>49</v>
      </c>
      <c r="H556" s="82" t="s">
        <v>15</v>
      </c>
      <c r="I556" s="92" t="s">
        <v>1134</v>
      </c>
      <c r="J556" s="92" t="s">
        <v>2328</v>
      </c>
      <c r="K556" s="92" t="s">
        <v>1135</v>
      </c>
      <c r="L556" s="82" t="s">
        <v>880</v>
      </c>
      <c r="M556" s="82" t="s">
        <v>556</v>
      </c>
      <c r="N556" s="84">
        <v>62277</v>
      </c>
      <c r="O556" s="82" t="s">
        <v>832</v>
      </c>
      <c r="P556" s="171"/>
      <c r="Q556" s="210"/>
    </row>
    <row r="557" spans="1:17" x14ac:dyDescent="0.2">
      <c r="A557" s="139" t="s">
        <v>63</v>
      </c>
      <c r="B557" s="82">
        <v>2014680</v>
      </c>
      <c r="C557" s="82">
        <v>37008</v>
      </c>
      <c r="D557" s="82" t="s">
        <v>1141</v>
      </c>
      <c r="E557" s="82">
        <v>79</v>
      </c>
      <c r="F557" s="82" t="str">
        <f>IF(E557&lt;=20,"0-19",
IF(E557&lt;=50,"20-49",
IF(E557&lt;=80,"50-79","80+")))</f>
        <v>50-79</v>
      </c>
      <c r="G557" s="82" t="s">
        <v>49</v>
      </c>
      <c r="H557" s="82" t="s">
        <v>15</v>
      </c>
      <c r="I557" s="92" t="s">
        <v>1142</v>
      </c>
      <c r="J557" s="92" t="s">
        <v>2328</v>
      </c>
      <c r="K557" s="92" t="s">
        <v>851</v>
      </c>
      <c r="L557" s="82" t="s">
        <v>851</v>
      </c>
      <c r="M557" s="82" t="s">
        <v>556</v>
      </c>
      <c r="N557" s="84">
        <v>72916</v>
      </c>
      <c r="O557" s="82" t="s">
        <v>832</v>
      </c>
      <c r="P557" s="171"/>
      <c r="Q557" s="210"/>
    </row>
    <row r="558" spans="1:17" x14ac:dyDescent="0.2">
      <c r="A558" s="139" t="s">
        <v>836</v>
      </c>
      <c r="B558" s="82">
        <v>2016420</v>
      </c>
      <c r="C558" s="82">
        <v>58277</v>
      </c>
      <c r="D558" s="82" t="s">
        <v>1145</v>
      </c>
      <c r="E558" s="82">
        <v>62</v>
      </c>
      <c r="F558" s="82" t="str">
        <f>IF(E558&lt;=20,"0-19",
IF(E558&lt;=50,"20-49",
IF(E558&lt;=80,"50-79","80+")))</f>
        <v>50-79</v>
      </c>
      <c r="G558" s="82" t="s">
        <v>60</v>
      </c>
      <c r="H558" s="82" t="s">
        <v>22</v>
      </c>
      <c r="I558" s="92" t="s">
        <v>1146</v>
      </c>
      <c r="J558" s="92" t="s">
        <v>2328</v>
      </c>
      <c r="K558" s="92" t="s">
        <v>834</v>
      </c>
      <c r="L558" s="82" t="s">
        <v>834</v>
      </c>
      <c r="M558" s="82" t="s">
        <v>556</v>
      </c>
      <c r="N558" s="84">
        <v>94888.2</v>
      </c>
      <c r="O558" s="82" t="s">
        <v>832</v>
      </c>
      <c r="P558" s="171"/>
      <c r="Q558" s="210"/>
    </row>
    <row r="559" spans="1:17" x14ac:dyDescent="0.2">
      <c r="A559" s="108" t="s">
        <v>75</v>
      </c>
      <c r="B559" s="113">
        <v>2505061</v>
      </c>
      <c r="C559" s="113">
        <v>59211</v>
      </c>
      <c r="D559" s="114" t="s">
        <v>584</v>
      </c>
      <c r="E559" s="113">
        <v>59</v>
      </c>
      <c r="F559" s="113" t="str">
        <f>IF(E559&lt;=20,"0-19",
IF(E559&lt;=50,"20-49",
IF(E559&lt;=80,"50-79","80+")))</f>
        <v>50-79</v>
      </c>
      <c r="G559" s="113" t="s">
        <v>585</v>
      </c>
      <c r="H559" s="113" t="s">
        <v>22</v>
      </c>
      <c r="I559" s="114" t="s">
        <v>586</v>
      </c>
      <c r="J559" s="82" t="s">
        <v>2270</v>
      </c>
      <c r="K559" s="114" t="s">
        <v>51</v>
      </c>
      <c r="L559" s="113" t="s">
        <v>51</v>
      </c>
      <c r="M559" s="114" t="s">
        <v>556</v>
      </c>
      <c r="N559" s="115">
        <v>70463.55</v>
      </c>
      <c r="O559" s="87" t="s">
        <v>18</v>
      </c>
      <c r="P559" s="171"/>
      <c r="Q559" s="210"/>
    </row>
    <row r="560" spans="1:17" x14ac:dyDescent="0.2">
      <c r="A560" s="105" t="s">
        <v>72</v>
      </c>
      <c r="B560" s="82">
        <v>2507207</v>
      </c>
      <c r="C560" s="82">
        <v>62415</v>
      </c>
      <c r="D560" s="82" t="s">
        <v>593</v>
      </c>
      <c r="E560" s="92">
        <v>57</v>
      </c>
      <c r="F560" s="92" t="str">
        <f>IF(E560&lt;=20,"0-19",
IF(E560&lt;=50,"20-49",
IF(E560&lt;=80,"50-79","80+")))</f>
        <v>50-79</v>
      </c>
      <c r="G560" s="82" t="s">
        <v>49</v>
      </c>
      <c r="H560" s="82" t="s">
        <v>15</v>
      </c>
      <c r="I560" s="82" t="s">
        <v>595</v>
      </c>
      <c r="J560" s="82" t="s">
        <v>2270</v>
      </c>
      <c r="K560" s="92" t="s">
        <v>85</v>
      </c>
      <c r="L560" s="92" t="s">
        <v>85</v>
      </c>
      <c r="M560" s="82" t="s">
        <v>556</v>
      </c>
      <c r="N560" s="101">
        <v>58803</v>
      </c>
      <c r="O560" s="82" t="s">
        <v>18</v>
      </c>
      <c r="P560" s="170"/>
      <c r="Q560" s="210"/>
    </row>
    <row r="561" spans="1:17" x14ac:dyDescent="0.2">
      <c r="A561" s="104" t="s">
        <v>72</v>
      </c>
      <c r="B561" s="113">
        <v>2507207</v>
      </c>
      <c r="C561" s="113">
        <v>62415</v>
      </c>
      <c r="D561" s="114" t="s">
        <v>593</v>
      </c>
      <c r="E561" s="113">
        <v>57</v>
      </c>
      <c r="F561" s="113" t="str">
        <f>IF(E561&lt;=20,"0-19",
IF(E561&lt;=50,"20-49",
IF(E561&lt;=80,"50-79","80+")))</f>
        <v>50-79</v>
      </c>
      <c r="G561" s="113" t="s">
        <v>49</v>
      </c>
      <c r="H561" s="113" t="s">
        <v>15</v>
      </c>
      <c r="I561" s="114" t="s">
        <v>594</v>
      </c>
      <c r="J561" s="114" t="s">
        <v>2270</v>
      </c>
      <c r="K561" s="114" t="s">
        <v>25</v>
      </c>
      <c r="L561" s="113" t="s">
        <v>25</v>
      </c>
      <c r="M561" s="114" t="s">
        <v>556</v>
      </c>
      <c r="N561" s="115">
        <v>25844</v>
      </c>
      <c r="O561" s="87" t="s">
        <v>18</v>
      </c>
      <c r="P561" s="171"/>
      <c r="Q561" s="210"/>
    </row>
    <row r="562" spans="1:17" x14ac:dyDescent="0.2">
      <c r="A562" s="139" t="s">
        <v>373</v>
      </c>
      <c r="B562" s="82">
        <v>2020358</v>
      </c>
      <c r="C562" s="82">
        <v>56122</v>
      </c>
      <c r="D562" s="82" t="s">
        <v>1149</v>
      </c>
      <c r="E562" s="82">
        <v>60</v>
      </c>
      <c r="F562" s="82" t="str">
        <f>IF(E562&lt;=20,"0-19",
IF(E562&lt;=50,"20-49",
IF(E562&lt;=80,"50-79","80+")))</f>
        <v>50-79</v>
      </c>
      <c r="G562" s="82" t="s">
        <v>49</v>
      </c>
      <c r="H562" s="82" t="s">
        <v>706</v>
      </c>
      <c r="I562" s="82" t="s">
        <v>1150</v>
      </c>
      <c r="J562" s="82" t="s">
        <v>2270</v>
      </c>
      <c r="K562" s="92" t="s">
        <v>859</v>
      </c>
      <c r="L562" s="92" t="s">
        <v>859</v>
      </c>
      <c r="M562" s="82" t="s">
        <v>556</v>
      </c>
      <c r="N562" s="84">
        <v>144965</v>
      </c>
      <c r="O562" s="82" t="s">
        <v>832</v>
      </c>
      <c r="P562" s="170"/>
      <c r="Q562" s="210"/>
    </row>
    <row r="563" spans="1:17" x14ac:dyDescent="0.2">
      <c r="A563" s="139" t="s">
        <v>522</v>
      </c>
      <c r="B563" s="82">
        <v>2020996</v>
      </c>
      <c r="C563" s="82">
        <v>103608</v>
      </c>
      <c r="D563" s="82" t="s">
        <v>1388</v>
      </c>
      <c r="E563" s="82">
        <v>64</v>
      </c>
      <c r="F563" s="82" t="str">
        <f>IF(E563&lt;=20,"0-19",
IF(E563&lt;=50,"20-49",
IF(E563&lt;=80,"50-79","80+")))</f>
        <v>50-79</v>
      </c>
      <c r="G563" s="82" t="s">
        <v>60</v>
      </c>
      <c r="H563" s="82" t="s">
        <v>22</v>
      </c>
      <c r="I563" s="82" t="s">
        <v>1389</v>
      </c>
      <c r="J563" s="82" t="s">
        <v>2270</v>
      </c>
      <c r="K563" s="82" t="s">
        <v>1231</v>
      </c>
      <c r="L563" s="82" t="s">
        <v>1231</v>
      </c>
      <c r="M563" s="93" t="s">
        <v>556</v>
      </c>
      <c r="N563" s="84">
        <v>36499</v>
      </c>
      <c r="O563" s="82" t="s">
        <v>832</v>
      </c>
      <c r="P563" s="171"/>
      <c r="Q563" s="210"/>
    </row>
    <row r="564" spans="1:17" x14ac:dyDescent="0.2">
      <c r="A564" s="105" t="s">
        <v>1410</v>
      </c>
      <c r="B564" s="82">
        <v>2407146</v>
      </c>
      <c r="C564" s="82">
        <v>19408</v>
      </c>
      <c r="D564" s="82" t="s">
        <v>1958</v>
      </c>
      <c r="E564" s="82">
        <v>57</v>
      </c>
      <c r="F564" s="82" t="str">
        <f>IF(E564&lt;=20,"0-19",
IF(E564&lt;=50,"20-49",
IF(E564&lt;=80,"50-79","80+")))</f>
        <v>50-79</v>
      </c>
      <c r="G564" s="82" t="s">
        <v>14</v>
      </c>
      <c r="H564" s="82" t="s">
        <v>15</v>
      </c>
      <c r="I564" s="82" t="s">
        <v>1389</v>
      </c>
      <c r="J564" s="82" t="s">
        <v>2270</v>
      </c>
      <c r="K564" s="92" t="s">
        <v>1921</v>
      </c>
      <c r="L564" s="82" t="s">
        <v>1921</v>
      </c>
      <c r="M564" s="82" t="s">
        <v>556</v>
      </c>
      <c r="N564" s="151">
        <v>26945</v>
      </c>
      <c r="O564" s="151" t="s">
        <v>2254</v>
      </c>
      <c r="P564" s="152">
        <v>254722961245</v>
      </c>
      <c r="Q564" s="210"/>
    </row>
    <row r="565" spans="1:17" x14ac:dyDescent="0.2">
      <c r="A565" s="139" t="s">
        <v>422</v>
      </c>
      <c r="B565" s="113">
        <v>2001006</v>
      </c>
      <c r="C565" s="113">
        <v>18347</v>
      </c>
      <c r="D565" s="114" t="s">
        <v>607</v>
      </c>
      <c r="E565" s="113">
        <v>69</v>
      </c>
      <c r="F565" s="113" t="str">
        <f>IF(E565&lt;=20,"0-19",
IF(E565&lt;=50,"20-49",
IF(E565&lt;=80,"50-79","80+")))</f>
        <v>50-79</v>
      </c>
      <c r="G565" s="113" t="s">
        <v>60</v>
      </c>
      <c r="H565" s="113" t="s">
        <v>22</v>
      </c>
      <c r="I565" s="114" t="s">
        <v>445</v>
      </c>
      <c r="J565" s="114" t="s">
        <v>2270</v>
      </c>
      <c r="K565" s="114" t="s">
        <v>25</v>
      </c>
      <c r="L565" s="113" t="s">
        <v>25</v>
      </c>
      <c r="M565" s="114" t="s">
        <v>556</v>
      </c>
      <c r="N565" s="115">
        <v>75815</v>
      </c>
      <c r="O565" s="82" t="s">
        <v>18</v>
      </c>
      <c r="P565" s="170"/>
      <c r="Q565" s="210"/>
    </row>
    <row r="566" spans="1:17" x14ac:dyDescent="0.2">
      <c r="A566" s="139" t="s">
        <v>1503</v>
      </c>
      <c r="B566" s="82">
        <v>2021923</v>
      </c>
      <c r="C566" s="82">
        <v>56634</v>
      </c>
      <c r="D566" s="82" t="s">
        <v>1522</v>
      </c>
      <c r="E566" s="82">
        <v>62</v>
      </c>
      <c r="F566" s="82" t="str">
        <f>IF(E566&lt;=20,"0-19",
IF(E566&lt;=50,"20-49",
IF(E566&lt;=80,"50-79","80+")))</f>
        <v>50-79</v>
      </c>
      <c r="G566" s="82" t="s">
        <v>60</v>
      </c>
      <c r="H566" s="82" t="s">
        <v>22</v>
      </c>
      <c r="I566" s="82" t="s">
        <v>1523</v>
      </c>
      <c r="J566" s="82" t="s">
        <v>2270</v>
      </c>
      <c r="K566" s="82" t="s">
        <v>1236</v>
      </c>
      <c r="L566" s="82" t="s">
        <v>1236</v>
      </c>
      <c r="M566" s="93" t="s">
        <v>556</v>
      </c>
      <c r="N566" s="84">
        <v>62121.5</v>
      </c>
      <c r="O566" s="82" t="s">
        <v>832</v>
      </c>
      <c r="P566" s="171"/>
      <c r="Q566" s="210"/>
    </row>
    <row r="567" spans="1:17" x14ac:dyDescent="0.2">
      <c r="A567" s="103" t="s">
        <v>75</v>
      </c>
      <c r="B567" s="82">
        <v>2505061</v>
      </c>
      <c r="C567" s="82">
        <v>59211</v>
      </c>
      <c r="D567" s="82" t="s">
        <v>587</v>
      </c>
      <c r="E567" s="92">
        <v>70</v>
      </c>
      <c r="F567" s="92" t="str">
        <f>IF(E567&lt;=20,"0-19",
IF(E567&lt;=50,"20-49",
IF(E567&lt;=80,"50-79","80+")))</f>
        <v>50-79</v>
      </c>
      <c r="G567" s="82" t="s">
        <v>60</v>
      </c>
      <c r="H567" s="82" t="s">
        <v>22</v>
      </c>
      <c r="I567" s="82" t="s">
        <v>588</v>
      </c>
      <c r="J567" s="82" t="s">
        <v>2270</v>
      </c>
      <c r="K567" s="92" t="s">
        <v>95</v>
      </c>
      <c r="L567" s="92" t="s">
        <v>95</v>
      </c>
      <c r="M567" s="82" t="s">
        <v>556</v>
      </c>
      <c r="N567" s="101">
        <v>33725</v>
      </c>
      <c r="O567" s="82" t="s">
        <v>18</v>
      </c>
      <c r="P567" s="170"/>
      <c r="Q567" s="210"/>
    </row>
    <row r="568" spans="1:17" x14ac:dyDescent="0.2">
      <c r="A568" s="104" t="s">
        <v>72</v>
      </c>
      <c r="B568" s="87">
        <v>2407352</v>
      </c>
      <c r="C568" s="87">
        <v>11577</v>
      </c>
      <c r="D568" s="87" t="s">
        <v>596</v>
      </c>
      <c r="E568" s="86">
        <v>63</v>
      </c>
      <c r="F568" s="86" t="str">
        <f>IF(E568&lt;=20,"0-19",
IF(E568&lt;=50,"20-49",
IF(E568&lt;=80,"50-79","80+")))</f>
        <v>50-79</v>
      </c>
      <c r="G568" s="87" t="s">
        <v>49</v>
      </c>
      <c r="H568" s="87" t="s">
        <v>15</v>
      </c>
      <c r="I568" s="87" t="s">
        <v>597</v>
      </c>
      <c r="J568" s="87" t="s">
        <v>2270</v>
      </c>
      <c r="K568" s="86" t="s">
        <v>193</v>
      </c>
      <c r="L568" s="86" t="s">
        <v>193</v>
      </c>
      <c r="M568" s="87" t="s">
        <v>556</v>
      </c>
      <c r="N568" s="97">
        <v>239739</v>
      </c>
      <c r="O568" s="87" t="s">
        <v>18</v>
      </c>
      <c r="P568" s="171"/>
      <c r="Q568" s="210"/>
    </row>
    <row r="569" spans="1:17" x14ac:dyDescent="0.2">
      <c r="A569" s="103" t="s">
        <v>544</v>
      </c>
      <c r="B569" s="82">
        <v>2009023</v>
      </c>
      <c r="C569" s="82">
        <v>18240</v>
      </c>
      <c r="D569" s="82" t="s">
        <v>609</v>
      </c>
      <c r="E569" s="92">
        <v>41</v>
      </c>
      <c r="F569" s="92" t="str">
        <f>IF(E569&lt;=20,"0-19",
IF(E569&lt;=50,"20-49",
IF(E569&lt;=80,"50-79","80+")))</f>
        <v>20-49</v>
      </c>
      <c r="G569" s="82" t="s">
        <v>49</v>
      </c>
      <c r="H569" s="82" t="s">
        <v>15</v>
      </c>
      <c r="I569" s="82" t="s">
        <v>610</v>
      </c>
      <c r="J569" s="82" t="s">
        <v>2270</v>
      </c>
      <c r="K569" s="92" t="s">
        <v>66</v>
      </c>
      <c r="L569" s="92" t="s">
        <v>66</v>
      </c>
      <c r="M569" s="82" t="s">
        <v>556</v>
      </c>
      <c r="N569" s="101">
        <v>100000</v>
      </c>
      <c r="O569" s="82" t="s">
        <v>18</v>
      </c>
      <c r="P569" s="170"/>
      <c r="Q569" s="210"/>
    </row>
    <row r="570" spans="1:17" x14ac:dyDescent="0.2">
      <c r="A570" s="139" t="s">
        <v>337</v>
      </c>
      <c r="B570" s="82">
        <v>2020019</v>
      </c>
      <c r="C570" s="82">
        <v>14642</v>
      </c>
      <c r="D570" s="82" t="s">
        <v>1374</v>
      </c>
      <c r="E570" s="82">
        <v>64</v>
      </c>
      <c r="F570" s="82" t="str">
        <f>IF(E570&lt;=20,"0-19",
IF(E570&lt;=50,"20-49",
IF(E570&lt;=80,"50-79","80+")))</f>
        <v>50-79</v>
      </c>
      <c r="G570" s="82" t="s">
        <v>60</v>
      </c>
      <c r="H570" s="82" t="s">
        <v>22</v>
      </c>
      <c r="I570" s="92" t="s">
        <v>1375</v>
      </c>
      <c r="J570" s="114" t="s">
        <v>2311</v>
      </c>
      <c r="K570" s="92" t="s">
        <v>1242</v>
      </c>
      <c r="L570" s="92" t="s">
        <v>1242</v>
      </c>
      <c r="M570" s="93" t="s">
        <v>556</v>
      </c>
      <c r="N570" s="84">
        <v>20000</v>
      </c>
      <c r="O570" s="82" t="s">
        <v>832</v>
      </c>
      <c r="P570" s="170"/>
      <c r="Q570" s="210"/>
    </row>
    <row r="571" spans="1:17" x14ac:dyDescent="0.2">
      <c r="A571" s="139" t="s">
        <v>785</v>
      </c>
      <c r="B571" s="92">
        <v>2011827</v>
      </c>
      <c r="C571" s="82">
        <v>101320</v>
      </c>
      <c r="D571" s="92" t="s">
        <v>1289</v>
      </c>
      <c r="E571" s="92">
        <v>64</v>
      </c>
      <c r="F571" s="92" t="str">
        <f>IF(E571&lt;=20,"0-19",
IF(E571&lt;=50,"20-49",
IF(E571&lt;=80,"50-79","80+")))</f>
        <v>50-79</v>
      </c>
      <c r="G571" s="92" t="s">
        <v>49</v>
      </c>
      <c r="H571" s="92" t="s">
        <v>15</v>
      </c>
      <c r="I571" s="92" t="s">
        <v>1290</v>
      </c>
      <c r="J571" s="114" t="s">
        <v>2311</v>
      </c>
      <c r="K571" s="92" t="s">
        <v>1260</v>
      </c>
      <c r="L571" s="93" t="s">
        <v>1260</v>
      </c>
      <c r="M571" s="93" t="s">
        <v>556</v>
      </c>
      <c r="N571" s="94">
        <v>120000</v>
      </c>
      <c r="O571" s="82" t="s">
        <v>832</v>
      </c>
      <c r="P571" s="170"/>
      <c r="Q571" s="210"/>
    </row>
    <row r="572" spans="1:17" x14ac:dyDescent="0.2">
      <c r="A572" s="139" t="s">
        <v>1502</v>
      </c>
      <c r="B572" s="93">
        <v>200456</v>
      </c>
      <c r="C572" s="82">
        <v>54164</v>
      </c>
      <c r="D572" s="93" t="s">
        <v>1126</v>
      </c>
      <c r="E572" s="93">
        <v>64</v>
      </c>
      <c r="F572" s="93" t="str">
        <f>IF(E572&lt;=20,"0-19",
IF(E572&lt;=50,"20-49",
IF(E572&lt;=80,"50-79","80+")))</f>
        <v>50-79</v>
      </c>
      <c r="G572" s="93" t="s">
        <v>14</v>
      </c>
      <c r="H572" s="93" t="s">
        <v>15</v>
      </c>
      <c r="I572" s="93" t="s">
        <v>842</v>
      </c>
      <c r="J572" s="114" t="s">
        <v>2328</v>
      </c>
      <c r="K572" s="93" t="s">
        <v>880</v>
      </c>
      <c r="L572" s="93" t="s">
        <v>880</v>
      </c>
      <c r="M572" s="82" t="s">
        <v>556</v>
      </c>
      <c r="N572" s="94">
        <v>62277</v>
      </c>
      <c r="O572" s="82" t="s">
        <v>832</v>
      </c>
      <c r="P572" s="170"/>
      <c r="Q572" s="210"/>
    </row>
    <row r="573" spans="1:17" x14ac:dyDescent="0.2">
      <c r="A573" s="105" t="s">
        <v>856</v>
      </c>
      <c r="B573" s="82">
        <v>2013651</v>
      </c>
      <c r="C573" s="82">
        <v>103617</v>
      </c>
      <c r="D573" s="82" t="s">
        <v>2005</v>
      </c>
      <c r="E573" s="82">
        <v>61</v>
      </c>
      <c r="F573" s="82" t="str">
        <f>IF(E573&lt;=20,"0-19",
IF(E573&lt;=50,"20-49",
IF(E573&lt;=80,"50-79","80+")))</f>
        <v>50-79</v>
      </c>
      <c r="G573" s="82" t="s">
        <v>49</v>
      </c>
      <c r="H573" s="82" t="s">
        <v>15</v>
      </c>
      <c r="I573" s="82" t="s">
        <v>164</v>
      </c>
      <c r="J573" s="82" t="s">
        <v>2322</v>
      </c>
      <c r="K573" s="92" t="s">
        <v>1908</v>
      </c>
      <c r="L573" s="82" t="s">
        <v>1908</v>
      </c>
      <c r="M573" s="82" t="s">
        <v>556</v>
      </c>
      <c r="N573" s="151">
        <v>45000</v>
      </c>
      <c r="O573" s="151" t="s">
        <v>2254</v>
      </c>
      <c r="P573" s="152">
        <v>254722459249</v>
      </c>
      <c r="Q573" s="210"/>
    </row>
    <row r="574" spans="1:17" x14ac:dyDescent="0.2">
      <c r="A574" s="139" t="s">
        <v>1482</v>
      </c>
      <c r="B574" s="82">
        <v>2504059</v>
      </c>
      <c r="C574" s="82">
        <v>43518</v>
      </c>
      <c r="D574" s="82" t="s">
        <v>1411</v>
      </c>
      <c r="E574" s="82">
        <v>53</v>
      </c>
      <c r="F574" s="82" t="str">
        <f>IF(E574&lt;=20,"0-19",
IF(E574&lt;=50,"20-49",
IF(E574&lt;=80,"50-79","80+")))</f>
        <v>50-79</v>
      </c>
      <c r="G574" s="82" t="s">
        <v>1412</v>
      </c>
      <c r="H574" s="82" t="s">
        <v>15</v>
      </c>
      <c r="I574" s="82" t="s">
        <v>1413</v>
      </c>
      <c r="J574" s="82" t="s">
        <v>2322</v>
      </c>
      <c r="K574" s="82" t="s">
        <v>1288</v>
      </c>
      <c r="L574" s="82" t="s">
        <v>1288</v>
      </c>
      <c r="M574" s="93" t="s">
        <v>556</v>
      </c>
      <c r="N574" s="84">
        <v>10676.49</v>
      </c>
      <c r="O574" s="82" t="s">
        <v>832</v>
      </c>
      <c r="P574" s="170"/>
      <c r="Q574" s="210"/>
    </row>
    <row r="575" spans="1:17" x14ac:dyDescent="0.2">
      <c r="A575" s="139" t="s">
        <v>43</v>
      </c>
      <c r="B575" s="82">
        <v>2021362</v>
      </c>
      <c r="C575" s="82">
        <v>57442</v>
      </c>
      <c r="D575" s="82" t="s">
        <v>1154</v>
      </c>
      <c r="E575" s="82">
        <v>61</v>
      </c>
      <c r="F575" s="82" t="str">
        <f>IF(E575&lt;=20,"0-19",
IF(E575&lt;=50,"20-49",
IF(E575&lt;=80,"50-79","80+")))</f>
        <v>50-79</v>
      </c>
      <c r="G575" s="82" t="s">
        <v>60</v>
      </c>
      <c r="H575" s="82" t="s">
        <v>22</v>
      </c>
      <c r="I575" s="92" t="s">
        <v>1155</v>
      </c>
      <c r="J575" s="92" t="s">
        <v>2322</v>
      </c>
      <c r="K575" s="92" t="s">
        <v>851</v>
      </c>
      <c r="L575" s="82" t="s">
        <v>851</v>
      </c>
      <c r="M575" s="82" t="s">
        <v>556</v>
      </c>
      <c r="N575" s="84">
        <v>31034</v>
      </c>
      <c r="O575" s="82" t="s">
        <v>832</v>
      </c>
      <c r="P575" s="171"/>
      <c r="Q575" s="210" t="s">
        <v>2537</v>
      </c>
    </row>
    <row r="576" spans="1:17" ht="21" x14ac:dyDescent="0.2">
      <c r="A576" s="139" t="s">
        <v>1386</v>
      </c>
      <c r="B576" s="93">
        <v>2017620</v>
      </c>
      <c r="C576" s="82">
        <v>54137</v>
      </c>
      <c r="D576" s="93" t="s">
        <v>1387</v>
      </c>
      <c r="E576" s="93">
        <v>17</v>
      </c>
      <c r="F576" s="93" t="str">
        <f>IF(E576&lt;=20,"0-19",
IF(E576&lt;=50,"20-49",
IF(E576&lt;=80,"50-79","80+")))</f>
        <v>0-19</v>
      </c>
      <c r="G576" s="93" t="s">
        <v>470</v>
      </c>
      <c r="H576" s="93" t="s">
        <v>88</v>
      </c>
      <c r="I576" s="92" t="s">
        <v>471</v>
      </c>
      <c r="J576" s="114" t="s">
        <v>2314</v>
      </c>
      <c r="K576" s="93" t="s">
        <v>1245</v>
      </c>
      <c r="L576" s="93" t="s">
        <v>1232</v>
      </c>
      <c r="M576" s="93" t="s">
        <v>556</v>
      </c>
      <c r="N576" s="94">
        <v>75000</v>
      </c>
      <c r="O576" s="82" t="s">
        <v>832</v>
      </c>
      <c r="P576" s="171"/>
      <c r="Q576" s="210"/>
    </row>
    <row r="577" spans="1:17" x14ac:dyDescent="0.2">
      <c r="A577" s="105" t="s">
        <v>1653</v>
      </c>
      <c r="B577" s="82">
        <v>2019694</v>
      </c>
      <c r="C577" s="82">
        <v>130106</v>
      </c>
      <c r="D577" s="82" t="s">
        <v>2180</v>
      </c>
      <c r="E577" s="82">
        <v>42</v>
      </c>
      <c r="F577" s="82" t="str">
        <f>IF(E577&lt;=20,"0-19",
IF(E577&lt;=50,"20-49",
IF(E577&lt;=80,"50-79","80+")))</f>
        <v>20-49</v>
      </c>
      <c r="G577" s="82" t="s">
        <v>49</v>
      </c>
      <c r="H577" s="82" t="s">
        <v>15</v>
      </c>
      <c r="I577" s="82" t="s">
        <v>2181</v>
      </c>
      <c r="J577" s="82" t="s">
        <v>2283</v>
      </c>
      <c r="K577" s="92" t="s">
        <v>1922</v>
      </c>
      <c r="L577" s="82" t="s">
        <v>1922</v>
      </c>
      <c r="M577" s="82" t="s">
        <v>556</v>
      </c>
      <c r="N577" s="151">
        <v>203228</v>
      </c>
      <c r="O577" s="151" t="s">
        <v>2254</v>
      </c>
      <c r="P577" s="152">
        <v>254720242011</v>
      </c>
      <c r="Q577" s="210"/>
    </row>
    <row r="578" spans="1:17" x14ac:dyDescent="0.2">
      <c r="A578" s="139" t="s">
        <v>544</v>
      </c>
      <c r="B578" s="82">
        <v>2023609</v>
      </c>
      <c r="C578" s="82">
        <v>21313</v>
      </c>
      <c r="D578" s="82" t="s">
        <v>1156</v>
      </c>
      <c r="E578" s="82">
        <v>49</v>
      </c>
      <c r="F578" s="82" t="str">
        <f>IF(E578&lt;=20,"0-19",
IF(E578&lt;=50,"20-49",
IF(E578&lt;=80,"50-79","80+")))</f>
        <v>20-49</v>
      </c>
      <c r="G578" s="82" t="s">
        <v>49</v>
      </c>
      <c r="H578" s="82" t="s">
        <v>15</v>
      </c>
      <c r="I578" s="82" t="s">
        <v>1157</v>
      </c>
      <c r="J578" s="82" t="s">
        <v>2283</v>
      </c>
      <c r="K578" s="92" t="s">
        <v>919</v>
      </c>
      <c r="L578" s="92" t="s">
        <v>919</v>
      </c>
      <c r="M578" s="82" t="s">
        <v>556</v>
      </c>
      <c r="N578" s="84">
        <v>150000</v>
      </c>
      <c r="O578" s="82" t="s">
        <v>832</v>
      </c>
      <c r="P578" s="170"/>
      <c r="Q578" s="210"/>
    </row>
    <row r="579" spans="1:17" x14ac:dyDescent="0.2">
      <c r="A579" s="103" t="s">
        <v>1940</v>
      </c>
      <c r="B579" s="82">
        <v>2005067</v>
      </c>
      <c r="C579" s="82">
        <v>74710</v>
      </c>
      <c r="D579" s="82" t="s">
        <v>1950</v>
      </c>
      <c r="E579" s="82">
        <v>29</v>
      </c>
      <c r="F579" s="82" t="str">
        <f>IF(E579&lt;=20,"0-19",
IF(E579&lt;=50,"20-49",
IF(E579&lt;=80,"50-79","80+")))</f>
        <v>20-49</v>
      </c>
      <c r="G579" s="82" t="s">
        <v>14</v>
      </c>
      <c r="H579" s="82" t="s">
        <v>15</v>
      </c>
      <c r="I579" s="82" t="s">
        <v>1951</v>
      </c>
      <c r="J579" s="82" t="s">
        <v>2288</v>
      </c>
      <c r="K579" s="92" t="s">
        <v>1921</v>
      </c>
      <c r="L579" s="82" t="s">
        <v>1921</v>
      </c>
      <c r="M579" s="82" t="s">
        <v>1952</v>
      </c>
      <c r="N579" s="151">
        <v>25000</v>
      </c>
      <c r="O579" s="151" t="s">
        <v>2254</v>
      </c>
      <c r="P579" s="152">
        <v>254720981719</v>
      </c>
      <c r="Q579" s="210"/>
    </row>
    <row r="580" spans="1:17" x14ac:dyDescent="0.2">
      <c r="A580" s="103" t="s">
        <v>923</v>
      </c>
      <c r="B580" s="82">
        <v>2013329</v>
      </c>
      <c r="C580" s="82">
        <v>17480</v>
      </c>
      <c r="D580" s="82" t="s">
        <v>2084</v>
      </c>
      <c r="E580" s="82">
        <v>74</v>
      </c>
      <c r="F580" s="82" t="str">
        <f>IF(E580&lt;=20,"0-19",
IF(E580&lt;=50,"20-49",
IF(E580&lt;=80,"50-79","80+")))</f>
        <v>50-79</v>
      </c>
      <c r="G580" s="82" t="s">
        <v>14</v>
      </c>
      <c r="H580" s="82" t="s">
        <v>15</v>
      </c>
      <c r="I580" s="82" t="s">
        <v>2085</v>
      </c>
      <c r="J580" s="82" t="s">
        <v>2328</v>
      </c>
      <c r="K580" s="92" t="s">
        <v>2086</v>
      </c>
      <c r="L580" s="82" t="s">
        <v>1921</v>
      </c>
      <c r="M580" s="82" t="s">
        <v>1952</v>
      </c>
      <c r="N580" s="151">
        <v>84870</v>
      </c>
      <c r="O580" s="151" t="s">
        <v>2254</v>
      </c>
      <c r="P580" s="152">
        <v>254729575525</v>
      </c>
      <c r="Q580" s="210"/>
    </row>
    <row r="581" spans="1:17" x14ac:dyDescent="0.2">
      <c r="A581" s="104" t="s">
        <v>1033</v>
      </c>
      <c r="B581" s="88">
        <v>2505080</v>
      </c>
      <c r="C581" s="87">
        <v>100854</v>
      </c>
      <c r="D581" s="88" t="s">
        <v>2069</v>
      </c>
      <c r="E581" s="88">
        <v>68</v>
      </c>
      <c r="F581" s="88" t="str">
        <f>IF(E581&lt;=20,"0-19",
IF(E581&lt;=50,"20-49",
IF(E581&lt;=80,"50-79","80+")))</f>
        <v>50-79</v>
      </c>
      <c r="G581" s="88" t="s">
        <v>126</v>
      </c>
      <c r="H581" s="88" t="s">
        <v>664</v>
      </c>
      <c r="I581" s="88" t="s">
        <v>2070</v>
      </c>
      <c r="J581" s="82" t="s">
        <v>2270</v>
      </c>
      <c r="K581" s="88" t="s">
        <v>1906</v>
      </c>
      <c r="L581" s="88" t="s">
        <v>1906</v>
      </c>
      <c r="M581" s="86" t="s">
        <v>1952</v>
      </c>
      <c r="N581" s="164">
        <v>80210</v>
      </c>
      <c r="O581" s="164" t="s">
        <v>2254</v>
      </c>
      <c r="P581" s="168">
        <v>254724442391</v>
      </c>
      <c r="Q581" s="210"/>
    </row>
    <row r="582" spans="1:17" x14ac:dyDescent="0.2">
      <c r="A582" s="107" t="s">
        <v>274</v>
      </c>
      <c r="B582" s="82">
        <v>2021278</v>
      </c>
      <c r="C582" s="82">
        <v>56896</v>
      </c>
      <c r="D582" s="82" t="s">
        <v>669</v>
      </c>
      <c r="E582" s="92">
        <v>54</v>
      </c>
      <c r="F582" s="92" t="str">
        <f>IF(E582&lt;=20,"0-19",
IF(E582&lt;=50,"20-49",
IF(E582&lt;=80,"50-79","80+")))</f>
        <v>50-79</v>
      </c>
      <c r="G582" s="82" t="s">
        <v>126</v>
      </c>
      <c r="H582" s="82" t="s">
        <v>664</v>
      </c>
      <c r="I582" s="82" t="s">
        <v>514</v>
      </c>
      <c r="J582" s="82" t="s">
        <v>2295</v>
      </c>
      <c r="K582" s="92" t="s">
        <v>95</v>
      </c>
      <c r="L582" s="92" t="s">
        <v>95</v>
      </c>
      <c r="M582" s="82" t="s">
        <v>670</v>
      </c>
      <c r="N582" s="101">
        <v>43051.64</v>
      </c>
      <c r="O582" s="82" t="s">
        <v>18</v>
      </c>
      <c r="P582" s="170"/>
      <c r="Q582" s="210"/>
    </row>
    <row r="583" spans="1:17" ht="21" x14ac:dyDescent="0.2">
      <c r="A583" s="139" t="s">
        <v>373</v>
      </c>
      <c r="B583" s="82">
        <v>2001578</v>
      </c>
      <c r="C583" s="82">
        <v>18380</v>
      </c>
      <c r="D583" s="82" t="s">
        <v>1163</v>
      </c>
      <c r="E583" s="82">
        <v>62</v>
      </c>
      <c r="F583" s="82" t="str">
        <f>IF(E583&lt;=20,"0-19",
IF(E583&lt;=50,"20-49",
IF(E583&lt;=80,"50-79","80+")))</f>
        <v>50-79</v>
      </c>
      <c r="G583" s="82" t="s">
        <v>60</v>
      </c>
      <c r="H583" s="82" t="s">
        <v>22</v>
      </c>
      <c r="I583" s="92" t="s">
        <v>1164</v>
      </c>
      <c r="J583" s="92" t="s">
        <v>2304</v>
      </c>
      <c r="K583" s="92" t="s">
        <v>1165</v>
      </c>
      <c r="L583" s="82" t="s">
        <v>855</v>
      </c>
      <c r="M583" s="82" t="s">
        <v>623</v>
      </c>
      <c r="N583" s="84">
        <v>80736</v>
      </c>
      <c r="O583" s="82" t="s">
        <v>832</v>
      </c>
      <c r="P583" s="171"/>
      <c r="Q583" s="210"/>
    </row>
    <row r="584" spans="1:17" x14ac:dyDescent="0.2">
      <c r="A584" s="104" t="s">
        <v>1565</v>
      </c>
      <c r="B584" s="87">
        <v>2002228</v>
      </c>
      <c r="C584" s="87">
        <v>31315</v>
      </c>
      <c r="D584" s="87" t="s">
        <v>1285</v>
      </c>
      <c r="E584" s="87">
        <v>72</v>
      </c>
      <c r="F584" s="87" t="str">
        <f>IF(E584&lt;=20,"0-19",
IF(E584&lt;=50,"20-49",
IF(E584&lt;=80,"50-79","80+")))</f>
        <v>50-79</v>
      </c>
      <c r="G584" s="87" t="s">
        <v>60</v>
      </c>
      <c r="H584" s="87" t="s">
        <v>22</v>
      </c>
      <c r="I584" s="87" t="s">
        <v>1914</v>
      </c>
      <c r="J584" s="87" t="s">
        <v>2304</v>
      </c>
      <c r="K584" s="86" t="s">
        <v>1895</v>
      </c>
      <c r="L584" s="87" t="s">
        <v>1895</v>
      </c>
      <c r="M584" s="87" t="s">
        <v>623</v>
      </c>
      <c r="N584" s="161">
        <v>10650</v>
      </c>
      <c r="O584" s="161" t="s">
        <v>2254</v>
      </c>
      <c r="P584" s="168">
        <v>254714272121</v>
      </c>
      <c r="Q584" s="210"/>
    </row>
    <row r="585" spans="1:17" x14ac:dyDescent="0.2">
      <c r="A585" s="139" t="s">
        <v>836</v>
      </c>
      <c r="B585" s="82">
        <v>2502095</v>
      </c>
      <c r="C585" s="82">
        <v>21102</v>
      </c>
      <c r="D585" s="82" t="s">
        <v>665</v>
      </c>
      <c r="E585" s="82">
        <v>57</v>
      </c>
      <c r="F585" s="82" t="str">
        <f>IF(E585&lt;=20,"0-19",
IF(E585&lt;=50,"20-49",
IF(E585&lt;=80,"50-79","80+")))</f>
        <v>50-79</v>
      </c>
      <c r="G585" s="82" t="s">
        <v>60</v>
      </c>
      <c r="H585" s="82" t="s">
        <v>22</v>
      </c>
      <c r="I585" s="82" t="s">
        <v>1440</v>
      </c>
      <c r="J585" s="82" t="s">
        <v>2288</v>
      </c>
      <c r="K585" s="82" t="s">
        <v>1231</v>
      </c>
      <c r="L585" s="82" t="s">
        <v>1231</v>
      </c>
      <c r="M585" s="82" t="s">
        <v>623</v>
      </c>
      <c r="N585" s="84">
        <v>11500</v>
      </c>
      <c r="O585" s="82" t="s">
        <v>832</v>
      </c>
      <c r="P585" s="171"/>
      <c r="Q585" s="210"/>
    </row>
    <row r="586" spans="1:17" x14ac:dyDescent="0.2">
      <c r="A586" s="104" t="s">
        <v>72</v>
      </c>
      <c r="B586" s="114">
        <v>2004283</v>
      </c>
      <c r="C586" s="114">
        <v>13839</v>
      </c>
      <c r="D586" s="114" t="s">
        <v>661</v>
      </c>
      <c r="E586" s="114">
        <v>67</v>
      </c>
      <c r="F586" s="114" t="str">
        <f>IF(E586&lt;=20,"0-19",
IF(E586&lt;=50,"20-49",
IF(E586&lt;=80,"50-79","80+")))</f>
        <v>50-79</v>
      </c>
      <c r="G586" s="114" t="s">
        <v>126</v>
      </c>
      <c r="H586" s="114" t="s">
        <v>22</v>
      </c>
      <c r="I586" s="114" t="s">
        <v>633</v>
      </c>
      <c r="J586" s="114" t="s">
        <v>2295</v>
      </c>
      <c r="K586" s="114" t="s">
        <v>17</v>
      </c>
      <c r="L586" s="114" t="s">
        <v>17</v>
      </c>
      <c r="M586" s="111" t="s">
        <v>623</v>
      </c>
      <c r="N586" s="116">
        <v>11500</v>
      </c>
      <c r="O586" s="87" t="s">
        <v>18</v>
      </c>
      <c r="P586" s="171"/>
      <c r="Q586" s="210"/>
    </row>
    <row r="587" spans="1:17" x14ac:dyDescent="0.2">
      <c r="A587" s="104" t="s">
        <v>72</v>
      </c>
      <c r="B587" s="111">
        <v>2003958</v>
      </c>
      <c r="C587" s="111">
        <v>31482</v>
      </c>
      <c r="D587" s="111" t="s">
        <v>659</v>
      </c>
      <c r="E587" s="111">
        <v>66</v>
      </c>
      <c r="F587" s="111" t="str">
        <f>IF(E587&lt;=20,"0-19",
IF(E587&lt;=50,"20-49",
IF(E587&lt;=80,"50-79","80+")))</f>
        <v>50-79</v>
      </c>
      <c r="G587" s="111" t="s">
        <v>126</v>
      </c>
      <c r="H587" s="111" t="s">
        <v>22</v>
      </c>
      <c r="I587" s="111" t="s">
        <v>633</v>
      </c>
      <c r="J587" s="111" t="s">
        <v>2295</v>
      </c>
      <c r="K587" s="111" t="s">
        <v>17</v>
      </c>
      <c r="L587" s="111" t="s">
        <v>17</v>
      </c>
      <c r="M587" s="111" t="s">
        <v>623</v>
      </c>
      <c r="N587" s="112">
        <v>11500</v>
      </c>
      <c r="O587" s="87" t="s">
        <v>18</v>
      </c>
      <c r="P587" s="171"/>
      <c r="Q587" s="210"/>
    </row>
    <row r="588" spans="1:17" x14ac:dyDescent="0.2">
      <c r="A588" s="103" t="s">
        <v>456</v>
      </c>
      <c r="B588" s="111">
        <v>2010871</v>
      </c>
      <c r="C588" s="111">
        <v>56685</v>
      </c>
      <c r="D588" s="111" t="s">
        <v>678</v>
      </c>
      <c r="E588" s="111">
        <v>63</v>
      </c>
      <c r="F588" s="111" t="str">
        <f>IF(E588&lt;=20,"0-19",
IF(E588&lt;=50,"20-49",
IF(E588&lt;=80,"50-79","80+")))</f>
        <v>50-79</v>
      </c>
      <c r="G588" s="111" t="s">
        <v>126</v>
      </c>
      <c r="H588" s="111" t="s">
        <v>22</v>
      </c>
      <c r="I588" s="111" t="s">
        <v>633</v>
      </c>
      <c r="J588" s="111" t="s">
        <v>2295</v>
      </c>
      <c r="K588" s="111" t="s">
        <v>17</v>
      </c>
      <c r="L588" s="111" t="s">
        <v>17</v>
      </c>
      <c r="M588" s="111" t="s">
        <v>623</v>
      </c>
      <c r="N588" s="112">
        <v>9025</v>
      </c>
      <c r="O588" s="82" t="s">
        <v>18</v>
      </c>
      <c r="P588" s="170"/>
      <c r="Q588" s="210"/>
    </row>
    <row r="589" spans="1:17" x14ac:dyDescent="0.2">
      <c r="A589" s="139" t="s">
        <v>682</v>
      </c>
      <c r="B589" s="114">
        <v>2012620</v>
      </c>
      <c r="C589" s="114">
        <v>102835</v>
      </c>
      <c r="D589" s="114" t="s">
        <v>685</v>
      </c>
      <c r="E589" s="114">
        <v>63</v>
      </c>
      <c r="F589" s="114" t="str">
        <f>IF(E589&lt;=20,"0-19",
IF(E589&lt;=50,"20-49",
IF(E589&lt;=80,"50-79","80+")))</f>
        <v>50-79</v>
      </c>
      <c r="G589" s="114" t="s">
        <v>14</v>
      </c>
      <c r="H589" s="114" t="s">
        <v>15</v>
      </c>
      <c r="I589" s="114" t="s">
        <v>633</v>
      </c>
      <c r="J589" s="114" t="s">
        <v>2295</v>
      </c>
      <c r="K589" s="114" t="s">
        <v>17</v>
      </c>
      <c r="L589" s="114" t="s">
        <v>17</v>
      </c>
      <c r="M589" s="111" t="s">
        <v>623</v>
      </c>
      <c r="N589" s="116">
        <v>10650</v>
      </c>
      <c r="O589" s="82" t="s">
        <v>18</v>
      </c>
      <c r="P589" s="170"/>
      <c r="Q589" s="210"/>
    </row>
    <row r="590" spans="1:17" x14ac:dyDescent="0.2">
      <c r="A590" s="105" t="s">
        <v>1560</v>
      </c>
      <c r="B590" s="92">
        <v>2001823</v>
      </c>
      <c r="C590" s="82">
        <v>10576</v>
      </c>
      <c r="D590" s="92" t="s">
        <v>1561</v>
      </c>
      <c r="E590" s="92">
        <v>72</v>
      </c>
      <c r="F590" s="92" t="str">
        <f>IF(E590&lt;=20,"0-19",
IF(E590&lt;=50,"20-49",
IF(E590&lt;=80,"50-79","80+")))</f>
        <v>50-79</v>
      </c>
      <c r="G590" s="92" t="s">
        <v>126</v>
      </c>
      <c r="H590" s="92" t="s">
        <v>22</v>
      </c>
      <c r="I590" s="92" t="s">
        <v>633</v>
      </c>
      <c r="J590" s="92" t="s">
        <v>2295</v>
      </c>
      <c r="K590" s="92" t="s">
        <v>1562</v>
      </c>
      <c r="L590" s="92" t="s">
        <v>1562</v>
      </c>
      <c r="M590" s="82" t="s">
        <v>623</v>
      </c>
      <c r="N590" s="159">
        <v>10500</v>
      </c>
      <c r="O590" s="159" t="s">
        <v>2254</v>
      </c>
      <c r="P590" s="152">
        <v>254722348407</v>
      </c>
      <c r="Q590" s="210"/>
    </row>
    <row r="591" spans="1:17" x14ac:dyDescent="0.2">
      <c r="A591" s="104" t="s">
        <v>1502</v>
      </c>
      <c r="B591" s="87">
        <v>2003444</v>
      </c>
      <c r="C591" s="87">
        <v>18642</v>
      </c>
      <c r="D591" s="87" t="s">
        <v>680</v>
      </c>
      <c r="E591" s="87">
        <v>63</v>
      </c>
      <c r="F591" s="87" t="str">
        <f>IF(E591&lt;=20,"0-19",
IF(E591&lt;=50,"20-49",
IF(E591&lt;=80,"50-79","80+")))</f>
        <v>50-79</v>
      </c>
      <c r="G591" s="87" t="s">
        <v>60</v>
      </c>
      <c r="H591" s="87" t="s">
        <v>22</v>
      </c>
      <c r="I591" s="86" t="s">
        <v>633</v>
      </c>
      <c r="J591" s="86" t="s">
        <v>2295</v>
      </c>
      <c r="K591" s="87" t="s">
        <v>1549</v>
      </c>
      <c r="L591" s="87" t="s">
        <v>1549</v>
      </c>
      <c r="M591" s="87" t="s">
        <v>623</v>
      </c>
      <c r="N591" s="161">
        <v>9025</v>
      </c>
      <c r="O591" s="161" t="s">
        <v>2254</v>
      </c>
      <c r="P591" s="168">
        <v>254710209301</v>
      </c>
      <c r="Q591" s="210"/>
    </row>
    <row r="592" spans="1:17" x14ac:dyDescent="0.2">
      <c r="A592" s="138" t="s">
        <v>109</v>
      </c>
      <c r="B592" s="113">
        <v>2002228</v>
      </c>
      <c r="C592" s="113">
        <v>31315</v>
      </c>
      <c r="D592" s="114" t="s">
        <v>632</v>
      </c>
      <c r="E592" s="113">
        <v>70</v>
      </c>
      <c r="F592" s="113" t="str">
        <f>IF(E592&lt;=20,"0-19",
IF(E592&lt;=50,"20-49",
IF(E592&lt;=80,"50-79","80+")))</f>
        <v>50-79</v>
      </c>
      <c r="G592" s="113" t="s">
        <v>60</v>
      </c>
      <c r="H592" s="113" t="s">
        <v>22</v>
      </c>
      <c r="I592" s="114" t="s">
        <v>633</v>
      </c>
      <c r="J592" s="114" t="s">
        <v>2295</v>
      </c>
      <c r="K592" s="114" t="s">
        <v>25</v>
      </c>
      <c r="L592" s="113" t="s">
        <v>25</v>
      </c>
      <c r="M592" s="111" t="s">
        <v>623</v>
      </c>
      <c r="N592" s="115">
        <v>10650</v>
      </c>
      <c r="O592" s="87" t="s">
        <v>18</v>
      </c>
      <c r="P592" s="171"/>
      <c r="Q592" s="210"/>
    </row>
    <row r="593" spans="1:17" x14ac:dyDescent="0.2">
      <c r="A593" s="139" t="s">
        <v>687</v>
      </c>
      <c r="B593" s="82">
        <v>2001402</v>
      </c>
      <c r="C593" s="82">
        <v>37163</v>
      </c>
      <c r="D593" s="82" t="s">
        <v>688</v>
      </c>
      <c r="E593" s="82">
        <v>63</v>
      </c>
      <c r="F593" s="82" t="str">
        <f>IF(E593&lt;=20,"0-19",
IF(E593&lt;=50,"20-49",
IF(E593&lt;=80,"50-79","80+")))</f>
        <v>50-79</v>
      </c>
      <c r="G593" s="82" t="s">
        <v>60</v>
      </c>
      <c r="H593" s="82" t="s">
        <v>22</v>
      </c>
      <c r="I593" s="92" t="s">
        <v>633</v>
      </c>
      <c r="J593" s="92" t="s">
        <v>2295</v>
      </c>
      <c r="K593" s="92" t="s">
        <v>846</v>
      </c>
      <c r="L593" s="82" t="s">
        <v>846</v>
      </c>
      <c r="M593" s="82" t="s">
        <v>623</v>
      </c>
      <c r="N593" s="84">
        <v>13000</v>
      </c>
      <c r="O593" s="82" t="s">
        <v>832</v>
      </c>
      <c r="P593" s="170"/>
      <c r="Q593" s="210"/>
    </row>
    <row r="594" spans="1:17" x14ac:dyDescent="0.2">
      <c r="A594" s="139" t="s">
        <v>544</v>
      </c>
      <c r="B594" s="82">
        <v>2012620</v>
      </c>
      <c r="C594" s="82">
        <v>102835</v>
      </c>
      <c r="D594" s="82" t="s">
        <v>686</v>
      </c>
      <c r="E594" s="82">
        <v>64</v>
      </c>
      <c r="F594" s="82" t="str">
        <f>IF(E594&lt;=20,"0-19",
IF(E594&lt;=50,"20-49",
IF(E594&lt;=80,"50-79","80+")))</f>
        <v>50-79</v>
      </c>
      <c r="G594" s="82" t="s">
        <v>49</v>
      </c>
      <c r="H594" s="82" t="s">
        <v>15</v>
      </c>
      <c r="I594" s="92" t="s">
        <v>633</v>
      </c>
      <c r="J594" s="92" t="s">
        <v>2295</v>
      </c>
      <c r="K594" s="92" t="s">
        <v>846</v>
      </c>
      <c r="L594" s="82" t="s">
        <v>846</v>
      </c>
      <c r="M594" s="82" t="s">
        <v>623</v>
      </c>
      <c r="N594" s="84">
        <v>9500</v>
      </c>
      <c r="O594" s="82" t="s">
        <v>832</v>
      </c>
      <c r="P594" s="171"/>
      <c r="Q594" s="210"/>
    </row>
    <row r="595" spans="1:17" x14ac:dyDescent="0.2">
      <c r="A595" s="104" t="s">
        <v>687</v>
      </c>
      <c r="B595" s="87">
        <v>2001404</v>
      </c>
      <c r="C595" s="87">
        <v>37163</v>
      </c>
      <c r="D595" s="87" t="s">
        <v>688</v>
      </c>
      <c r="E595" s="87">
        <v>63</v>
      </c>
      <c r="F595" s="87" t="str">
        <f>IF(E595&lt;=20,"0-19",
IF(E595&lt;=50,"20-49",
IF(E595&lt;=80,"50-79","80+")))</f>
        <v>50-79</v>
      </c>
      <c r="G595" s="87" t="s">
        <v>126</v>
      </c>
      <c r="H595" s="87" t="s">
        <v>22</v>
      </c>
      <c r="I595" s="86" t="s">
        <v>633</v>
      </c>
      <c r="J595" s="86" t="s">
        <v>2295</v>
      </c>
      <c r="K595" s="87" t="s">
        <v>1556</v>
      </c>
      <c r="L595" s="87" t="s">
        <v>1556</v>
      </c>
      <c r="M595" s="87" t="s">
        <v>623</v>
      </c>
      <c r="N595" s="161">
        <v>13000</v>
      </c>
      <c r="O595" s="161" t="s">
        <v>2254</v>
      </c>
      <c r="P595" s="168">
        <v>254715509227</v>
      </c>
      <c r="Q595" s="210"/>
    </row>
    <row r="596" spans="1:17" x14ac:dyDescent="0.2">
      <c r="A596" s="104" t="s">
        <v>544</v>
      </c>
      <c r="B596" s="87">
        <v>2012620</v>
      </c>
      <c r="C596" s="87">
        <v>102835</v>
      </c>
      <c r="D596" s="87" t="s">
        <v>686</v>
      </c>
      <c r="E596" s="87">
        <v>64</v>
      </c>
      <c r="F596" s="87" t="str">
        <f>IF(E596&lt;=20,"0-19",
IF(E596&lt;=50,"20-49",
IF(E596&lt;=80,"50-79","80+")))</f>
        <v>50-79</v>
      </c>
      <c r="G596" s="87" t="s">
        <v>14</v>
      </c>
      <c r="H596" s="87" t="s">
        <v>706</v>
      </c>
      <c r="I596" s="86" t="s">
        <v>633</v>
      </c>
      <c r="J596" s="86" t="s">
        <v>2295</v>
      </c>
      <c r="K596" s="87" t="s">
        <v>1557</v>
      </c>
      <c r="L596" s="87" t="s">
        <v>1556</v>
      </c>
      <c r="M596" s="87" t="s">
        <v>623</v>
      </c>
      <c r="N596" s="161">
        <v>9500</v>
      </c>
      <c r="O596" s="161" t="s">
        <v>2254</v>
      </c>
      <c r="P596" s="168">
        <v>254759231438</v>
      </c>
      <c r="Q596" s="210"/>
    </row>
    <row r="597" spans="1:17" ht="21" x14ac:dyDescent="0.2">
      <c r="A597" s="103" t="s">
        <v>75</v>
      </c>
      <c r="B597" s="113">
        <v>2017742</v>
      </c>
      <c r="C597" s="113">
        <v>37239</v>
      </c>
      <c r="D597" s="114" t="s">
        <v>675</v>
      </c>
      <c r="E597" s="113">
        <v>63</v>
      </c>
      <c r="F597" s="113" t="str">
        <f>IF(E597&lt;=20,"0-19",
IF(E597&lt;=50,"20-49",
IF(E597&lt;=80,"50-79","80+")))</f>
        <v>50-79</v>
      </c>
      <c r="G597" s="113" t="s">
        <v>60</v>
      </c>
      <c r="H597" s="113" t="s">
        <v>22</v>
      </c>
      <c r="I597" s="114" t="s">
        <v>633</v>
      </c>
      <c r="J597" s="114" t="s">
        <v>2295</v>
      </c>
      <c r="K597" s="114" t="s">
        <v>676</v>
      </c>
      <c r="L597" s="113" t="s">
        <v>51</v>
      </c>
      <c r="M597" s="111" t="s">
        <v>623</v>
      </c>
      <c r="N597" s="115">
        <v>9025</v>
      </c>
      <c r="O597" s="82" t="s">
        <v>18</v>
      </c>
      <c r="P597" s="170"/>
      <c r="Q597" s="210"/>
    </row>
    <row r="598" spans="1:17" x14ac:dyDescent="0.2">
      <c r="A598" s="139" t="s">
        <v>682</v>
      </c>
      <c r="B598" s="113">
        <v>2012620</v>
      </c>
      <c r="C598" s="113">
        <v>102835</v>
      </c>
      <c r="D598" s="114" t="s">
        <v>685</v>
      </c>
      <c r="E598" s="113">
        <v>64</v>
      </c>
      <c r="F598" s="113" t="str">
        <f>IF(E598&lt;=20,"0-19",
IF(E598&lt;=50,"20-49",
IF(E598&lt;=80,"50-79","80+")))</f>
        <v>50-79</v>
      </c>
      <c r="G598" s="113" t="s">
        <v>49</v>
      </c>
      <c r="H598" s="113" t="s">
        <v>15</v>
      </c>
      <c r="I598" s="114" t="s">
        <v>633</v>
      </c>
      <c r="J598" s="114" t="s">
        <v>2295</v>
      </c>
      <c r="K598" s="114" t="s">
        <v>51</v>
      </c>
      <c r="L598" s="113" t="s">
        <v>51</v>
      </c>
      <c r="M598" s="111" t="s">
        <v>623</v>
      </c>
      <c r="N598" s="115">
        <v>10650</v>
      </c>
      <c r="O598" s="87" t="s">
        <v>18</v>
      </c>
      <c r="P598" s="171"/>
      <c r="Q598" s="210"/>
    </row>
    <row r="599" spans="1:17" x14ac:dyDescent="0.2">
      <c r="A599" s="105" t="s">
        <v>72</v>
      </c>
      <c r="B599" s="113">
        <v>2004283</v>
      </c>
      <c r="C599" s="113">
        <v>13839</v>
      </c>
      <c r="D599" s="114" t="s">
        <v>662</v>
      </c>
      <c r="E599" s="113">
        <v>68</v>
      </c>
      <c r="F599" s="113" t="str">
        <f>IF(E599&lt;=20,"0-19",
IF(E599&lt;=50,"20-49",
IF(E599&lt;=80,"50-79","80+")))</f>
        <v>50-79</v>
      </c>
      <c r="G599" s="113" t="s">
        <v>60</v>
      </c>
      <c r="H599" s="113" t="s">
        <v>22</v>
      </c>
      <c r="I599" s="114" t="s">
        <v>633</v>
      </c>
      <c r="J599" s="114" t="s">
        <v>2295</v>
      </c>
      <c r="K599" s="114" t="s">
        <v>52</v>
      </c>
      <c r="L599" s="113" t="s">
        <v>52</v>
      </c>
      <c r="M599" s="111" t="s">
        <v>623</v>
      </c>
      <c r="N599" s="115">
        <v>11500</v>
      </c>
      <c r="O599" s="82" t="s">
        <v>18</v>
      </c>
      <c r="P599" s="170"/>
      <c r="Q599" s="210"/>
    </row>
    <row r="600" spans="1:17" x14ac:dyDescent="0.2">
      <c r="A600" s="139" t="s">
        <v>544</v>
      </c>
      <c r="B600" s="82">
        <v>2012620</v>
      </c>
      <c r="C600" s="82">
        <v>102835</v>
      </c>
      <c r="D600" s="82" t="s">
        <v>685</v>
      </c>
      <c r="E600" s="82">
        <v>64</v>
      </c>
      <c r="F600" s="82" t="str">
        <f>IF(E600&lt;=20,"0-19",
IF(E600&lt;=50,"20-49",
IF(E600&lt;=80,"50-79","80+")))</f>
        <v>50-79</v>
      </c>
      <c r="G600" s="82" t="s">
        <v>49</v>
      </c>
      <c r="H600" s="82" t="s">
        <v>15</v>
      </c>
      <c r="I600" s="92" t="s">
        <v>633</v>
      </c>
      <c r="J600" s="92" t="s">
        <v>2295</v>
      </c>
      <c r="K600" s="92" t="s">
        <v>855</v>
      </c>
      <c r="L600" s="82" t="s">
        <v>855</v>
      </c>
      <c r="M600" s="82" t="s">
        <v>623</v>
      </c>
      <c r="N600" s="84">
        <v>9500</v>
      </c>
      <c r="O600" s="82" t="s">
        <v>832</v>
      </c>
      <c r="P600" s="170"/>
      <c r="Q600" s="210"/>
    </row>
    <row r="601" spans="1:17" x14ac:dyDescent="0.2">
      <c r="A601" s="104" t="s">
        <v>544</v>
      </c>
      <c r="B601" s="87">
        <v>2012620</v>
      </c>
      <c r="C601" s="87">
        <v>102835</v>
      </c>
      <c r="D601" s="87" t="s">
        <v>686</v>
      </c>
      <c r="E601" s="87">
        <v>63</v>
      </c>
      <c r="F601" s="87" t="str">
        <f>IF(E601&lt;=20,"0-19",
IF(E601&lt;=50,"20-49",
IF(E601&lt;=80,"50-79","80+")))</f>
        <v>50-79</v>
      </c>
      <c r="G601" s="87" t="s">
        <v>49</v>
      </c>
      <c r="H601" s="87" t="s">
        <v>15</v>
      </c>
      <c r="I601" s="86" t="s">
        <v>633</v>
      </c>
      <c r="J601" s="86" t="s">
        <v>2295</v>
      </c>
      <c r="K601" s="87" t="s">
        <v>1543</v>
      </c>
      <c r="L601" s="87" t="s">
        <v>1543</v>
      </c>
      <c r="M601" s="87" t="s">
        <v>623</v>
      </c>
      <c r="N601" s="161">
        <v>9500</v>
      </c>
      <c r="O601" s="161" t="s">
        <v>2254</v>
      </c>
      <c r="P601" s="168">
        <v>254759231438</v>
      </c>
      <c r="Q601" s="210"/>
    </row>
    <row r="602" spans="1:17" ht="21" x14ac:dyDescent="0.2">
      <c r="A602" s="138" t="s">
        <v>228</v>
      </c>
      <c r="B602" s="113">
        <v>2001033</v>
      </c>
      <c r="C602" s="113">
        <v>5326</v>
      </c>
      <c r="D602" s="114" t="s">
        <v>638</v>
      </c>
      <c r="E602" s="113">
        <v>18</v>
      </c>
      <c r="F602" s="113" t="str">
        <f>IF(E602&lt;=20,"0-19",
IF(E602&lt;=50,"20-49",
IF(E602&lt;=80,"50-79","80+")))</f>
        <v>0-19</v>
      </c>
      <c r="G602" s="113" t="s">
        <v>60</v>
      </c>
      <c r="H602" s="113" t="s">
        <v>132</v>
      </c>
      <c r="I602" s="114" t="s">
        <v>633</v>
      </c>
      <c r="J602" s="114" t="s">
        <v>2295</v>
      </c>
      <c r="K602" s="114" t="s">
        <v>639</v>
      </c>
      <c r="L602" s="113" t="s">
        <v>36</v>
      </c>
      <c r="M602" s="111" t="s">
        <v>623</v>
      </c>
      <c r="N602" s="115">
        <v>8129.66</v>
      </c>
      <c r="O602" s="82" t="s">
        <v>18</v>
      </c>
      <c r="P602" s="170"/>
      <c r="Q602" s="210"/>
    </row>
    <row r="603" spans="1:17" x14ac:dyDescent="0.2">
      <c r="A603" s="139" t="s">
        <v>682</v>
      </c>
      <c r="B603" s="113">
        <v>2012620</v>
      </c>
      <c r="C603" s="113">
        <v>102835</v>
      </c>
      <c r="D603" s="114" t="s">
        <v>686</v>
      </c>
      <c r="E603" s="113">
        <v>64</v>
      </c>
      <c r="F603" s="113" t="str">
        <f>IF(E603&lt;=20,"0-19",
IF(E603&lt;=50,"20-49",
IF(E603&lt;=80,"50-79","80+")))</f>
        <v>50-79</v>
      </c>
      <c r="G603" s="113" t="s">
        <v>49</v>
      </c>
      <c r="H603" s="113" t="s">
        <v>15</v>
      </c>
      <c r="I603" s="114" t="s">
        <v>633</v>
      </c>
      <c r="J603" s="114" t="s">
        <v>2295</v>
      </c>
      <c r="K603" s="114" t="s">
        <v>37</v>
      </c>
      <c r="L603" s="113" t="s">
        <v>37</v>
      </c>
      <c r="M603" s="114" t="s">
        <v>623</v>
      </c>
      <c r="N603" s="115">
        <v>10650</v>
      </c>
      <c r="O603" s="82" t="s">
        <v>18</v>
      </c>
      <c r="P603" s="170"/>
      <c r="Q603" s="210"/>
    </row>
    <row r="604" spans="1:17" ht="21" x14ac:dyDescent="0.2">
      <c r="A604" s="139" t="s">
        <v>687</v>
      </c>
      <c r="B604" s="82">
        <v>2001404</v>
      </c>
      <c r="C604" s="82">
        <v>37163</v>
      </c>
      <c r="D604" s="82" t="s">
        <v>1161</v>
      </c>
      <c r="E604" s="82">
        <v>63</v>
      </c>
      <c r="F604" s="82" t="str">
        <f>IF(E604&lt;=20,"0-19",
IF(E604&lt;=50,"20-49",
IF(E604&lt;=80,"50-79","80+")))</f>
        <v>50-79</v>
      </c>
      <c r="G604" s="82" t="s">
        <v>60</v>
      </c>
      <c r="H604" s="82" t="s">
        <v>22</v>
      </c>
      <c r="I604" s="82" t="s">
        <v>633</v>
      </c>
      <c r="J604" s="82" t="s">
        <v>2295</v>
      </c>
      <c r="K604" s="92" t="s">
        <v>1162</v>
      </c>
      <c r="L604" s="92" t="s">
        <v>859</v>
      </c>
      <c r="M604" s="82" t="s">
        <v>623</v>
      </c>
      <c r="N604" s="84">
        <v>13000</v>
      </c>
      <c r="O604" s="82" t="s">
        <v>832</v>
      </c>
      <c r="P604" s="171"/>
      <c r="Q604" s="210"/>
    </row>
    <row r="605" spans="1:17" x14ac:dyDescent="0.2">
      <c r="A605" s="139" t="s">
        <v>456</v>
      </c>
      <c r="B605" s="82">
        <v>2010871</v>
      </c>
      <c r="C605" s="82">
        <v>56685</v>
      </c>
      <c r="D605" s="82" t="s">
        <v>678</v>
      </c>
      <c r="E605" s="82">
        <v>63</v>
      </c>
      <c r="F605" s="82" t="str">
        <f>IF(E605&lt;=20,"0-19",
IF(E605&lt;=50,"20-49",
IF(E605&lt;=80,"50-79","80+")))</f>
        <v>50-79</v>
      </c>
      <c r="G605" s="82" t="s">
        <v>60</v>
      </c>
      <c r="H605" s="82" t="s">
        <v>22</v>
      </c>
      <c r="I605" s="82" t="s">
        <v>633</v>
      </c>
      <c r="J605" s="82" t="s">
        <v>2295</v>
      </c>
      <c r="K605" s="92" t="s">
        <v>859</v>
      </c>
      <c r="L605" s="92" t="s">
        <v>859</v>
      </c>
      <c r="M605" s="82" t="s">
        <v>623</v>
      </c>
      <c r="N605" s="84">
        <v>9025</v>
      </c>
      <c r="O605" s="82" t="s">
        <v>832</v>
      </c>
      <c r="P605" s="171"/>
      <c r="Q605" s="210"/>
    </row>
    <row r="606" spans="1:17" x14ac:dyDescent="0.2">
      <c r="A606" s="104" t="s">
        <v>1502</v>
      </c>
      <c r="B606" s="87">
        <v>2003444</v>
      </c>
      <c r="C606" s="87">
        <v>18642</v>
      </c>
      <c r="D606" s="87" t="s">
        <v>680</v>
      </c>
      <c r="E606" s="87">
        <v>63</v>
      </c>
      <c r="F606" s="87" t="str">
        <f>IF(E606&lt;=20,"0-19",
IF(E606&lt;=50,"20-49",
IF(E606&lt;=80,"50-79","80+")))</f>
        <v>50-79</v>
      </c>
      <c r="G606" s="87" t="s">
        <v>60</v>
      </c>
      <c r="H606" s="87" t="s">
        <v>22</v>
      </c>
      <c r="I606" s="86" t="s">
        <v>633</v>
      </c>
      <c r="J606" s="86" t="s">
        <v>2295</v>
      </c>
      <c r="K606" s="87" t="s">
        <v>1550</v>
      </c>
      <c r="L606" s="87" t="s">
        <v>1551</v>
      </c>
      <c r="M606" s="87" t="s">
        <v>623</v>
      </c>
      <c r="N606" s="161">
        <v>9025</v>
      </c>
      <c r="O606" s="161" t="s">
        <v>2254</v>
      </c>
      <c r="P606" s="168">
        <v>254722505895</v>
      </c>
      <c r="Q606" s="210"/>
    </row>
    <row r="607" spans="1:17" x14ac:dyDescent="0.2">
      <c r="A607" s="105" t="s">
        <v>687</v>
      </c>
      <c r="B607" s="82">
        <v>2001404</v>
      </c>
      <c r="C607" s="82">
        <v>37163</v>
      </c>
      <c r="D607" s="82" t="s">
        <v>688</v>
      </c>
      <c r="E607" s="82">
        <v>63</v>
      </c>
      <c r="F607" s="82" t="str">
        <f>IF(E607&lt;=20,"0-19",
IF(E607&lt;=50,"20-49",
IF(E607&lt;=80,"50-79","80+")))</f>
        <v>50-79</v>
      </c>
      <c r="G607" s="82" t="s">
        <v>60</v>
      </c>
      <c r="H607" s="82" t="s">
        <v>22</v>
      </c>
      <c r="I607" s="92" t="s">
        <v>633</v>
      </c>
      <c r="J607" s="92" t="s">
        <v>2295</v>
      </c>
      <c r="K607" s="82" t="s">
        <v>1559</v>
      </c>
      <c r="L607" s="82" t="s">
        <v>1559</v>
      </c>
      <c r="M607" s="82" t="s">
        <v>623</v>
      </c>
      <c r="N607" s="151">
        <v>13000</v>
      </c>
      <c r="O607" s="151" t="s">
        <v>2254</v>
      </c>
      <c r="P607" s="152">
        <v>254715509227</v>
      </c>
      <c r="Q607" s="210"/>
    </row>
    <row r="608" spans="1:17" x14ac:dyDescent="0.2">
      <c r="A608" s="139" t="s">
        <v>682</v>
      </c>
      <c r="B608" s="87">
        <v>2012620</v>
      </c>
      <c r="C608" s="87">
        <v>102835</v>
      </c>
      <c r="D608" s="87" t="s">
        <v>686</v>
      </c>
      <c r="E608" s="86">
        <v>64</v>
      </c>
      <c r="F608" s="86" t="str">
        <f>IF(E608&lt;=20,"0-19",
IF(E608&lt;=50,"20-49",
IF(E608&lt;=80,"50-79","80+")))</f>
        <v>50-79</v>
      </c>
      <c r="G608" s="87" t="s">
        <v>49</v>
      </c>
      <c r="H608" s="87" t="s">
        <v>15</v>
      </c>
      <c r="I608" s="87" t="s">
        <v>633</v>
      </c>
      <c r="J608" s="87" t="s">
        <v>2295</v>
      </c>
      <c r="K608" s="86" t="s">
        <v>79</v>
      </c>
      <c r="L608" s="86" t="s">
        <v>79</v>
      </c>
      <c r="M608" s="87" t="s">
        <v>623</v>
      </c>
      <c r="N608" s="97">
        <v>10650</v>
      </c>
      <c r="O608" s="87" t="s">
        <v>18</v>
      </c>
      <c r="P608" s="171"/>
      <c r="Q608" s="210"/>
    </row>
    <row r="609" spans="1:17" x14ac:dyDescent="0.2">
      <c r="A609" s="139" t="s">
        <v>544</v>
      </c>
      <c r="B609" s="93">
        <v>2012620</v>
      </c>
      <c r="C609" s="82">
        <v>102835</v>
      </c>
      <c r="D609" s="93" t="s">
        <v>686</v>
      </c>
      <c r="E609" s="93">
        <v>64</v>
      </c>
      <c r="F609" s="93" t="str">
        <f>IF(E609&lt;=20,"0-19",
IF(E609&lt;=50,"20-49",
IF(E609&lt;=80,"50-79","80+")))</f>
        <v>50-79</v>
      </c>
      <c r="G609" s="93" t="s">
        <v>49</v>
      </c>
      <c r="H609" s="93" t="s">
        <v>15</v>
      </c>
      <c r="I609" s="93" t="s">
        <v>633</v>
      </c>
      <c r="J609" s="93" t="s">
        <v>2295</v>
      </c>
      <c r="K609" s="93" t="s">
        <v>1260</v>
      </c>
      <c r="L609" s="93" t="s">
        <v>1260</v>
      </c>
      <c r="M609" s="82" t="s">
        <v>623</v>
      </c>
      <c r="N609" s="94">
        <v>9500</v>
      </c>
      <c r="O609" s="82" t="s">
        <v>832</v>
      </c>
      <c r="P609" s="171"/>
      <c r="Q609" s="210"/>
    </row>
    <row r="610" spans="1:17" x14ac:dyDescent="0.2">
      <c r="A610" s="139" t="s">
        <v>874</v>
      </c>
      <c r="B610" s="82">
        <v>2002228</v>
      </c>
      <c r="C610" s="82">
        <v>31315</v>
      </c>
      <c r="D610" s="82" t="s">
        <v>1285</v>
      </c>
      <c r="E610" s="82">
        <v>72</v>
      </c>
      <c r="F610" s="82" t="str">
        <f>IF(E610&lt;=20,"0-19",
IF(E610&lt;=50,"20-49",
IF(E610&lt;=80,"50-79","80+")))</f>
        <v>50-79</v>
      </c>
      <c r="G610" s="82" t="s">
        <v>60</v>
      </c>
      <c r="H610" s="82" t="s">
        <v>22</v>
      </c>
      <c r="I610" s="92" t="s">
        <v>633</v>
      </c>
      <c r="J610" s="92" t="s">
        <v>2295</v>
      </c>
      <c r="K610" s="92" t="s">
        <v>1238</v>
      </c>
      <c r="L610" s="92" t="s">
        <v>1238</v>
      </c>
      <c r="M610" s="82" t="s">
        <v>623</v>
      </c>
      <c r="N610" s="84">
        <v>10650</v>
      </c>
      <c r="O610" s="82" t="s">
        <v>832</v>
      </c>
      <c r="P610" s="171"/>
      <c r="Q610" s="210"/>
    </row>
    <row r="611" spans="1:17" ht="21" x14ac:dyDescent="0.2">
      <c r="A611" s="139" t="s">
        <v>1482</v>
      </c>
      <c r="B611" s="82">
        <v>2511271</v>
      </c>
      <c r="C611" s="82">
        <v>62552</v>
      </c>
      <c r="D611" s="82" t="s">
        <v>1486</v>
      </c>
      <c r="E611" s="82">
        <v>14</v>
      </c>
      <c r="F611" s="82" t="str">
        <f>IF(E611&lt;=20,"0-19",
IF(E611&lt;=50,"20-49",
IF(E611&lt;=80,"50-79","80+")))</f>
        <v>0-19</v>
      </c>
      <c r="G611" s="82" t="s">
        <v>60</v>
      </c>
      <c r="H611" s="82" t="s">
        <v>132</v>
      </c>
      <c r="I611" s="92" t="s">
        <v>633</v>
      </c>
      <c r="J611" s="92" t="s">
        <v>2295</v>
      </c>
      <c r="K611" s="92" t="s">
        <v>1487</v>
      </c>
      <c r="L611" s="92" t="s">
        <v>1238</v>
      </c>
      <c r="M611" s="82" t="s">
        <v>623</v>
      </c>
      <c r="N611" s="84">
        <v>9025</v>
      </c>
      <c r="O611" s="82" t="s">
        <v>832</v>
      </c>
      <c r="P611" s="170"/>
      <c r="Q611" s="210"/>
    </row>
    <row r="612" spans="1:17" x14ac:dyDescent="0.2">
      <c r="A612" s="108" t="s">
        <v>274</v>
      </c>
      <c r="B612" s="88">
        <v>2405040</v>
      </c>
      <c r="C612" s="88">
        <v>31911</v>
      </c>
      <c r="D612" s="88" t="s">
        <v>681</v>
      </c>
      <c r="E612" s="88">
        <v>63</v>
      </c>
      <c r="F612" s="88" t="str">
        <f>IF(E612&lt;=20,"0-19",
IF(E612&lt;=50,"20-49",
IF(E612&lt;=80,"50-79","80+")))</f>
        <v>50-79</v>
      </c>
      <c r="G612" s="88" t="s">
        <v>60</v>
      </c>
      <c r="H612" s="88" t="s">
        <v>22</v>
      </c>
      <c r="I612" s="88" t="s">
        <v>633</v>
      </c>
      <c r="J612" s="88" t="s">
        <v>2295</v>
      </c>
      <c r="K612" s="88" t="s">
        <v>99</v>
      </c>
      <c r="L612" s="88" t="s">
        <v>99</v>
      </c>
      <c r="M612" s="88" t="s">
        <v>623</v>
      </c>
      <c r="N612" s="90">
        <v>9025</v>
      </c>
      <c r="O612" s="87" t="s">
        <v>18</v>
      </c>
      <c r="P612" s="171"/>
      <c r="Q612" s="210"/>
    </row>
    <row r="613" spans="1:17" x14ac:dyDescent="0.2">
      <c r="A613" s="108" t="s">
        <v>274</v>
      </c>
      <c r="B613" s="88">
        <v>2407151</v>
      </c>
      <c r="C613" s="88">
        <v>60104</v>
      </c>
      <c r="D613" s="88" t="s">
        <v>747</v>
      </c>
      <c r="E613" s="88">
        <v>59</v>
      </c>
      <c r="F613" s="88" t="str">
        <f>IF(E613&lt;=20,"0-19",
IF(E613&lt;=50,"20-49",
IF(E613&lt;=80,"50-79","80+")))</f>
        <v>50-79</v>
      </c>
      <c r="G613" s="88" t="s">
        <v>60</v>
      </c>
      <c r="H613" s="88" t="s">
        <v>22</v>
      </c>
      <c r="I613" s="88" t="s">
        <v>633</v>
      </c>
      <c r="J613" s="88" t="s">
        <v>2295</v>
      </c>
      <c r="K613" s="88" t="s">
        <v>99</v>
      </c>
      <c r="L613" s="88" t="s">
        <v>99</v>
      </c>
      <c r="M613" s="88" t="s">
        <v>623</v>
      </c>
      <c r="N613" s="90">
        <v>9025</v>
      </c>
      <c r="O613" s="87" t="s">
        <v>18</v>
      </c>
      <c r="P613" s="171"/>
      <c r="Q613" s="210"/>
    </row>
    <row r="614" spans="1:17" x14ac:dyDescent="0.2">
      <c r="A614" s="139" t="s">
        <v>682</v>
      </c>
      <c r="B614" s="93">
        <v>2012620</v>
      </c>
      <c r="C614" s="93">
        <v>102835</v>
      </c>
      <c r="D614" s="93" t="s">
        <v>685</v>
      </c>
      <c r="E614" s="93">
        <v>64</v>
      </c>
      <c r="F614" s="93" t="str">
        <f>IF(E614&lt;=20,"0-19",
IF(E614&lt;=50,"20-49",
IF(E614&lt;=80,"50-79","80+")))</f>
        <v>50-79</v>
      </c>
      <c r="G614" s="93" t="s">
        <v>49</v>
      </c>
      <c r="H614" s="93" t="s">
        <v>15</v>
      </c>
      <c r="I614" s="93" t="s">
        <v>633</v>
      </c>
      <c r="J614" s="93" t="s">
        <v>2295</v>
      </c>
      <c r="K614" s="93" t="s">
        <v>99</v>
      </c>
      <c r="L614" s="93" t="s">
        <v>99</v>
      </c>
      <c r="M614" s="93" t="s">
        <v>623</v>
      </c>
      <c r="N614" s="94">
        <v>10650</v>
      </c>
      <c r="O614" s="82" t="s">
        <v>18</v>
      </c>
      <c r="P614" s="170"/>
      <c r="Q614" s="210"/>
    </row>
    <row r="615" spans="1:17" x14ac:dyDescent="0.2">
      <c r="A615" s="139" t="s">
        <v>1503</v>
      </c>
      <c r="B615" s="82">
        <v>2002754</v>
      </c>
      <c r="C615" s="82">
        <v>11467</v>
      </c>
      <c r="D615" s="82" t="s">
        <v>636</v>
      </c>
      <c r="E615" s="82">
        <v>73</v>
      </c>
      <c r="F615" s="82" t="str">
        <f>IF(E615&lt;=20,"0-19",
IF(E615&lt;=50,"20-49",
IF(E615&lt;=80,"50-79","80+")))</f>
        <v>50-79</v>
      </c>
      <c r="G615" s="82" t="s">
        <v>60</v>
      </c>
      <c r="H615" s="82" t="s">
        <v>22</v>
      </c>
      <c r="I615" s="82" t="s">
        <v>633</v>
      </c>
      <c r="J615" s="82" t="s">
        <v>2295</v>
      </c>
      <c r="K615" s="82" t="s">
        <v>1225</v>
      </c>
      <c r="L615" s="82" t="s">
        <v>1225</v>
      </c>
      <c r="M615" s="82" t="s">
        <v>623</v>
      </c>
      <c r="N615" s="84">
        <v>9025</v>
      </c>
      <c r="O615" s="82" t="s">
        <v>832</v>
      </c>
      <c r="P615" s="170"/>
      <c r="Q615" s="210"/>
    </row>
    <row r="616" spans="1:17" x14ac:dyDescent="0.2">
      <c r="A616" s="139" t="s">
        <v>682</v>
      </c>
      <c r="B616" s="82">
        <v>2012620</v>
      </c>
      <c r="C616" s="82">
        <v>102835</v>
      </c>
      <c r="D616" s="82" t="s">
        <v>685</v>
      </c>
      <c r="E616" s="92">
        <v>64</v>
      </c>
      <c r="F616" s="92" t="str">
        <f>IF(E616&lt;=20,"0-19",
IF(E616&lt;=50,"20-49",
IF(E616&lt;=80,"50-79","80+")))</f>
        <v>50-79</v>
      </c>
      <c r="G616" s="82" t="s">
        <v>49</v>
      </c>
      <c r="H616" s="82" t="s">
        <v>15</v>
      </c>
      <c r="I616" s="82" t="s">
        <v>633</v>
      </c>
      <c r="J616" s="82" t="s">
        <v>2295</v>
      </c>
      <c r="K616" s="92" t="s">
        <v>108</v>
      </c>
      <c r="L616" s="92" t="s">
        <v>108</v>
      </c>
      <c r="M616" s="82" t="s">
        <v>623</v>
      </c>
      <c r="N616" s="101">
        <v>10650</v>
      </c>
      <c r="O616" s="82" t="s">
        <v>18</v>
      </c>
      <c r="P616" s="170"/>
      <c r="Q616" s="210"/>
    </row>
    <row r="617" spans="1:17" x14ac:dyDescent="0.2">
      <c r="A617" s="139" t="s">
        <v>456</v>
      </c>
      <c r="B617" s="93">
        <v>2010871</v>
      </c>
      <c r="C617" s="82">
        <v>56685</v>
      </c>
      <c r="D617" s="93" t="s">
        <v>1516</v>
      </c>
      <c r="E617" s="93">
        <v>64</v>
      </c>
      <c r="F617" s="93" t="str">
        <f>IF(E617&lt;=20,"0-19",
IF(E617&lt;=50,"20-49",
IF(E617&lt;=80,"50-79","80+")))</f>
        <v>50-79</v>
      </c>
      <c r="G617" s="93" t="s">
        <v>60</v>
      </c>
      <c r="H617" s="93" t="s">
        <v>22</v>
      </c>
      <c r="I617" s="93" t="s">
        <v>633</v>
      </c>
      <c r="J617" s="93" t="s">
        <v>2295</v>
      </c>
      <c r="K617" s="93" t="s">
        <v>1264</v>
      </c>
      <c r="L617" s="93" t="s">
        <v>1264</v>
      </c>
      <c r="M617" s="82" t="s">
        <v>623</v>
      </c>
      <c r="N617" s="94">
        <v>9025</v>
      </c>
      <c r="O617" s="82" t="s">
        <v>832</v>
      </c>
      <c r="P617" s="171"/>
      <c r="Q617" s="210"/>
    </row>
    <row r="618" spans="1:17" x14ac:dyDescent="0.2">
      <c r="A618" s="103" t="s">
        <v>274</v>
      </c>
      <c r="B618" s="82">
        <v>2405040</v>
      </c>
      <c r="C618" s="82">
        <v>31911</v>
      </c>
      <c r="D618" s="82" t="s">
        <v>681</v>
      </c>
      <c r="E618" s="92">
        <v>63</v>
      </c>
      <c r="F618" s="92" t="str">
        <f>IF(E618&lt;=20,"0-19",
IF(E618&lt;=50,"20-49",
IF(E618&lt;=80,"50-79","80+")))</f>
        <v>50-79</v>
      </c>
      <c r="G618" s="82" t="s">
        <v>60</v>
      </c>
      <c r="H618" s="82" t="s">
        <v>22</v>
      </c>
      <c r="I618" s="82" t="s">
        <v>633</v>
      </c>
      <c r="J618" s="82" t="s">
        <v>2295</v>
      </c>
      <c r="K618" s="92" t="s">
        <v>193</v>
      </c>
      <c r="L618" s="92" t="s">
        <v>748</v>
      </c>
      <c r="M618" s="82" t="s">
        <v>623</v>
      </c>
      <c r="N618" s="101">
        <v>9025</v>
      </c>
      <c r="O618" s="82" t="s">
        <v>18</v>
      </c>
      <c r="P618" s="170"/>
      <c r="Q618" s="210"/>
    </row>
    <row r="619" spans="1:17" x14ac:dyDescent="0.2">
      <c r="A619" s="138" t="s">
        <v>109</v>
      </c>
      <c r="B619" s="113">
        <v>2002228</v>
      </c>
      <c r="C619" s="113">
        <v>31315</v>
      </c>
      <c r="D619" s="114" t="s">
        <v>634</v>
      </c>
      <c r="E619" s="113">
        <v>70</v>
      </c>
      <c r="F619" s="113" t="str">
        <f>IF(E619&lt;=20,"0-19",
IF(E619&lt;=50,"20-49",
IF(E619&lt;=80,"50-79","80+")))</f>
        <v>50-79</v>
      </c>
      <c r="G619" s="113" t="s">
        <v>60</v>
      </c>
      <c r="H619" s="113" t="s">
        <v>22</v>
      </c>
      <c r="I619" s="114" t="s">
        <v>635</v>
      </c>
      <c r="J619" s="114" t="s">
        <v>2295</v>
      </c>
      <c r="K619" s="114" t="s">
        <v>42</v>
      </c>
      <c r="L619" s="113" t="s">
        <v>42</v>
      </c>
      <c r="M619" s="114" t="s">
        <v>623</v>
      </c>
      <c r="N619" s="115">
        <v>10650</v>
      </c>
      <c r="O619" s="82" t="s">
        <v>18</v>
      </c>
      <c r="P619" s="170"/>
      <c r="Q619" s="210"/>
    </row>
    <row r="620" spans="1:17" ht="21" x14ac:dyDescent="0.2">
      <c r="A620" s="108" t="s">
        <v>544</v>
      </c>
      <c r="B620" s="87">
        <v>2001034</v>
      </c>
      <c r="C620" s="87">
        <v>20567</v>
      </c>
      <c r="D620" s="87" t="s">
        <v>690</v>
      </c>
      <c r="E620" s="86">
        <v>76</v>
      </c>
      <c r="F620" s="86" t="str">
        <f>IF(E620&lt;=20,"0-19",
IF(E620&lt;=50,"20-49",
IF(E620&lt;=80,"50-79","80+")))</f>
        <v>50-79</v>
      </c>
      <c r="G620" s="87" t="s">
        <v>60</v>
      </c>
      <c r="H620" s="87" t="s">
        <v>22</v>
      </c>
      <c r="I620" s="87" t="s">
        <v>691</v>
      </c>
      <c r="J620" s="87" t="s">
        <v>2295</v>
      </c>
      <c r="K620" s="86" t="s">
        <v>692</v>
      </c>
      <c r="L620" s="86" t="s">
        <v>31</v>
      </c>
      <c r="M620" s="87" t="s">
        <v>623</v>
      </c>
      <c r="N620" s="97">
        <v>12150</v>
      </c>
      <c r="O620" s="87" t="s">
        <v>18</v>
      </c>
      <c r="P620" s="171"/>
      <c r="Q620" s="210"/>
    </row>
    <row r="621" spans="1:17" x14ac:dyDescent="0.2">
      <c r="A621" s="106" t="s">
        <v>142</v>
      </c>
      <c r="B621" s="86">
        <v>2017509</v>
      </c>
      <c r="C621" s="87">
        <v>19309</v>
      </c>
      <c r="D621" s="86" t="s">
        <v>1896</v>
      </c>
      <c r="E621" s="86">
        <v>64</v>
      </c>
      <c r="F621" s="86" t="str">
        <f>IF(E621&lt;=20,"0-19",
IF(E621&lt;=50,"20-49",
IF(E621&lt;=80,"50-79","80+")))</f>
        <v>50-79</v>
      </c>
      <c r="G621" s="88" t="s">
        <v>126</v>
      </c>
      <c r="H621" s="88" t="s">
        <v>22</v>
      </c>
      <c r="I621" s="86" t="s">
        <v>1897</v>
      </c>
      <c r="J621" s="86" t="s">
        <v>2295</v>
      </c>
      <c r="K621" s="88" t="s">
        <v>1898</v>
      </c>
      <c r="L621" s="88" t="s">
        <v>1898</v>
      </c>
      <c r="M621" s="88" t="s">
        <v>623</v>
      </c>
      <c r="N621" s="164">
        <v>8500</v>
      </c>
      <c r="O621" s="164" t="s">
        <v>2254</v>
      </c>
      <c r="P621" s="168">
        <v>254722271315</v>
      </c>
      <c r="Q621" s="210"/>
    </row>
    <row r="622" spans="1:17" x14ac:dyDescent="0.2">
      <c r="A622" s="139" t="s">
        <v>1502</v>
      </c>
      <c r="B622" s="82">
        <v>2003444</v>
      </c>
      <c r="C622" s="82">
        <v>18642</v>
      </c>
      <c r="D622" s="82" t="s">
        <v>680</v>
      </c>
      <c r="E622" s="82">
        <v>63</v>
      </c>
      <c r="F622" s="82" t="str">
        <f>IF(E622&lt;=20,"0-19",
IF(E622&lt;=50,"20-49",
IF(E622&lt;=80,"50-79","80+")))</f>
        <v>50-79</v>
      </c>
      <c r="G622" s="82" t="s">
        <v>60</v>
      </c>
      <c r="H622" s="82" t="s">
        <v>22</v>
      </c>
      <c r="I622" s="92" t="s">
        <v>833</v>
      </c>
      <c r="J622" s="92" t="s">
        <v>2295</v>
      </c>
      <c r="K622" s="92" t="s">
        <v>855</v>
      </c>
      <c r="L622" s="82" t="s">
        <v>855</v>
      </c>
      <c r="M622" s="82" t="s">
        <v>623</v>
      </c>
      <c r="N622" s="84">
        <v>9025</v>
      </c>
      <c r="O622" s="82" t="s">
        <v>832</v>
      </c>
      <c r="P622" s="171"/>
      <c r="Q622" s="210"/>
    </row>
    <row r="623" spans="1:17" x14ac:dyDescent="0.2">
      <c r="A623" s="105" t="s">
        <v>72</v>
      </c>
      <c r="B623" s="113">
        <v>2003958</v>
      </c>
      <c r="C623" s="113">
        <v>31482</v>
      </c>
      <c r="D623" s="114" t="s">
        <v>496</v>
      </c>
      <c r="E623" s="113">
        <v>67</v>
      </c>
      <c r="F623" s="113" t="str">
        <f>IF(E623&lt;=20,"0-19",
IF(E623&lt;=50,"20-49",
IF(E623&lt;=80,"50-79","80+")))</f>
        <v>50-79</v>
      </c>
      <c r="G623" s="113" t="s">
        <v>60</v>
      </c>
      <c r="H623" s="113" t="s">
        <v>22</v>
      </c>
      <c r="I623" s="114" t="s">
        <v>660</v>
      </c>
      <c r="J623" s="114" t="s">
        <v>2295</v>
      </c>
      <c r="K623" s="114" t="s">
        <v>51</v>
      </c>
      <c r="L623" s="113" t="s">
        <v>51</v>
      </c>
      <c r="M623" s="111" t="s">
        <v>623</v>
      </c>
      <c r="N623" s="115">
        <v>11500</v>
      </c>
      <c r="O623" s="82" t="s">
        <v>18</v>
      </c>
      <c r="P623" s="170"/>
      <c r="Q623" s="210"/>
    </row>
    <row r="624" spans="1:17" x14ac:dyDescent="0.2">
      <c r="A624" s="104" t="s">
        <v>544</v>
      </c>
      <c r="B624" s="87">
        <v>2012620</v>
      </c>
      <c r="C624" s="87">
        <v>102835</v>
      </c>
      <c r="D624" s="87" t="s">
        <v>686</v>
      </c>
      <c r="E624" s="87">
        <v>64</v>
      </c>
      <c r="F624" s="87" t="str">
        <f>IF(E624&lt;=20,"0-19",
IF(E624&lt;=50,"20-49",
IF(E624&lt;=80,"50-79","80+")))</f>
        <v>50-79</v>
      </c>
      <c r="G624" s="87" t="s">
        <v>49</v>
      </c>
      <c r="H624" s="87" t="s">
        <v>15</v>
      </c>
      <c r="I624" s="87" t="s">
        <v>623</v>
      </c>
      <c r="J624" s="87" t="s">
        <v>2295</v>
      </c>
      <c r="K624" s="86" t="s">
        <v>1895</v>
      </c>
      <c r="L624" s="87" t="s">
        <v>1895</v>
      </c>
      <c r="M624" s="87" t="s">
        <v>623</v>
      </c>
      <c r="N624" s="161">
        <v>9500</v>
      </c>
      <c r="O624" s="161" t="s">
        <v>2254</v>
      </c>
      <c r="P624" s="168">
        <v>254728775531</v>
      </c>
      <c r="Q624" s="210"/>
    </row>
    <row r="625" spans="1:17" x14ac:dyDescent="0.2">
      <c r="A625" s="138" t="s">
        <v>178</v>
      </c>
      <c r="B625" s="111">
        <v>2003444</v>
      </c>
      <c r="C625" s="111">
        <v>18642</v>
      </c>
      <c r="D625" s="111" t="s">
        <v>680</v>
      </c>
      <c r="E625" s="111">
        <v>64</v>
      </c>
      <c r="F625" s="111" t="str">
        <f>IF(E625&lt;=20,"0-19",
IF(E625&lt;=50,"20-49",
IF(E625&lt;=80,"50-79","80+")))</f>
        <v>50-79</v>
      </c>
      <c r="G625" s="111" t="s">
        <v>126</v>
      </c>
      <c r="H625" s="111" t="s">
        <v>22</v>
      </c>
      <c r="I625" s="111" t="s">
        <v>514</v>
      </c>
      <c r="J625" s="111" t="s">
        <v>2295</v>
      </c>
      <c r="K625" s="111" t="s">
        <v>103</v>
      </c>
      <c r="L625" s="111" t="s">
        <v>103</v>
      </c>
      <c r="M625" s="111" t="s">
        <v>623</v>
      </c>
      <c r="N625" s="112">
        <v>9025</v>
      </c>
      <c r="O625" s="87" t="s">
        <v>18</v>
      </c>
      <c r="P625" s="171"/>
      <c r="Q625" s="210"/>
    </row>
    <row r="626" spans="1:17" x14ac:dyDescent="0.2">
      <c r="A626" s="139" t="s">
        <v>319</v>
      </c>
      <c r="B626" s="111">
        <v>2019634</v>
      </c>
      <c r="C626" s="111">
        <v>42684</v>
      </c>
      <c r="D626" s="111" t="s">
        <v>628</v>
      </c>
      <c r="E626" s="111">
        <v>68</v>
      </c>
      <c r="F626" s="111" t="str">
        <f>IF(E626&lt;=20,"0-19",
IF(E626&lt;=50,"20-49",
IF(E626&lt;=80,"50-79","80+")))</f>
        <v>50-79</v>
      </c>
      <c r="G626" s="111" t="s">
        <v>60</v>
      </c>
      <c r="H626" s="111" t="s">
        <v>15</v>
      </c>
      <c r="I626" s="111" t="s">
        <v>514</v>
      </c>
      <c r="J626" s="111" t="s">
        <v>2295</v>
      </c>
      <c r="K626" s="111" t="s">
        <v>17</v>
      </c>
      <c r="L626" s="111" t="s">
        <v>17</v>
      </c>
      <c r="M626" s="111" t="s">
        <v>623</v>
      </c>
      <c r="N626" s="112">
        <v>10650</v>
      </c>
      <c r="O626" s="87" t="s">
        <v>18</v>
      </c>
      <c r="P626" s="171"/>
      <c r="Q626" s="210"/>
    </row>
    <row r="627" spans="1:17" x14ac:dyDescent="0.2">
      <c r="A627" s="139" t="s">
        <v>836</v>
      </c>
      <c r="B627" s="93">
        <v>2502095</v>
      </c>
      <c r="C627" s="82">
        <v>21102</v>
      </c>
      <c r="D627" s="93" t="s">
        <v>665</v>
      </c>
      <c r="E627" s="93">
        <v>57</v>
      </c>
      <c r="F627" s="93" t="str">
        <f>IF(E627&lt;=20,"0-19",
IF(E627&lt;=50,"20-49",
IF(E627&lt;=80,"50-79","80+")))</f>
        <v>50-79</v>
      </c>
      <c r="G627" s="93" t="s">
        <v>60</v>
      </c>
      <c r="H627" s="93" t="s">
        <v>22</v>
      </c>
      <c r="I627" s="93" t="s">
        <v>514</v>
      </c>
      <c r="J627" s="93" t="s">
        <v>2295</v>
      </c>
      <c r="K627" s="93" t="s">
        <v>835</v>
      </c>
      <c r="L627" s="93" t="s">
        <v>835</v>
      </c>
      <c r="M627" s="82" t="s">
        <v>623</v>
      </c>
      <c r="N627" s="94">
        <v>11500</v>
      </c>
      <c r="O627" s="82" t="s">
        <v>832</v>
      </c>
      <c r="P627" s="170"/>
      <c r="Q627" s="210"/>
    </row>
    <row r="628" spans="1:17" x14ac:dyDescent="0.2">
      <c r="A628" s="104" t="s">
        <v>72</v>
      </c>
      <c r="B628" s="86">
        <v>2502095</v>
      </c>
      <c r="C628" s="87">
        <v>21102</v>
      </c>
      <c r="D628" s="86" t="s">
        <v>1574</v>
      </c>
      <c r="E628" s="88">
        <v>63</v>
      </c>
      <c r="F628" s="88" t="str">
        <f>IF(E628&lt;=20,"0-19",
IF(E628&lt;=50,"20-49",
IF(E628&lt;=80,"50-79","80+")))</f>
        <v>50-79</v>
      </c>
      <c r="G628" s="88" t="s">
        <v>60</v>
      </c>
      <c r="H628" s="88" t="s">
        <v>22</v>
      </c>
      <c r="I628" s="88" t="s">
        <v>514</v>
      </c>
      <c r="J628" s="88" t="s">
        <v>2295</v>
      </c>
      <c r="K628" s="86" t="s">
        <v>1232</v>
      </c>
      <c r="L628" s="88" t="s">
        <v>1553</v>
      </c>
      <c r="M628" s="87" t="s">
        <v>623</v>
      </c>
      <c r="N628" s="163">
        <v>11500</v>
      </c>
      <c r="O628" s="163" t="s">
        <v>2254</v>
      </c>
      <c r="P628" s="168">
        <v>254715509227</v>
      </c>
      <c r="Q628" s="210"/>
    </row>
    <row r="629" spans="1:17" x14ac:dyDescent="0.2">
      <c r="A629" s="106" t="s">
        <v>340</v>
      </c>
      <c r="B629" s="88">
        <v>2014318</v>
      </c>
      <c r="C629" s="87">
        <v>61208</v>
      </c>
      <c r="D629" s="88" t="s">
        <v>651</v>
      </c>
      <c r="E629" s="88">
        <v>63</v>
      </c>
      <c r="F629" s="88" t="str">
        <f>IF(E629&lt;=20,"0-19",
IF(E629&lt;=50,"20-49",
IF(E629&lt;=80,"50-79","80+")))</f>
        <v>50-79</v>
      </c>
      <c r="G629" s="88" t="s">
        <v>60</v>
      </c>
      <c r="H629" s="88" t="s">
        <v>22</v>
      </c>
      <c r="I629" s="88" t="s">
        <v>514</v>
      </c>
      <c r="J629" s="88" t="s">
        <v>2295</v>
      </c>
      <c r="K629" s="88" t="s">
        <v>1553</v>
      </c>
      <c r="L629" s="88" t="s">
        <v>1553</v>
      </c>
      <c r="M629" s="87" t="s">
        <v>623</v>
      </c>
      <c r="N629" s="163">
        <v>9500</v>
      </c>
      <c r="O629" s="163" t="s">
        <v>2254</v>
      </c>
      <c r="P629" s="168">
        <v>254722679315</v>
      </c>
      <c r="Q629" s="210"/>
    </row>
    <row r="630" spans="1:17" x14ac:dyDescent="0.2">
      <c r="A630" s="139" t="s">
        <v>990</v>
      </c>
      <c r="B630" s="82">
        <v>2001823</v>
      </c>
      <c r="C630" s="82">
        <v>10576</v>
      </c>
      <c r="D630" s="82" t="s">
        <v>630</v>
      </c>
      <c r="E630" s="82">
        <v>71</v>
      </c>
      <c r="F630" s="82" t="str">
        <f>IF(E630&lt;=20,"0-19",
IF(E630&lt;=50,"20-49",
IF(E630&lt;=80,"50-79","80+")))</f>
        <v>50-79</v>
      </c>
      <c r="G630" s="82" t="s">
        <v>60</v>
      </c>
      <c r="H630" s="82" t="s">
        <v>22</v>
      </c>
      <c r="I630" s="92" t="s">
        <v>514</v>
      </c>
      <c r="J630" s="92" t="s">
        <v>2295</v>
      </c>
      <c r="K630" s="92" t="s">
        <v>834</v>
      </c>
      <c r="L630" s="82" t="s">
        <v>834</v>
      </c>
      <c r="M630" s="82" t="s">
        <v>623</v>
      </c>
      <c r="N630" s="84">
        <v>10650</v>
      </c>
      <c r="O630" s="82" t="s">
        <v>832</v>
      </c>
      <c r="P630" s="171"/>
      <c r="Q630" s="210"/>
    </row>
    <row r="631" spans="1:17" x14ac:dyDescent="0.2">
      <c r="A631" s="139" t="s">
        <v>19</v>
      </c>
      <c r="B631" s="82">
        <v>2003444</v>
      </c>
      <c r="C631" s="82">
        <v>18642</v>
      </c>
      <c r="D631" s="82" t="s">
        <v>680</v>
      </c>
      <c r="E631" s="82">
        <v>64</v>
      </c>
      <c r="F631" s="82" t="str">
        <f>IF(E631&lt;=20,"0-19",
IF(E631&lt;=50,"20-49",
IF(E631&lt;=80,"50-79","80+")))</f>
        <v>50-79</v>
      </c>
      <c r="G631" s="82" t="s">
        <v>60</v>
      </c>
      <c r="H631" s="82" t="s">
        <v>22</v>
      </c>
      <c r="I631" s="92" t="s">
        <v>514</v>
      </c>
      <c r="J631" s="92" t="s">
        <v>2295</v>
      </c>
      <c r="K631" s="92" t="s">
        <v>834</v>
      </c>
      <c r="L631" s="82" t="s">
        <v>834</v>
      </c>
      <c r="M631" s="82" t="s">
        <v>623</v>
      </c>
      <c r="N631" s="84">
        <v>14260</v>
      </c>
      <c r="O631" s="82" t="s">
        <v>832</v>
      </c>
      <c r="P631" s="171"/>
      <c r="Q631" s="210"/>
    </row>
    <row r="632" spans="1:17" ht="21" x14ac:dyDescent="0.2">
      <c r="A632" s="139" t="s">
        <v>1482</v>
      </c>
      <c r="B632" s="82">
        <v>2407253</v>
      </c>
      <c r="C632" s="82">
        <v>18992</v>
      </c>
      <c r="D632" s="82" t="s">
        <v>1177</v>
      </c>
      <c r="E632" s="82">
        <v>57</v>
      </c>
      <c r="F632" s="82" t="str">
        <f>IF(E632&lt;=20,"0-19",
IF(E632&lt;=50,"20-49",
IF(E632&lt;=80,"50-79","80+")))</f>
        <v>50-79</v>
      </c>
      <c r="G632" s="82" t="s">
        <v>60</v>
      </c>
      <c r="H632" s="82" t="s">
        <v>22</v>
      </c>
      <c r="I632" s="92" t="s">
        <v>514</v>
      </c>
      <c r="J632" s="92" t="s">
        <v>2295</v>
      </c>
      <c r="K632" s="92" t="s">
        <v>1178</v>
      </c>
      <c r="L632" s="82" t="s">
        <v>834</v>
      </c>
      <c r="M632" s="82" t="s">
        <v>623</v>
      </c>
      <c r="N632" s="84">
        <v>9025</v>
      </c>
      <c r="O632" s="82" t="s">
        <v>832</v>
      </c>
      <c r="P632" s="171"/>
      <c r="Q632" s="210"/>
    </row>
    <row r="633" spans="1:17" x14ac:dyDescent="0.2">
      <c r="A633" s="139" t="s">
        <v>990</v>
      </c>
      <c r="B633" s="82">
        <v>2019634</v>
      </c>
      <c r="C633" s="82">
        <v>42684</v>
      </c>
      <c r="D633" s="82" t="s">
        <v>628</v>
      </c>
      <c r="E633" s="82">
        <v>69</v>
      </c>
      <c r="F633" s="82" t="str">
        <f>IF(E633&lt;=20,"0-19",
IF(E633&lt;=50,"20-49",
IF(E633&lt;=80,"50-79","80+")))</f>
        <v>50-79</v>
      </c>
      <c r="G633" s="82" t="s">
        <v>60</v>
      </c>
      <c r="H633" s="82" t="s">
        <v>15</v>
      </c>
      <c r="I633" s="92" t="s">
        <v>514</v>
      </c>
      <c r="J633" s="92" t="s">
        <v>2295</v>
      </c>
      <c r="K633" s="92" t="s">
        <v>834</v>
      </c>
      <c r="L633" s="82" t="s">
        <v>834</v>
      </c>
      <c r="M633" s="82" t="s">
        <v>623</v>
      </c>
      <c r="N633" s="84">
        <v>10650</v>
      </c>
      <c r="O633" s="82" t="s">
        <v>832</v>
      </c>
      <c r="P633" s="170"/>
      <c r="Q633" s="210"/>
    </row>
    <row r="634" spans="1:17" x14ac:dyDescent="0.2">
      <c r="A634" s="104" t="s">
        <v>1560</v>
      </c>
      <c r="B634" s="86">
        <v>2019634</v>
      </c>
      <c r="C634" s="87">
        <v>42684</v>
      </c>
      <c r="D634" s="86" t="s">
        <v>1563</v>
      </c>
      <c r="E634" s="86">
        <v>69</v>
      </c>
      <c r="F634" s="86" t="str">
        <f>IF(E634&lt;=20,"0-19",
IF(E634&lt;=50,"20-49",
IF(E634&lt;=80,"50-79","80+")))</f>
        <v>50-79</v>
      </c>
      <c r="G634" s="86" t="s">
        <v>126</v>
      </c>
      <c r="H634" s="86" t="s">
        <v>22</v>
      </c>
      <c r="I634" s="86" t="s">
        <v>699</v>
      </c>
      <c r="J634" s="86" t="s">
        <v>2295</v>
      </c>
      <c r="K634" s="86" t="s">
        <v>1562</v>
      </c>
      <c r="L634" s="86" t="s">
        <v>1562</v>
      </c>
      <c r="M634" s="87" t="s">
        <v>623</v>
      </c>
      <c r="N634" s="164">
        <v>10650</v>
      </c>
      <c r="O634" s="164" t="s">
        <v>2254</v>
      </c>
      <c r="P634" s="168">
        <v>254703352923</v>
      </c>
      <c r="Q634" s="210"/>
    </row>
    <row r="635" spans="1:17" x14ac:dyDescent="0.2">
      <c r="A635" s="139" t="s">
        <v>12</v>
      </c>
      <c r="B635" s="93">
        <v>2001893</v>
      </c>
      <c r="C635" s="82">
        <v>9046</v>
      </c>
      <c r="D635" s="82" t="s">
        <v>625</v>
      </c>
      <c r="E635" s="93">
        <v>69</v>
      </c>
      <c r="F635" s="93" t="str">
        <f>IF(E635&lt;=20,"0-19",
IF(E635&lt;=50,"20-49",
IF(E635&lt;=80,"50-79","80+")))</f>
        <v>50-79</v>
      </c>
      <c r="G635" s="93" t="s">
        <v>60</v>
      </c>
      <c r="H635" s="93" t="s">
        <v>22</v>
      </c>
      <c r="I635" s="93" t="s">
        <v>514</v>
      </c>
      <c r="J635" s="93" t="s">
        <v>2295</v>
      </c>
      <c r="K635" s="93" t="s">
        <v>880</v>
      </c>
      <c r="L635" s="93" t="s">
        <v>880</v>
      </c>
      <c r="M635" s="82" t="s">
        <v>623</v>
      </c>
      <c r="N635" s="94">
        <v>9500</v>
      </c>
      <c r="O635" s="82" t="s">
        <v>832</v>
      </c>
      <c r="P635" s="170"/>
      <c r="Q635" s="210"/>
    </row>
    <row r="636" spans="1:17" x14ac:dyDescent="0.2">
      <c r="A636" s="105" t="s">
        <v>1166</v>
      </c>
      <c r="B636" s="93">
        <v>201893</v>
      </c>
      <c r="C636" s="82">
        <v>9046</v>
      </c>
      <c r="D636" s="93" t="s">
        <v>625</v>
      </c>
      <c r="E636" s="93">
        <v>69</v>
      </c>
      <c r="F636" s="93" t="str">
        <f>IF(E636&lt;=20,"0-19",
IF(E636&lt;=50,"20-49",
IF(E636&lt;=80,"50-79","80+")))</f>
        <v>50-79</v>
      </c>
      <c r="G636" s="93" t="s">
        <v>126</v>
      </c>
      <c r="H636" s="93" t="s">
        <v>664</v>
      </c>
      <c r="I636" s="93" t="s">
        <v>514</v>
      </c>
      <c r="J636" s="93" t="s">
        <v>2295</v>
      </c>
      <c r="K636" s="92" t="s">
        <v>1542</v>
      </c>
      <c r="L636" s="92" t="s">
        <v>1542</v>
      </c>
      <c r="M636" s="82" t="s">
        <v>623</v>
      </c>
      <c r="N636" s="159">
        <v>9500</v>
      </c>
      <c r="O636" s="159" t="s">
        <v>2254</v>
      </c>
      <c r="P636" s="152">
        <v>254720766049</v>
      </c>
      <c r="Q636" s="210"/>
    </row>
    <row r="637" spans="1:17" x14ac:dyDescent="0.2">
      <c r="A637" s="107" t="s">
        <v>142</v>
      </c>
      <c r="B637" s="93">
        <v>20175091</v>
      </c>
      <c r="C637" s="82">
        <v>19309</v>
      </c>
      <c r="D637" s="93" t="s">
        <v>1541</v>
      </c>
      <c r="E637" s="93">
        <v>63</v>
      </c>
      <c r="F637" s="93" t="str">
        <f>IF(E637&lt;=20,"0-19",
IF(E637&lt;=50,"20-49",
IF(E637&lt;=80,"50-79","80+")))</f>
        <v>50-79</v>
      </c>
      <c r="G637" s="93" t="s">
        <v>60</v>
      </c>
      <c r="H637" s="93" t="s">
        <v>22</v>
      </c>
      <c r="I637" s="93" t="s">
        <v>514</v>
      </c>
      <c r="J637" s="93" t="s">
        <v>2295</v>
      </c>
      <c r="K637" s="92" t="s">
        <v>1542</v>
      </c>
      <c r="L637" s="92" t="s">
        <v>1542</v>
      </c>
      <c r="M637" s="82" t="s">
        <v>623</v>
      </c>
      <c r="N637" s="159">
        <v>8500</v>
      </c>
      <c r="O637" s="159" t="s">
        <v>2254</v>
      </c>
      <c r="P637" s="152">
        <v>254726788384</v>
      </c>
      <c r="Q637" s="210"/>
    </row>
    <row r="638" spans="1:17" x14ac:dyDescent="0.2">
      <c r="A638" s="105" t="s">
        <v>354</v>
      </c>
      <c r="B638" s="93">
        <v>2017742</v>
      </c>
      <c r="C638" s="82">
        <v>37239</v>
      </c>
      <c r="D638" s="93" t="s">
        <v>1501</v>
      </c>
      <c r="E638" s="93">
        <v>58</v>
      </c>
      <c r="F638" s="93" t="str">
        <f>IF(E638&lt;=20,"0-19",
IF(E638&lt;=50,"20-49",
IF(E638&lt;=80,"50-79","80+")))</f>
        <v>50-79</v>
      </c>
      <c r="G638" s="93" t="s">
        <v>126</v>
      </c>
      <c r="H638" s="93" t="s">
        <v>664</v>
      </c>
      <c r="I638" s="93" t="s">
        <v>514</v>
      </c>
      <c r="J638" s="93" t="s">
        <v>2295</v>
      </c>
      <c r="K638" s="92" t="s">
        <v>1542</v>
      </c>
      <c r="L638" s="92" t="s">
        <v>1542</v>
      </c>
      <c r="M638" s="82" t="s">
        <v>623</v>
      </c>
      <c r="N638" s="159">
        <v>9025</v>
      </c>
      <c r="O638" s="159" t="s">
        <v>2254</v>
      </c>
      <c r="P638" s="152">
        <v>254720659401</v>
      </c>
      <c r="Q638" s="210"/>
    </row>
    <row r="639" spans="1:17" x14ac:dyDescent="0.2">
      <c r="A639" s="104" t="s">
        <v>544</v>
      </c>
      <c r="B639" s="88">
        <v>212620</v>
      </c>
      <c r="C639" s="87">
        <v>102835</v>
      </c>
      <c r="D639" s="88" t="s">
        <v>1555</v>
      </c>
      <c r="E639" s="88">
        <v>63</v>
      </c>
      <c r="F639" s="88" t="str">
        <f>IF(E639&lt;=20,"0-19",
IF(E639&lt;=50,"20-49",
IF(E639&lt;=80,"50-79","80+")))</f>
        <v>50-79</v>
      </c>
      <c r="G639" s="88" t="s">
        <v>14</v>
      </c>
      <c r="H639" s="88" t="s">
        <v>706</v>
      </c>
      <c r="I639" s="88" t="s">
        <v>514</v>
      </c>
      <c r="J639" s="88" t="s">
        <v>2295</v>
      </c>
      <c r="K639" s="86" t="s">
        <v>1542</v>
      </c>
      <c r="L639" s="86" t="s">
        <v>1542</v>
      </c>
      <c r="M639" s="87" t="s">
        <v>623</v>
      </c>
      <c r="N639" s="163">
        <v>9500</v>
      </c>
      <c r="O639" s="163" t="s">
        <v>2254</v>
      </c>
      <c r="P639" s="168">
        <v>254710918163</v>
      </c>
      <c r="Q639" s="210"/>
    </row>
    <row r="640" spans="1:17" x14ac:dyDescent="0.2">
      <c r="A640" s="138" t="s">
        <v>228</v>
      </c>
      <c r="B640" s="111">
        <v>2005037</v>
      </c>
      <c r="C640" s="111">
        <v>5326</v>
      </c>
      <c r="D640" s="111" t="s">
        <v>640</v>
      </c>
      <c r="E640" s="111">
        <v>18</v>
      </c>
      <c r="F640" s="111" t="str">
        <f>IF(E640&lt;=20,"0-19",
IF(E640&lt;=50,"20-49",
IF(E640&lt;=80,"50-79","80+")))</f>
        <v>0-19</v>
      </c>
      <c r="G640" s="111" t="s">
        <v>126</v>
      </c>
      <c r="H640" s="111" t="s">
        <v>88</v>
      </c>
      <c r="I640" s="111" t="s">
        <v>514</v>
      </c>
      <c r="J640" s="111" t="s">
        <v>2295</v>
      </c>
      <c r="K640" s="111" t="s">
        <v>121</v>
      </c>
      <c r="L640" s="111" t="s">
        <v>121</v>
      </c>
      <c r="M640" s="111" t="s">
        <v>623</v>
      </c>
      <c r="N640" s="112">
        <v>8185</v>
      </c>
      <c r="O640" s="87" t="s">
        <v>18</v>
      </c>
      <c r="P640" s="171"/>
      <c r="Q640" s="210"/>
    </row>
    <row r="641" spans="1:17" x14ac:dyDescent="0.2">
      <c r="A641" s="103" t="s">
        <v>340</v>
      </c>
      <c r="B641" s="114">
        <v>2014318</v>
      </c>
      <c r="C641" s="113">
        <v>61208</v>
      </c>
      <c r="D641" s="114" t="s">
        <v>650</v>
      </c>
      <c r="E641" s="114">
        <v>61</v>
      </c>
      <c r="F641" s="114" t="str">
        <f>IF(E641&lt;=20,"0-19",
IF(E641&lt;=50,"20-49",
IF(E641&lt;=80,"50-79","80+")))</f>
        <v>50-79</v>
      </c>
      <c r="G641" s="114" t="s">
        <v>49</v>
      </c>
      <c r="H641" s="114" t="s">
        <v>15</v>
      </c>
      <c r="I641" s="114" t="s">
        <v>514</v>
      </c>
      <c r="J641" s="114" t="s">
        <v>2295</v>
      </c>
      <c r="K641" s="111" t="s">
        <v>121</v>
      </c>
      <c r="L641" s="111" t="s">
        <v>121</v>
      </c>
      <c r="M641" s="111" t="s">
        <v>623</v>
      </c>
      <c r="N641" s="116">
        <v>9500</v>
      </c>
      <c r="O641" s="82" t="s">
        <v>18</v>
      </c>
      <c r="P641" s="170"/>
      <c r="Q641" s="210"/>
    </row>
    <row r="642" spans="1:17" ht="21" x14ac:dyDescent="0.2">
      <c r="A642" s="139" t="s">
        <v>990</v>
      </c>
      <c r="B642" s="93">
        <v>2019634</v>
      </c>
      <c r="C642" s="82">
        <v>42684</v>
      </c>
      <c r="D642" s="93" t="s">
        <v>631</v>
      </c>
      <c r="E642" s="93">
        <v>68</v>
      </c>
      <c r="F642" s="93" t="str">
        <f>IF(E642&lt;=20,"0-19",
IF(E642&lt;=50,"20-49",
IF(E642&lt;=80,"50-79","80+")))</f>
        <v>50-79</v>
      </c>
      <c r="G642" s="93" t="s">
        <v>60</v>
      </c>
      <c r="H642" s="93" t="s">
        <v>15</v>
      </c>
      <c r="I642" s="93" t="s">
        <v>1174</v>
      </c>
      <c r="J642" s="93" t="s">
        <v>2295</v>
      </c>
      <c r="K642" s="93" t="s">
        <v>1175</v>
      </c>
      <c r="L642" s="93" t="s">
        <v>843</v>
      </c>
      <c r="M642" s="82" t="s">
        <v>623</v>
      </c>
      <c r="N642" s="94">
        <v>10650</v>
      </c>
      <c r="O642" s="82" t="s">
        <v>832</v>
      </c>
      <c r="P642" s="171"/>
      <c r="Q642" s="210"/>
    </row>
    <row r="643" spans="1:17" x14ac:dyDescent="0.2">
      <c r="A643" s="105" t="s">
        <v>354</v>
      </c>
      <c r="B643" s="82">
        <v>2511271</v>
      </c>
      <c r="C643" s="82">
        <v>62552</v>
      </c>
      <c r="D643" s="82" t="s">
        <v>1547</v>
      </c>
      <c r="E643" s="82">
        <v>14</v>
      </c>
      <c r="F643" s="82" t="str">
        <f>IF(E643&lt;=20,"0-19",
IF(E643&lt;=50,"20-49",
IF(E643&lt;=80,"50-79","80+")))</f>
        <v>0-19</v>
      </c>
      <c r="G643" s="82" t="s">
        <v>60</v>
      </c>
      <c r="H643" s="82" t="s">
        <v>132</v>
      </c>
      <c r="I643" s="92" t="s">
        <v>514</v>
      </c>
      <c r="J643" s="92" t="s">
        <v>2295</v>
      </c>
      <c r="K643" s="82" t="s">
        <v>1548</v>
      </c>
      <c r="L643" s="82" t="s">
        <v>1546</v>
      </c>
      <c r="M643" s="82" t="s">
        <v>623</v>
      </c>
      <c r="N643" s="151">
        <v>9025</v>
      </c>
      <c r="O643" s="151" t="s">
        <v>2254</v>
      </c>
      <c r="P643" s="152">
        <v>254713738247</v>
      </c>
      <c r="Q643" s="210"/>
    </row>
    <row r="644" spans="1:17" x14ac:dyDescent="0.2">
      <c r="A644" s="139" t="s">
        <v>319</v>
      </c>
      <c r="B644" s="111">
        <v>2001823</v>
      </c>
      <c r="C644" s="110">
        <v>10576</v>
      </c>
      <c r="D644" s="111" t="s">
        <v>630</v>
      </c>
      <c r="E644" s="111">
        <v>71</v>
      </c>
      <c r="F644" s="111" t="str">
        <f>IF(E644&lt;=20,"0-19",
IF(E644&lt;=50,"20-49",
IF(E644&lt;=80,"50-79","80+")))</f>
        <v>50-79</v>
      </c>
      <c r="G644" s="111" t="s">
        <v>60</v>
      </c>
      <c r="H644" s="111" t="s">
        <v>22</v>
      </c>
      <c r="I644" s="111" t="s">
        <v>514</v>
      </c>
      <c r="J644" s="111" t="s">
        <v>2295</v>
      </c>
      <c r="K644" s="111" t="s">
        <v>24</v>
      </c>
      <c r="L644" s="111" t="s">
        <v>24</v>
      </c>
      <c r="M644" s="111" t="s">
        <v>623</v>
      </c>
      <c r="N644" s="112">
        <v>10650</v>
      </c>
      <c r="O644" s="82" t="s">
        <v>18</v>
      </c>
      <c r="P644" s="170"/>
      <c r="Q644" s="210"/>
    </row>
    <row r="645" spans="1:17" x14ac:dyDescent="0.2">
      <c r="A645" s="105" t="s">
        <v>72</v>
      </c>
      <c r="B645" s="111">
        <v>200958</v>
      </c>
      <c r="C645" s="110">
        <v>31482</v>
      </c>
      <c r="D645" s="111" t="s">
        <v>496</v>
      </c>
      <c r="E645" s="111">
        <v>67</v>
      </c>
      <c r="F645" s="111" t="str">
        <f>IF(E645&lt;=20,"0-19",
IF(E645&lt;=50,"20-49",
IF(E645&lt;=80,"50-79","80+")))</f>
        <v>50-79</v>
      </c>
      <c r="G645" s="111" t="s">
        <v>60</v>
      </c>
      <c r="H645" s="111" t="s">
        <v>22</v>
      </c>
      <c r="I645" s="111" t="s">
        <v>514</v>
      </c>
      <c r="J645" s="111" t="s">
        <v>2295</v>
      </c>
      <c r="K645" s="111" t="s">
        <v>24</v>
      </c>
      <c r="L645" s="111" t="s">
        <v>24</v>
      </c>
      <c r="M645" s="111" t="s">
        <v>623</v>
      </c>
      <c r="N645" s="112">
        <v>11500</v>
      </c>
      <c r="O645" s="82" t="s">
        <v>18</v>
      </c>
      <c r="P645" s="170"/>
      <c r="Q645" s="210"/>
    </row>
    <row r="646" spans="1:17" x14ac:dyDescent="0.2">
      <c r="A646" s="139" t="s">
        <v>319</v>
      </c>
      <c r="B646" s="114">
        <v>2019634</v>
      </c>
      <c r="C646" s="113">
        <v>42684</v>
      </c>
      <c r="D646" s="114" t="s">
        <v>631</v>
      </c>
      <c r="E646" s="114">
        <v>69</v>
      </c>
      <c r="F646" s="114" t="str">
        <f>IF(E646&lt;=20,"0-19",
IF(E646&lt;=50,"20-49",
IF(E646&lt;=80,"50-79","80+")))</f>
        <v>50-79</v>
      </c>
      <c r="G646" s="114" t="s">
        <v>60</v>
      </c>
      <c r="H646" s="114" t="s">
        <v>15</v>
      </c>
      <c r="I646" s="114" t="s">
        <v>514</v>
      </c>
      <c r="J646" s="114" t="s">
        <v>2295</v>
      </c>
      <c r="K646" s="111" t="s">
        <v>24</v>
      </c>
      <c r="L646" s="111" t="s">
        <v>24</v>
      </c>
      <c r="M646" s="111" t="s">
        <v>623</v>
      </c>
      <c r="N646" s="116">
        <v>10650</v>
      </c>
      <c r="O646" s="82" t="s">
        <v>18</v>
      </c>
      <c r="P646" s="170"/>
      <c r="Q646" s="210"/>
    </row>
    <row r="647" spans="1:17" x14ac:dyDescent="0.2">
      <c r="A647" s="139" t="s">
        <v>682</v>
      </c>
      <c r="B647" s="114">
        <v>2011620</v>
      </c>
      <c r="C647" s="113">
        <v>102835</v>
      </c>
      <c r="D647" s="114" t="s">
        <v>683</v>
      </c>
      <c r="E647" s="114">
        <v>64</v>
      </c>
      <c r="F647" s="114" t="str">
        <f>IF(E647&lt;=20,"0-19",
IF(E647&lt;=50,"20-49",
IF(E647&lt;=80,"50-79","80+")))</f>
        <v>50-79</v>
      </c>
      <c r="G647" s="114" t="s">
        <v>684</v>
      </c>
      <c r="H647" s="114" t="s">
        <v>15</v>
      </c>
      <c r="I647" s="114" t="s">
        <v>514</v>
      </c>
      <c r="J647" s="114" t="s">
        <v>2295</v>
      </c>
      <c r="K647" s="111" t="s">
        <v>24</v>
      </c>
      <c r="L647" s="111" t="s">
        <v>24</v>
      </c>
      <c r="M647" s="111" t="s">
        <v>623</v>
      </c>
      <c r="N647" s="116">
        <v>10650</v>
      </c>
      <c r="O647" s="87" t="s">
        <v>18</v>
      </c>
      <c r="P647" s="171"/>
      <c r="Q647" s="210"/>
    </row>
    <row r="648" spans="1:17" x14ac:dyDescent="0.2">
      <c r="A648" s="139" t="s">
        <v>990</v>
      </c>
      <c r="B648" s="82">
        <v>2007823</v>
      </c>
      <c r="C648" s="82">
        <v>10576</v>
      </c>
      <c r="D648" s="82" t="s">
        <v>629</v>
      </c>
      <c r="E648" s="82">
        <v>72</v>
      </c>
      <c r="F648" s="82" t="str">
        <f>IF(E648&lt;=20,"0-19",
IF(E648&lt;=50,"20-49",
IF(E648&lt;=80,"50-79","80+")))</f>
        <v>50-79</v>
      </c>
      <c r="G648" s="82" t="s">
        <v>126</v>
      </c>
      <c r="H648" s="82" t="s">
        <v>22</v>
      </c>
      <c r="I648" s="92" t="s">
        <v>514</v>
      </c>
      <c r="J648" s="92" t="s">
        <v>2295</v>
      </c>
      <c r="K648" s="92" t="s">
        <v>831</v>
      </c>
      <c r="L648" s="82" t="s">
        <v>831</v>
      </c>
      <c r="M648" s="82" t="s">
        <v>623</v>
      </c>
      <c r="N648" s="84">
        <v>10650</v>
      </c>
      <c r="O648" s="82" t="s">
        <v>832</v>
      </c>
      <c r="P648" s="170"/>
      <c r="Q648" s="210"/>
    </row>
    <row r="649" spans="1:17" x14ac:dyDescent="0.2">
      <c r="A649" s="139" t="s">
        <v>990</v>
      </c>
      <c r="B649" s="82">
        <v>2019634</v>
      </c>
      <c r="C649" s="82">
        <v>42684</v>
      </c>
      <c r="D649" s="82" t="s">
        <v>698</v>
      </c>
      <c r="E649" s="82">
        <v>68</v>
      </c>
      <c r="F649" s="82" t="str">
        <f>IF(E649&lt;=20,"0-19",
IF(E649&lt;=50,"20-49",
IF(E649&lt;=80,"50-79","80+")))</f>
        <v>50-79</v>
      </c>
      <c r="G649" s="82" t="s">
        <v>60</v>
      </c>
      <c r="H649" s="82" t="s">
        <v>15</v>
      </c>
      <c r="I649" s="92" t="s">
        <v>514</v>
      </c>
      <c r="J649" s="92" t="s">
        <v>2295</v>
      </c>
      <c r="K649" s="92" t="s">
        <v>831</v>
      </c>
      <c r="L649" s="82" t="s">
        <v>831</v>
      </c>
      <c r="M649" s="82" t="s">
        <v>623</v>
      </c>
      <c r="N649" s="84">
        <v>10650</v>
      </c>
      <c r="O649" s="82" t="s">
        <v>832</v>
      </c>
      <c r="P649" s="171"/>
      <c r="Q649" s="210"/>
    </row>
    <row r="650" spans="1:17" x14ac:dyDescent="0.2">
      <c r="A650" s="105" t="s">
        <v>1560</v>
      </c>
      <c r="B650" s="82">
        <v>2001823</v>
      </c>
      <c r="C650" s="82">
        <v>10576</v>
      </c>
      <c r="D650" s="82" t="s">
        <v>630</v>
      </c>
      <c r="E650" s="82">
        <v>72</v>
      </c>
      <c r="F650" s="82" t="str">
        <f>IF(E650&lt;=20,"0-19",
IF(E650&lt;=50,"20-49",
IF(E650&lt;=80,"50-79","80+")))</f>
        <v>50-79</v>
      </c>
      <c r="G650" s="82" t="s">
        <v>60</v>
      </c>
      <c r="H650" s="82" t="s">
        <v>22</v>
      </c>
      <c r="I650" s="92" t="s">
        <v>514</v>
      </c>
      <c r="J650" s="92" t="s">
        <v>2295</v>
      </c>
      <c r="K650" s="82" t="s">
        <v>1549</v>
      </c>
      <c r="L650" s="82" t="s">
        <v>1549</v>
      </c>
      <c r="M650" s="82" t="s">
        <v>623</v>
      </c>
      <c r="N650" s="151">
        <v>10650</v>
      </c>
      <c r="O650" s="151" t="s">
        <v>2254</v>
      </c>
      <c r="P650" s="152">
        <v>254722828789</v>
      </c>
      <c r="Q650" s="210"/>
    </row>
    <row r="651" spans="1:17" x14ac:dyDescent="0.2">
      <c r="A651" s="104" t="s">
        <v>1560</v>
      </c>
      <c r="B651" s="87">
        <v>2019634</v>
      </c>
      <c r="C651" s="87">
        <v>42684</v>
      </c>
      <c r="D651" s="87" t="s">
        <v>628</v>
      </c>
      <c r="E651" s="87">
        <v>69</v>
      </c>
      <c r="F651" s="87" t="str">
        <f>IF(E651&lt;=20,"0-19",
IF(E651&lt;=50,"20-49",
IF(E651&lt;=80,"50-79","80+")))</f>
        <v>50-79</v>
      </c>
      <c r="G651" s="87" t="s">
        <v>126</v>
      </c>
      <c r="H651" s="87" t="s">
        <v>706</v>
      </c>
      <c r="I651" s="86" t="s">
        <v>514</v>
      </c>
      <c r="J651" s="86" t="s">
        <v>2295</v>
      </c>
      <c r="K651" s="87" t="s">
        <v>1549</v>
      </c>
      <c r="L651" s="87" t="s">
        <v>1549</v>
      </c>
      <c r="M651" s="87" t="s">
        <v>623</v>
      </c>
      <c r="N651" s="161">
        <v>10650</v>
      </c>
      <c r="O651" s="161" t="s">
        <v>2254</v>
      </c>
      <c r="P651" s="168">
        <v>254722828789</v>
      </c>
      <c r="Q651" s="210"/>
    </row>
    <row r="652" spans="1:17" x14ac:dyDescent="0.2">
      <c r="A652" s="105" t="s">
        <v>274</v>
      </c>
      <c r="B652" s="82">
        <v>2010871</v>
      </c>
      <c r="C652" s="82">
        <v>56685</v>
      </c>
      <c r="D652" s="82" t="s">
        <v>679</v>
      </c>
      <c r="E652" s="82">
        <v>63</v>
      </c>
      <c r="F652" s="82" t="str">
        <f>IF(E652&lt;=20,"0-19",
IF(E652&lt;=50,"20-49",
IF(E652&lt;=80,"50-79","80+")))</f>
        <v>50-79</v>
      </c>
      <c r="G652" s="82" t="s">
        <v>60</v>
      </c>
      <c r="H652" s="82" t="s">
        <v>22</v>
      </c>
      <c r="I652" s="92" t="s">
        <v>514</v>
      </c>
      <c r="J652" s="92" t="s">
        <v>2295</v>
      </c>
      <c r="K652" s="82" t="s">
        <v>1549</v>
      </c>
      <c r="L652" s="82" t="s">
        <v>1549</v>
      </c>
      <c r="M652" s="82" t="s">
        <v>623</v>
      </c>
      <c r="N652" s="151">
        <v>9025</v>
      </c>
      <c r="O652" s="151" t="s">
        <v>2254</v>
      </c>
      <c r="P652" s="152">
        <v>254704150060</v>
      </c>
      <c r="Q652" s="210"/>
    </row>
    <row r="653" spans="1:17" ht="21" x14ac:dyDescent="0.2">
      <c r="A653" s="138" t="s">
        <v>12</v>
      </c>
      <c r="B653" s="113">
        <v>2001893</v>
      </c>
      <c r="C653" s="113">
        <v>9046</v>
      </c>
      <c r="D653" s="114" t="s">
        <v>624</v>
      </c>
      <c r="E653" s="113">
        <v>69</v>
      </c>
      <c r="F653" s="113" t="str">
        <f>IF(E653&lt;=20,"0-19",
IF(E653&lt;=50,"20-49",
IF(E653&lt;=80,"50-79","80+")))</f>
        <v>50-79</v>
      </c>
      <c r="G653" s="113" t="s">
        <v>60</v>
      </c>
      <c r="H653" s="113" t="s">
        <v>22</v>
      </c>
      <c r="I653" s="114" t="s">
        <v>514</v>
      </c>
      <c r="J653" s="114" t="s">
        <v>2295</v>
      </c>
      <c r="K653" s="114" t="s">
        <v>25</v>
      </c>
      <c r="L653" s="113" t="s">
        <v>25</v>
      </c>
      <c r="M653" s="111" t="s">
        <v>623</v>
      </c>
      <c r="N653" s="115">
        <v>9500</v>
      </c>
      <c r="O653" s="82" t="s">
        <v>18</v>
      </c>
      <c r="P653" s="170"/>
      <c r="Q653" s="210"/>
    </row>
    <row r="654" spans="1:17" x14ac:dyDescent="0.2">
      <c r="A654" s="139" t="s">
        <v>142</v>
      </c>
      <c r="B654" s="113">
        <v>2017509</v>
      </c>
      <c r="C654" s="113">
        <v>19309</v>
      </c>
      <c r="D654" s="114" t="s">
        <v>652</v>
      </c>
      <c r="E654" s="113">
        <v>63</v>
      </c>
      <c r="F654" s="113" t="str">
        <f>IF(E654&lt;=20,"0-19",
IF(E654&lt;=50,"20-49",
IF(E654&lt;=80,"50-79","80+")))</f>
        <v>50-79</v>
      </c>
      <c r="G654" s="113" t="s">
        <v>60</v>
      </c>
      <c r="H654" s="113" t="s">
        <v>22</v>
      </c>
      <c r="I654" s="114" t="s">
        <v>514</v>
      </c>
      <c r="J654" s="114" t="s">
        <v>2295</v>
      </c>
      <c r="K654" s="114" t="s">
        <v>25</v>
      </c>
      <c r="L654" s="113" t="s">
        <v>25</v>
      </c>
      <c r="M654" s="111" t="s">
        <v>623</v>
      </c>
      <c r="N654" s="115">
        <v>8500</v>
      </c>
      <c r="O654" s="82" t="s">
        <v>18</v>
      </c>
      <c r="P654" s="170"/>
      <c r="Q654" s="210"/>
    </row>
    <row r="655" spans="1:17" x14ac:dyDescent="0.2">
      <c r="A655" s="105" t="s">
        <v>1166</v>
      </c>
      <c r="B655" s="82">
        <v>2001893</v>
      </c>
      <c r="C655" s="82">
        <v>9046</v>
      </c>
      <c r="D655" s="82" t="s">
        <v>625</v>
      </c>
      <c r="E655" s="82">
        <v>69</v>
      </c>
      <c r="F655" s="82" t="str">
        <f>IF(E655&lt;=20,"0-19",
IF(E655&lt;=50,"20-49",
IF(E655&lt;=80,"50-79","80+")))</f>
        <v>50-79</v>
      </c>
      <c r="G655" s="82" t="s">
        <v>126</v>
      </c>
      <c r="H655" s="82" t="s">
        <v>664</v>
      </c>
      <c r="I655" s="92" t="s">
        <v>514</v>
      </c>
      <c r="J655" s="92" t="s">
        <v>2295</v>
      </c>
      <c r="K655" s="82" t="s">
        <v>1556</v>
      </c>
      <c r="L655" s="82" t="s">
        <v>1556</v>
      </c>
      <c r="M655" s="82" t="s">
        <v>623</v>
      </c>
      <c r="N655" s="151">
        <v>9500</v>
      </c>
      <c r="O655" s="151" t="s">
        <v>2254</v>
      </c>
      <c r="P655" s="152">
        <v>254721369143</v>
      </c>
      <c r="Q655" s="210"/>
    </row>
    <row r="656" spans="1:17" x14ac:dyDescent="0.2">
      <c r="A656" s="138" t="s">
        <v>228</v>
      </c>
      <c r="B656" s="113">
        <v>2005037</v>
      </c>
      <c r="C656" s="113">
        <v>5326</v>
      </c>
      <c r="D656" s="114" t="s">
        <v>638</v>
      </c>
      <c r="E656" s="113">
        <v>18</v>
      </c>
      <c r="F656" s="113" t="str">
        <f>IF(E656&lt;=20,"0-19",
IF(E656&lt;=50,"20-49",
IF(E656&lt;=80,"50-79","80+")))</f>
        <v>0-19</v>
      </c>
      <c r="G656" s="113" t="s">
        <v>60</v>
      </c>
      <c r="H656" s="113" t="s">
        <v>132</v>
      </c>
      <c r="I656" s="114" t="s">
        <v>514</v>
      </c>
      <c r="J656" s="114" t="s">
        <v>2295</v>
      </c>
      <c r="K656" s="114" t="s">
        <v>57</v>
      </c>
      <c r="L656" s="113" t="s">
        <v>57</v>
      </c>
      <c r="M656" s="111" t="s">
        <v>623</v>
      </c>
      <c r="N656" s="115">
        <v>5640</v>
      </c>
      <c r="O656" s="82" t="s">
        <v>18</v>
      </c>
      <c r="P656" s="170"/>
      <c r="Q656" s="210"/>
    </row>
    <row r="657" spans="1:17" x14ac:dyDescent="0.2">
      <c r="A657" s="139" t="s">
        <v>319</v>
      </c>
      <c r="B657" s="113">
        <v>2001853</v>
      </c>
      <c r="C657" s="113">
        <v>10576</v>
      </c>
      <c r="D657" s="114" t="s">
        <v>630</v>
      </c>
      <c r="E657" s="113">
        <v>71</v>
      </c>
      <c r="F657" s="113" t="str">
        <f>IF(E657&lt;=20,"0-19",
IF(E657&lt;=50,"20-49",
IF(E657&lt;=80,"50-79","80+")))</f>
        <v>50-79</v>
      </c>
      <c r="G657" s="113" t="s">
        <v>60</v>
      </c>
      <c r="H657" s="113" t="s">
        <v>22</v>
      </c>
      <c r="I657" s="114" t="s">
        <v>514</v>
      </c>
      <c r="J657" s="114" t="s">
        <v>2295</v>
      </c>
      <c r="K657" s="114" t="s">
        <v>51</v>
      </c>
      <c r="L657" s="113" t="s">
        <v>51</v>
      </c>
      <c r="M657" s="111" t="s">
        <v>623</v>
      </c>
      <c r="N657" s="115">
        <v>10650</v>
      </c>
      <c r="O657" s="87" t="s">
        <v>18</v>
      </c>
      <c r="P657" s="171"/>
      <c r="Q657" s="210"/>
    </row>
    <row r="658" spans="1:17" x14ac:dyDescent="0.2">
      <c r="A658" s="139" t="s">
        <v>319</v>
      </c>
      <c r="B658" s="113">
        <v>2001634</v>
      </c>
      <c r="C658" s="113">
        <v>42684</v>
      </c>
      <c r="D658" s="114" t="s">
        <v>628</v>
      </c>
      <c r="E658" s="113">
        <v>68</v>
      </c>
      <c r="F658" s="113" t="str">
        <f>IF(E658&lt;=20,"0-19",
IF(E658&lt;=50,"20-49",
IF(E658&lt;=80,"50-79","80+")))</f>
        <v>50-79</v>
      </c>
      <c r="G658" s="113" t="s">
        <v>60</v>
      </c>
      <c r="H658" s="113" t="s">
        <v>15</v>
      </c>
      <c r="I658" s="114" t="s">
        <v>514</v>
      </c>
      <c r="J658" s="114" t="s">
        <v>2295</v>
      </c>
      <c r="K658" s="114" t="s">
        <v>51</v>
      </c>
      <c r="L658" s="113" t="s">
        <v>51</v>
      </c>
      <c r="M658" s="111" t="s">
        <v>623</v>
      </c>
      <c r="N658" s="115">
        <v>10650</v>
      </c>
      <c r="O658" s="82" t="s">
        <v>18</v>
      </c>
      <c r="P658" s="170"/>
      <c r="Q658" s="210"/>
    </row>
    <row r="659" spans="1:17" x14ac:dyDescent="0.2">
      <c r="A659" s="139" t="s">
        <v>836</v>
      </c>
      <c r="B659" s="82">
        <v>2002095</v>
      </c>
      <c r="C659" s="82">
        <v>21102</v>
      </c>
      <c r="D659" s="82" t="s">
        <v>665</v>
      </c>
      <c r="E659" s="82">
        <v>57</v>
      </c>
      <c r="F659" s="82" t="str">
        <f>IF(E659&lt;=20,"0-19",
IF(E659&lt;=50,"20-49",
IF(E659&lt;=80,"50-79","80+")))</f>
        <v>50-79</v>
      </c>
      <c r="G659" s="82" t="s">
        <v>60</v>
      </c>
      <c r="H659" s="82" t="s">
        <v>22</v>
      </c>
      <c r="I659" s="92" t="s">
        <v>514</v>
      </c>
      <c r="J659" s="92" t="s">
        <v>2295</v>
      </c>
      <c r="K659" s="92" t="s">
        <v>901</v>
      </c>
      <c r="L659" s="82" t="s">
        <v>901</v>
      </c>
      <c r="M659" s="82" t="s">
        <v>623</v>
      </c>
      <c r="N659" s="84">
        <v>11500</v>
      </c>
      <c r="O659" s="82" t="s">
        <v>832</v>
      </c>
      <c r="P659" s="171"/>
      <c r="Q659" s="210"/>
    </row>
    <row r="660" spans="1:17" x14ac:dyDescent="0.2">
      <c r="A660" s="139" t="s">
        <v>340</v>
      </c>
      <c r="B660" s="82">
        <v>2014318</v>
      </c>
      <c r="C660" s="82">
        <v>61208</v>
      </c>
      <c r="D660" s="93" t="s">
        <v>1169</v>
      </c>
      <c r="E660" s="82">
        <v>63</v>
      </c>
      <c r="F660" s="82" t="str">
        <f>IF(E660&lt;=20,"0-19",
IF(E660&lt;=50,"20-49",
IF(E660&lt;=80,"50-79","80+")))</f>
        <v>50-79</v>
      </c>
      <c r="G660" s="82" t="s">
        <v>60</v>
      </c>
      <c r="H660" s="82" t="s">
        <v>22</v>
      </c>
      <c r="I660" s="92" t="s">
        <v>514</v>
      </c>
      <c r="J660" s="92" t="s">
        <v>2295</v>
      </c>
      <c r="K660" s="92" t="s">
        <v>901</v>
      </c>
      <c r="L660" s="82" t="s">
        <v>901</v>
      </c>
      <c r="M660" s="82" t="s">
        <v>623</v>
      </c>
      <c r="N660" s="84">
        <v>9500</v>
      </c>
      <c r="O660" s="82" t="s">
        <v>832</v>
      </c>
      <c r="P660" s="170"/>
      <c r="Q660" s="210"/>
    </row>
    <row r="661" spans="1:17" x14ac:dyDescent="0.2">
      <c r="A661" s="105" t="s">
        <v>72</v>
      </c>
      <c r="B661" s="82">
        <v>2502095</v>
      </c>
      <c r="C661" s="82">
        <v>21102</v>
      </c>
      <c r="D661" s="82" t="s">
        <v>663</v>
      </c>
      <c r="E661" s="82"/>
      <c r="F661" s="82" t="str">
        <f>IF(E661&lt;=20,"0-19",
IF(E661&lt;=50,"20-49",
IF(E661&lt;=80,"50-79","80+")))</f>
        <v>0-19</v>
      </c>
      <c r="G661" s="82" t="s">
        <v>60</v>
      </c>
      <c r="H661" s="82" t="s">
        <v>22</v>
      </c>
      <c r="I661" s="92" t="s">
        <v>514</v>
      </c>
      <c r="J661" s="92" t="s">
        <v>2295</v>
      </c>
      <c r="K661" s="82" t="s">
        <v>1572</v>
      </c>
      <c r="L661" s="82" t="s">
        <v>1572</v>
      </c>
      <c r="M661" s="82" t="s">
        <v>623</v>
      </c>
      <c r="N661" s="151">
        <v>11500</v>
      </c>
      <c r="O661" s="151" t="s">
        <v>2254</v>
      </c>
      <c r="P661" s="152">
        <v>254715509227</v>
      </c>
      <c r="Q661" s="210"/>
    </row>
    <row r="662" spans="1:17" x14ac:dyDescent="0.2">
      <c r="A662" s="138" t="s">
        <v>12</v>
      </c>
      <c r="B662" s="113">
        <v>2001893</v>
      </c>
      <c r="C662" s="113">
        <v>9046</v>
      </c>
      <c r="D662" s="114" t="s">
        <v>625</v>
      </c>
      <c r="E662" s="113">
        <v>69</v>
      </c>
      <c r="F662" s="113" t="str">
        <f>IF(E662&lt;=20,"0-19",
IF(E662&lt;=50,"20-49",
IF(E662&lt;=80,"50-79","80+")))</f>
        <v>50-79</v>
      </c>
      <c r="G662" s="113" t="s">
        <v>60</v>
      </c>
      <c r="H662" s="113" t="s">
        <v>22</v>
      </c>
      <c r="I662" s="114" t="s">
        <v>514</v>
      </c>
      <c r="J662" s="114" t="s">
        <v>2295</v>
      </c>
      <c r="K662" s="114" t="s">
        <v>52</v>
      </c>
      <c r="L662" s="113" t="s">
        <v>52</v>
      </c>
      <c r="M662" s="111" t="s">
        <v>623</v>
      </c>
      <c r="N662" s="115">
        <v>9500</v>
      </c>
      <c r="O662" s="87" t="s">
        <v>18</v>
      </c>
      <c r="P662" s="171"/>
      <c r="Q662" s="210"/>
    </row>
    <row r="663" spans="1:17" x14ac:dyDescent="0.2">
      <c r="A663" s="139" t="s">
        <v>990</v>
      </c>
      <c r="B663" s="82">
        <v>2001823</v>
      </c>
      <c r="C663" s="82">
        <v>10576</v>
      </c>
      <c r="D663" s="82" t="s">
        <v>630</v>
      </c>
      <c r="E663" s="82">
        <v>72</v>
      </c>
      <c r="F663" s="82" t="str">
        <f>IF(E663&lt;=20,"0-19",
IF(E663&lt;=50,"20-49",
IF(E663&lt;=80,"50-79","80+")))</f>
        <v>50-79</v>
      </c>
      <c r="G663" s="82" t="s">
        <v>60</v>
      </c>
      <c r="H663" s="82" t="s">
        <v>22</v>
      </c>
      <c r="I663" s="92" t="s">
        <v>514</v>
      </c>
      <c r="J663" s="92" t="s">
        <v>2295</v>
      </c>
      <c r="K663" s="92" t="s">
        <v>851</v>
      </c>
      <c r="L663" s="82" t="s">
        <v>851</v>
      </c>
      <c r="M663" s="82" t="s">
        <v>623</v>
      </c>
      <c r="N663" s="84">
        <v>10650</v>
      </c>
      <c r="O663" s="82" t="s">
        <v>832</v>
      </c>
      <c r="P663" s="171"/>
      <c r="Q663" s="210"/>
    </row>
    <row r="664" spans="1:17" x14ac:dyDescent="0.2">
      <c r="A664" s="139" t="s">
        <v>990</v>
      </c>
      <c r="B664" s="82">
        <v>2019634</v>
      </c>
      <c r="C664" s="82">
        <v>42684</v>
      </c>
      <c r="D664" s="82" t="s">
        <v>1176</v>
      </c>
      <c r="E664" s="82">
        <v>68</v>
      </c>
      <c r="F664" s="82" t="str">
        <f>IF(E664&lt;=20,"0-19",
IF(E664&lt;=50,"20-49",
IF(E664&lt;=80,"50-79","80+")))</f>
        <v>50-79</v>
      </c>
      <c r="G664" s="82" t="s">
        <v>60</v>
      </c>
      <c r="H664" s="82" t="s">
        <v>15</v>
      </c>
      <c r="I664" s="92" t="s">
        <v>514</v>
      </c>
      <c r="J664" s="92" t="s">
        <v>2295</v>
      </c>
      <c r="K664" s="92" t="s">
        <v>851</v>
      </c>
      <c r="L664" s="82" t="s">
        <v>851</v>
      </c>
      <c r="M664" s="82" t="s">
        <v>623</v>
      </c>
      <c r="N664" s="84">
        <v>10650</v>
      </c>
      <c r="O664" s="82" t="s">
        <v>832</v>
      </c>
      <c r="P664" s="170"/>
      <c r="Q664" s="210"/>
    </row>
    <row r="665" spans="1:17" x14ac:dyDescent="0.2">
      <c r="A665" s="139" t="s">
        <v>12</v>
      </c>
      <c r="B665" s="82">
        <v>2001893</v>
      </c>
      <c r="C665" s="82">
        <v>9046</v>
      </c>
      <c r="D665" s="82" t="s">
        <v>625</v>
      </c>
      <c r="E665" s="82">
        <v>69</v>
      </c>
      <c r="F665" s="82" t="str">
        <f>IF(E665&lt;=20,"0-19",
IF(E665&lt;=50,"20-49",
IF(E665&lt;=80,"50-79","80+")))</f>
        <v>50-79</v>
      </c>
      <c r="G665" s="82" t="s">
        <v>60</v>
      </c>
      <c r="H665" s="82" t="s">
        <v>22</v>
      </c>
      <c r="I665" s="92" t="s">
        <v>514</v>
      </c>
      <c r="J665" s="92" t="s">
        <v>2295</v>
      </c>
      <c r="K665" s="92" t="s">
        <v>855</v>
      </c>
      <c r="L665" s="82" t="s">
        <v>855</v>
      </c>
      <c r="M665" s="82" t="s">
        <v>623</v>
      </c>
      <c r="N665" s="84">
        <v>9500</v>
      </c>
      <c r="O665" s="82" t="s">
        <v>832</v>
      </c>
      <c r="P665" s="170"/>
      <c r="Q665" s="210"/>
    </row>
    <row r="666" spans="1:17" x14ac:dyDescent="0.2">
      <c r="A666" s="139" t="s">
        <v>874</v>
      </c>
      <c r="B666" s="82">
        <v>2002228</v>
      </c>
      <c r="C666" s="82">
        <v>31315</v>
      </c>
      <c r="D666" s="82" t="s">
        <v>634</v>
      </c>
      <c r="E666" s="82">
        <v>72</v>
      </c>
      <c r="F666" s="82" t="str">
        <f>IF(E666&lt;=20,"0-19",
IF(E666&lt;=50,"20-49",
IF(E666&lt;=80,"50-79","80+")))</f>
        <v>50-79</v>
      </c>
      <c r="G666" s="82" t="s">
        <v>60</v>
      </c>
      <c r="H666" s="82" t="s">
        <v>22</v>
      </c>
      <c r="I666" s="92" t="s">
        <v>514</v>
      </c>
      <c r="J666" s="92" t="s">
        <v>2295</v>
      </c>
      <c r="K666" s="92" t="s">
        <v>855</v>
      </c>
      <c r="L666" s="82" t="s">
        <v>855</v>
      </c>
      <c r="M666" s="82" t="s">
        <v>623</v>
      </c>
      <c r="N666" s="84">
        <v>10650</v>
      </c>
      <c r="O666" s="82" t="s">
        <v>832</v>
      </c>
      <c r="P666" s="171"/>
      <c r="Q666" s="210"/>
    </row>
    <row r="667" spans="1:17" ht="21" x14ac:dyDescent="0.2">
      <c r="A667" s="139" t="s">
        <v>1482</v>
      </c>
      <c r="B667" s="82">
        <v>2017742</v>
      </c>
      <c r="C667" s="82">
        <v>37239</v>
      </c>
      <c r="D667" s="82" t="s">
        <v>1171</v>
      </c>
      <c r="E667" s="82">
        <v>58</v>
      </c>
      <c r="F667" s="82" t="str">
        <f>IF(E667&lt;=20,"0-19",
IF(E667&lt;=50,"20-49",
IF(E667&lt;=80,"50-79","80+")))</f>
        <v>50-79</v>
      </c>
      <c r="G667" s="82" t="s">
        <v>60</v>
      </c>
      <c r="H667" s="82" t="s">
        <v>22</v>
      </c>
      <c r="I667" s="92" t="s">
        <v>514</v>
      </c>
      <c r="J667" s="119" t="s">
        <v>2295</v>
      </c>
      <c r="K667" s="92" t="s">
        <v>1172</v>
      </c>
      <c r="L667" s="82" t="s">
        <v>855</v>
      </c>
      <c r="M667" s="82" t="s">
        <v>623</v>
      </c>
      <c r="N667" s="84">
        <v>9726</v>
      </c>
      <c r="O667" s="82" t="s">
        <v>832</v>
      </c>
      <c r="P667" s="170"/>
      <c r="Q667" s="210"/>
    </row>
    <row r="668" spans="1:17" x14ac:dyDescent="0.2">
      <c r="A668" s="105" t="s">
        <v>1166</v>
      </c>
      <c r="B668" s="82">
        <v>2001893</v>
      </c>
      <c r="C668" s="82">
        <v>9046</v>
      </c>
      <c r="D668" s="82" t="s">
        <v>625</v>
      </c>
      <c r="E668" s="82">
        <v>69</v>
      </c>
      <c r="F668" s="82" t="str">
        <f>IF(E668&lt;=20,"0-19",
IF(E668&lt;=50,"20-49",
IF(E668&lt;=80,"50-79","80+")))</f>
        <v>50-79</v>
      </c>
      <c r="G668" s="82" t="s">
        <v>60</v>
      </c>
      <c r="H668" s="82" t="s">
        <v>22</v>
      </c>
      <c r="I668" s="92" t="s">
        <v>514</v>
      </c>
      <c r="J668" s="119" t="s">
        <v>2295</v>
      </c>
      <c r="K668" s="82" t="s">
        <v>1543</v>
      </c>
      <c r="L668" s="82" t="s">
        <v>1543</v>
      </c>
      <c r="M668" s="82" t="s">
        <v>623</v>
      </c>
      <c r="N668" s="151">
        <v>9500</v>
      </c>
      <c r="O668" s="151" t="s">
        <v>2254</v>
      </c>
      <c r="P668" s="152">
        <v>254759231438</v>
      </c>
      <c r="Q668" s="210"/>
    </row>
    <row r="669" spans="1:17" x14ac:dyDescent="0.2">
      <c r="A669" s="105" t="s">
        <v>1560</v>
      </c>
      <c r="B669" s="82">
        <v>2001823</v>
      </c>
      <c r="C669" s="82">
        <v>10576</v>
      </c>
      <c r="D669" s="82" t="s">
        <v>630</v>
      </c>
      <c r="E669" s="82">
        <v>72</v>
      </c>
      <c r="F669" s="82" t="str">
        <f>IF(E669&lt;=20,"0-19",
IF(E669&lt;=50,"20-49",
IF(E669&lt;=80,"50-79","80+")))</f>
        <v>50-79</v>
      </c>
      <c r="G669" s="82" t="s">
        <v>60</v>
      </c>
      <c r="H669" s="82" t="s">
        <v>22</v>
      </c>
      <c r="I669" s="92" t="s">
        <v>514</v>
      </c>
      <c r="J669" s="119" t="s">
        <v>2295</v>
      </c>
      <c r="K669" s="82" t="s">
        <v>1564</v>
      </c>
      <c r="L669" s="82" t="s">
        <v>1543</v>
      </c>
      <c r="M669" s="82" t="s">
        <v>623</v>
      </c>
      <c r="N669" s="151">
        <v>10650</v>
      </c>
      <c r="O669" s="151" t="s">
        <v>2254</v>
      </c>
      <c r="P669" s="152">
        <v>254722828789</v>
      </c>
      <c r="Q669" s="210"/>
    </row>
    <row r="670" spans="1:17" ht="21" x14ac:dyDescent="0.2">
      <c r="A670" s="104" t="s">
        <v>1575</v>
      </c>
      <c r="B670" s="87">
        <v>2001198</v>
      </c>
      <c r="C670" s="87">
        <v>18587</v>
      </c>
      <c r="D670" s="87" t="s">
        <v>1425</v>
      </c>
      <c r="E670" s="87">
        <v>75</v>
      </c>
      <c r="F670" s="87" t="str">
        <f>IF(E670&lt;=20,"0-19",
IF(E670&lt;=50,"20-49",
IF(E670&lt;=80,"50-79","80+")))</f>
        <v>50-79</v>
      </c>
      <c r="G670" s="87" t="s">
        <v>60</v>
      </c>
      <c r="H670" s="87" t="s">
        <v>22</v>
      </c>
      <c r="I670" s="86" t="s">
        <v>514</v>
      </c>
      <c r="J670" s="123" t="s">
        <v>2295</v>
      </c>
      <c r="K670" s="87" t="s">
        <v>1576</v>
      </c>
      <c r="L670" s="87" t="s">
        <v>1543</v>
      </c>
      <c r="M670" s="87" t="s">
        <v>623</v>
      </c>
      <c r="N670" s="161">
        <v>11500</v>
      </c>
      <c r="O670" s="161" t="s">
        <v>2254</v>
      </c>
      <c r="P670" s="168">
        <v>254715509227</v>
      </c>
      <c r="Q670" s="210"/>
    </row>
    <row r="671" spans="1:17" x14ac:dyDescent="0.2">
      <c r="A671" s="106" t="s">
        <v>142</v>
      </c>
      <c r="B671" s="87">
        <v>20175091</v>
      </c>
      <c r="C671" s="87">
        <v>19309</v>
      </c>
      <c r="D671" s="87" t="s">
        <v>1541</v>
      </c>
      <c r="E671" s="87">
        <v>63</v>
      </c>
      <c r="F671" s="87" t="str">
        <f>IF(E671&lt;=20,"0-19",
IF(E671&lt;=50,"20-49",
IF(E671&lt;=80,"50-79","80+")))</f>
        <v>50-79</v>
      </c>
      <c r="G671" s="87" t="s">
        <v>60</v>
      </c>
      <c r="H671" s="87" t="s">
        <v>22</v>
      </c>
      <c r="I671" s="86" t="s">
        <v>514</v>
      </c>
      <c r="J671" s="123" t="s">
        <v>2295</v>
      </c>
      <c r="K671" s="87" t="s">
        <v>1543</v>
      </c>
      <c r="L671" s="87" t="s">
        <v>1543</v>
      </c>
      <c r="M671" s="87" t="s">
        <v>623</v>
      </c>
      <c r="N671" s="161">
        <v>8500</v>
      </c>
      <c r="O671" s="161" t="s">
        <v>2254</v>
      </c>
      <c r="P671" s="168">
        <v>254726788384</v>
      </c>
      <c r="Q671" s="210"/>
    </row>
    <row r="672" spans="1:17" x14ac:dyDescent="0.2">
      <c r="A672" s="104" t="s">
        <v>1565</v>
      </c>
      <c r="B672" s="87">
        <v>2002228</v>
      </c>
      <c r="C672" s="87">
        <v>31315</v>
      </c>
      <c r="D672" s="87" t="s">
        <v>1285</v>
      </c>
      <c r="E672" s="87">
        <v>72</v>
      </c>
      <c r="F672" s="87" t="str">
        <f>IF(E672&lt;=20,"0-19",
IF(E672&lt;=50,"20-49",
IF(E672&lt;=80,"50-79","80+")))</f>
        <v>50-79</v>
      </c>
      <c r="G672" s="87" t="s">
        <v>60</v>
      </c>
      <c r="H672" s="87" t="s">
        <v>22</v>
      </c>
      <c r="I672" s="86" t="s">
        <v>514</v>
      </c>
      <c r="J672" s="123" t="s">
        <v>2295</v>
      </c>
      <c r="K672" s="87" t="s">
        <v>1543</v>
      </c>
      <c r="L672" s="87" t="s">
        <v>1543</v>
      </c>
      <c r="M672" s="87" t="s">
        <v>623</v>
      </c>
      <c r="N672" s="161">
        <v>10650</v>
      </c>
      <c r="O672" s="161" t="s">
        <v>2254</v>
      </c>
      <c r="P672" s="168">
        <v>254720133344</v>
      </c>
      <c r="Q672" s="210"/>
    </row>
    <row r="673" spans="1:17" x14ac:dyDescent="0.2">
      <c r="A673" s="108" t="s">
        <v>340</v>
      </c>
      <c r="B673" s="113">
        <v>2014318</v>
      </c>
      <c r="C673" s="113">
        <v>61208</v>
      </c>
      <c r="D673" s="114" t="s">
        <v>651</v>
      </c>
      <c r="E673" s="113">
        <v>62</v>
      </c>
      <c r="F673" s="113" t="str">
        <f>IF(E673&lt;=20,"0-19",
IF(E673&lt;=50,"20-49",
IF(E673&lt;=80,"50-79","80+")))</f>
        <v>50-79</v>
      </c>
      <c r="G673" s="113" t="s">
        <v>60</v>
      </c>
      <c r="H673" s="113" t="s">
        <v>22</v>
      </c>
      <c r="I673" s="114" t="s">
        <v>514</v>
      </c>
      <c r="J673" s="198" t="s">
        <v>2295</v>
      </c>
      <c r="K673" s="114" t="s">
        <v>36</v>
      </c>
      <c r="L673" s="113" t="s">
        <v>36</v>
      </c>
      <c r="M673" s="111" t="s">
        <v>623</v>
      </c>
      <c r="N673" s="115">
        <v>9500</v>
      </c>
      <c r="O673" s="87" t="s">
        <v>18</v>
      </c>
      <c r="P673" s="171"/>
      <c r="Q673" s="210"/>
    </row>
    <row r="674" spans="1:17" x14ac:dyDescent="0.2">
      <c r="A674" s="224" t="s">
        <v>1560</v>
      </c>
      <c r="B674" s="225">
        <v>2019634</v>
      </c>
      <c r="C674" s="225">
        <v>42684</v>
      </c>
      <c r="D674" s="225" t="s">
        <v>628</v>
      </c>
      <c r="E674" s="225">
        <v>69</v>
      </c>
      <c r="F674" s="225" t="str">
        <f>IF(E674&lt;=20,"0-19",
IF(E674&lt;=50,"20-49",
IF(E674&lt;=80,"50-79","80+")))</f>
        <v>50-79</v>
      </c>
      <c r="G674" s="225" t="s">
        <v>60</v>
      </c>
      <c r="H674" s="225" t="s">
        <v>15</v>
      </c>
      <c r="I674" s="226" t="s">
        <v>514</v>
      </c>
      <c r="J674" s="119" t="s">
        <v>2295</v>
      </c>
      <c r="K674" s="225" t="s">
        <v>1566</v>
      </c>
      <c r="L674" s="225" t="s">
        <v>1567</v>
      </c>
      <c r="M674" s="225" t="s">
        <v>623</v>
      </c>
      <c r="N674" s="229">
        <v>10650</v>
      </c>
      <c r="O674" s="229" t="s">
        <v>2254</v>
      </c>
      <c r="P674" s="230">
        <v>254720133344</v>
      </c>
      <c r="Q674" s="210"/>
    </row>
    <row r="675" spans="1:17" ht="31.5" x14ac:dyDescent="0.2">
      <c r="A675" s="156" t="s">
        <v>228</v>
      </c>
      <c r="B675" s="197">
        <v>2005037</v>
      </c>
      <c r="C675" s="197">
        <v>5326</v>
      </c>
      <c r="D675" s="198" t="s">
        <v>638</v>
      </c>
      <c r="E675" s="197">
        <v>18</v>
      </c>
      <c r="F675" s="197" t="str">
        <f>IF(E675&lt;=20,"0-19",
IF(E675&lt;=50,"20-49",
IF(E675&lt;=80,"50-79","80+")))</f>
        <v>0-19</v>
      </c>
      <c r="G675" s="197" t="s">
        <v>60</v>
      </c>
      <c r="H675" s="197" t="s">
        <v>88</v>
      </c>
      <c r="I675" s="198" t="s">
        <v>514</v>
      </c>
      <c r="J675" s="198" t="s">
        <v>2295</v>
      </c>
      <c r="K675" s="198" t="s">
        <v>641</v>
      </c>
      <c r="L675" s="197" t="s">
        <v>37</v>
      </c>
      <c r="M675" s="198" t="s">
        <v>623</v>
      </c>
      <c r="N675" s="202">
        <v>9757.18</v>
      </c>
      <c r="O675" s="122" t="s">
        <v>18</v>
      </c>
      <c r="P675" s="172"/>
      <c r="Q675" s="210"/>
    </row>
    <row r="676" spans="1:17" x14ac:dyDescent="0.2">
      <c r="A676" s="155" t="s">
        <v>319</v>
      </c>
      <c r="B676" s="197">
        <v>2001853</v>
      </c>
      <c r="C676" s="197">
        <v>10576</v>
      </c>
      <c r="D676" s="198" t="s">
        <v>630</v>
      </c>
      <c r="E676" s="197">
        <v>72</v>
      </c>
      <c r="F676" s="197" t="str">
        <f>IF(E676&lt;=20,"0-19",
IF(E676&lt;=50,"20-49",
IF(E676&lt;=80,"50-79","80+")))</f>
        <v>50-79</v>
      </c>
      <c r="G676" s="197" t="s">
        <v>60</v>
      </c>
      <c r="H676" s="197" t="s">
        <v>22</v>
      </c>
      <c r="I676" s="198" t="s">
        <v>514</v>
      </c>
      <c r="J676" s="198" t="s">
        <v>2295</v>
      </c>
      <c r="K676" s="198" t="s">
        <v>37</v>
      </c>
      <c r="L676" s="197" t="s">
        <v>37</v>
      </c>
      <c r="M676" s="198" t="s">
        <v>623</v>
      </c>
      <c r="N676" s="202">
        <v>10650</v>
      </c>
      <c r="O676" s="125" t="s">
        <v>18</v>
      </c>
      <c r="P676" s="173"/>
      <c r="Q676" s="210"/>
    </row>
    <row r="677" spans="1:17" x14ac:dyDescent="0.2">
      <c r="A677" s="155" t="s">
        <v>319</v>
      </c>
      <c r="B677" s="197">
        <v>2019634</v>
      </c>
      <c r="C677" s="197">
        <v>42684</v>
      </c>
      <c r="D677" s="198" t="s">
        <v>628</v>
      </c>
      <c r="E677" s="197">
        <v>68</v>
      </c>
      <c r="F677" s="197" t="str">
        <f>IF(E677&lt;=20,"0-19",
IF(E677&lt;=50,"20-49",
IF(E677&lt;=80,"50-79","80+")))</f>
        <v>50-79</v>
      </c>
      <c r="G677" s="197" t="s">
        <v>60</v>
      </c>
      <c r="H677" s="197" t="s">
        <v>15</v>
      </c>
      <c r="I677" s="198" t="s">
        <v>514</v>
      </c>
      <c r="J677" s="198" t="s">
        <v>2295</v>
      </c>
      <c r="K677" s="198" t="s">
        <v>37</v>
      </c>
      <c r="L677" s="197" t="s">
        <v>37</v>
      </c>
      <c r="M677" s="198" t="s">
        <v>623</v>
      </c>
      <c r="N677" s="202">
        <v>10650</v>
      </c>
      <c r="O677" s="122" t="s">
        <v>18</v>
      </c>
      <c r="P677" s="172"/>
      <c r="Q677" s="210"/>
    </row>
    <row r="678" spans="1:17" x14ac:dyDescent="0.2">
      <c r="A678" s="155" t="s">
        <v>990</v>
      </c>
      <c r="B678" s="125">
        <v>2001823</v>
      </c>
      <c r="C678" s="125">
        <v>10576</v>
      </c>
      <c r="D678" s="125" t="s">
        <v>630</v>
      </c>
      <c r="E678" s="125">
        <v>72</v>
      </c>
      <c r="F678" s="125" t="str">
        <f>IF(E678&lt;=20,"0-19",
IF(E678&lt;=50,"20-49",
IF(E678&lt;=80,"50-79","80+")))</f>
        <v>50-79</v>
      </c>
      <c r="G678" s="125" t="s">
        <v>60</v>
      </c>
      <c r="H678" s="125" t="s">
        <v>22</v>
      </c>
      <c r="I678" s="125" t="s">
        <v>514</v>
      </c>
      <c r="J678" s="125" t="s">
        <v>2295</v>
      </c>
      <c r="K678" s="119" t="s">
        <v>859</v>
      </c>
      <c r="L678" s="119" t="s">
        <v>859</v>
      </c>
      <c r="M678" s="125" t="s">
        <v>623</v>
      </c>
      <c r="N678" s="162">
        <v>10650</v>
      </c>
      <c r="O678" s="125" t="s">
        <v>832</v>
      </c>
      <c r="P678" s="172"/>
      <c r="Q678" s="210"/>
    </row>
    <row r="679" spans="1:17" x14ac:dyDescent="0.2">
      <c r="A679" s="155" t="s">
        <v>990</v>
      </c>
      <c r="B679" s="125">
        <v>2019634</v>
      </c>
      <c r="C679" s="125">
        <v>42684</v>
      </c>
      <c r="D679" s="125" t="s">
        <v>1173</v>
      </c>
      <c r="E679" s="125">
        <v>72</v>
      </c>
      <c r="F679" s="125" t="str">
        <f>IF(E679&lt;=20,"0-19",
IF(E679&lt;=50,"20-49",
IF(E679&lt;=80,"50-79","80+")))</f>
        <v>50-79</v>
      </c>
      <c r="G679" s="125" t="s">
        <v>60</v>
      </c>
      <c r="H679" s="125" t="s">
        <v>15</v>
      </c>
      <c r="I679" s="125" t="s">
        <v>514</v>
      </c>
      <c r="J679" s="125" t="s">
        <v>2295</v>
      </c>
      <c r="K679" s="119" t="s">
        <v>859</v>
      </c>
      <c r="L679" s="119" t="s">
        <v>859</v>
      </c>
      <c r="M679" s="125" t="s">
        <v>623</v>
      </c>
      <c r="N679" s="162">
        <v>10650</v>
      </c>
      <c r="O679" s="125" t="s">
        <v>832</v>
      </c>
      <c r="P679" s="173"/>
      <c r="Q679" s="210"/>
    </row>
    <row r="680" spans="1:17" x14ac:dyDescent="0.2">
      <c r="A680" s="143" t="s">
        <v>1560</v>
      </c>
      <c r="B680" s="122">
        <v>2001823</v>
      </c>
      <c r="C680" s="122">
        <v>10576</v>
      </c>
      <c r="D680" s="122" t="s">
        <v>1568</v>
      </c>
      <c r="E680" s="122">
        <v>72</v>
      </c>
      <c r="F680" s="122" t="str">
        <f>IF(E680&lt;=20,"0-19",
IF(E680&lt;=50,"20-49",
IF(E680&lt;=80,"50-79","80+")))</f>
        <v>50-79</v>
      </c>
      <c r="G680" s="122" t="s">
        <v>60</v>
      </c>
      <c r="H680" s="122" t="s">
        <v>22</v>
      </c>
      <c r="I680" s="123" t="s">
        <v>514</v>
      </c>
      <c r="J680" s="123" t="s">
        <v>2295</v>
      </c>
      <c r="K680" s="122" t="s">
        <v>1551</v>
      </c>
      <c r="L680" s="122" t="s">
        <v>1551</v>
      </c>
      <c r="M680" s="122" t="s">
        <v>623</v>
      </c>
      <c r="N680" s="124">
        <v>10650</v>
      </c>
      <c r="O680" s="124" t="s">
        <v>2254</v>
      </c>
      <c r="P680" s="147">
        <v>254721872105</v>
      </c>
      <c r="Q680" s="210"/>
    </row>
    <row r="681" spans="1:17" x14ac:dyDescent="0.2">
      <c r="A681" s="142" t="s">
        <v>354</v>
      </c>
      <c r="B681" s="125">
        <v>2017742</v>
      </c>
      <c r="C681" s="125">
        <v>37239</v>
      </c>
      <c r="D681" s="125" t="s">
        <v>675</v>
      </c>
      <c r="E681" s="125">
        <v>57</v>
      </c>
      <c r="F681" s="125" t="str">
        <f>IF(E681&lt;=20,"0-19",
IF(E681&lt;=50,"20-49",
IF(E681&lt;=80,"50-79","80+")))</f>
        <v>50-79</v>
      </c>
      <c r="G681" s="125" t="s">
        <v>60</v>
      </c>
      <c r="H681" s="125" t="s">
        <v>22</v>
      </c>
      <c r="I681" s="119" t="s">
        <v>514</v>
      </c>
      <c r="J681" s="119" t="s">
        <v>2295</v>
      </c>
      <c r="K681" s="125" t="s">
        <v>1552</v>
      </c>
      <c r="L681" s="125" t="s">
        <v>1551</v>
      </c>
      <c r="M681" s="125" t="s">
        <v>623</v>
      </c>
      <c r="N681" s="126">
        <v>9025</v>
      </c>
      <c r="O681" s="126" t="s">
        <v>2254</v>
      </c>
      <c r="P681" s="146">
        <v>254715565766</v>
      </c>
      <c r="Q681" s="210"/>
    </row>
    <row r="682" spans="1:17" x14ac:dyDescent="0.2">
      <c r="A682" s="142" t="s">
        <v>1560</v>
      </c>
      <c r="B682" s="125">
        <v>2019634</v>
      </c>
      <c r="C682" s="125">
        <v>42684</v>
      </c>
      <c r="D682" s="125" t="s">
        <v>1569</v>
      </c>
      <c r="E682" s="125">
        <v>69</v>
      </c>
      <c r="F682" s="125" t="str">
        <f>IF(E682&lt;=20,"0-19",
IF(E682&lt;=50,"20-49",
IF(E682&lt;=80,"50-79","80+")))</f>
        <v>50-79</v>
      </c>
      <c r="G682" s="125" t="s">
        <v>60</v>
      </c>
      <c r="H682" s="125" t="s">
        <v>15</v>
      </c>
      <c r="I682" s="119" t="s">
        <v>514</v>
      </c>
      <c r="J682" s="119" t="s">
        <v>2295</v>
      </c>
      <c r="K682" s="125" t="s">
        <v>1551</v>
      </c>
      <c r="L682" s="125" t="s">
        <v>1551</v>
      </c>
      <c r="M682" s="125" t="s">
        <v>623</v>
      </c>
      <c r="N682" s="126">
        <v>10650</v>
      </c>
      <c r="O682" s="126" t="s">
        <v>2254</v>
      </c>
      <c r="P682" s="146">
        <v>254729562568</v>
      </c>
      <c r="Q682" s="210"/>
    </row>
    <row r="683" spans="1:17" ht="21" x14ac:dyDescent="0.2">
      <c r="A683" s="156" t="s">
        <v>228</v>
      </c>
      <c r="B683" s="197">
        <v>2005037</v>
      </c>
      <c r="C683" s="197">
        <v>5326</v>
      </c>
      <c r="D683" s="198" t="s">
        <v>638</v>
      </c>
      <c r="E683" s="197">
        <v>18</v>
      </c>
      <c r="F683" s="197" t="str">
        <f>IF(E683&lt;=20,"0-19",
IF(E683&lt;=50,"20-49",
IF(E683&lt;=80,"50-79","80+")))</f>
        <v>0-19</v>
      </c>
      <c r="G683" s="197" t="s">
        <v>60</v>
      </c>
      <c r="H683" s="197" t="s">
        <v>132</v>
      </c>
      <c r="I683" s="198" t="s">
        <v>514</v>
      </c>
      <c r="J683" s="198" t="s">
        <v>2295</v>
      </c>
      <c r="K683" s="198" t="s">
        <v>642</v>
      </c>
      <c r="L683" s="197" t="s">
        <v>42</v>
      </c>
      <c r="M683" s="198" t="s">
        <v>623</v>
      </c>
      <c r="N683" s="202">
        <v>5639.71</v>
      </c>
      <c r="O683" s="125" t="s">
        <v>18</v>
      </c>
      <c r="P683" s="173"/>
      <c r="Q683" s="210"/>
    </row>
    <row r="684" spans="1:17" x14ac:dyDescent="0.2">
      <c r="A684" s="156" t="s">
        <v>12</v>
      </c>
      <c r="B684" s="197">
        <v>2001893</v>
      </c>
      <c r="C684" s="197">
        <v>9046</v>
      </c>
      <c r="D684" s="198" t="s">
        <v>626</v>
      </c>
      <c r="E684" s="197">
        <v>69</v>
      </c>
      <c r="F684" s="197" t="str">
        <f>IF(E684&lt;=20,"0-19",
IF(E684&lt;=50,"20-49",
IF(E684&lt;=80,"50-79","80+")))</f>
        <v>50-79</v>
      </c>
      <c r="G684" s="197" t="s">
        <v>60</v>
      </c>
      <c r="H684" s="197" t="s">
        <v>22</v>
      </c>
      <c r="I684" s="198" t="s">
        <v>514</v>
      </c>
      <c r="J684" s="198" t="s">
        <v>2295</v>
      </c>
      <c r="K684" s="198" t="s">
        <v>42</v>
      </c>
      <c r="L684" s="197" t="s">
        <v>42</v>
      </c>
      <c r="M684" s="198" t="s">
        <v>623</v>
      </c>
      <c r="N684" s="202">
        <v>9500</v>
      </c>
      <c r="O684" s="125" t="s">
        <v>18</v>
      </c>
      <c r="P684" s="173"/>
      <c r="Q684" s="210"/>
    </row>
    <row r="685" spans="1:17" x14ac:dyDescent="0.2">
      <c r="A685" s="155" t="s">
        <v>142</v>
      </c>
      <c r="B685" s="197">
        <v>2017509</v>
      </c>
      <c r="C685" s="197">
        <v>19309</v>
      </c>
      <c r="D685" s="198" t="s">
        <v>652</v>
      </c>
      <c r="E685" s="197">
        <v>63</v>
      </c>
      <c r="F685" s="197" t="str">
        <f>IF(E685&lt;=20,"0-19",
IF(E685&lt;=50,"20-49",
IF(E685&lt;=80,"50-79","80+")))</f>
        <v>50-79</v>
      </c>
      <c r="G685" s="197" t="s">
        <v>60</v>
      </c>
      <c r="H685" s="197" t="s">
        <v>22</v>
      </c>
      <c r="I685" s="198" t="s">
        <v>514</v>
      </c>
      <c r="J685" s="198" t="s">
        <v>2295</v>
      </c>
      <c r="K685" s="198" t="s">
        <v>42</v>
      </c>
      <c r="L685" s="197" t="s">
        <v>42</v>
      </c>
      <c r="M685" s="198" t="s">
        <v>623</v>
      </c>
      <c r="N685" s="202">
        <v>8500</v>
      </c>
      <c r="O685" s="122" t="s">
        <v>18</v>
      </c>
      <c r="P685" s="172"/>
      <c r="Q685" s="210"/>
    </row>
    <row r="686" spans="1:17" ht="21" x14ac:dyDescent="0.2">
      <c r="A686" s="144" t="s">
        <v>75</v>
      </c>
      <c r="B686" s="197">
        <v>2017742</v>
      </c>
      <c r="C686" s="197">
        <v>37239</v>
      </c>
      <c r="D686" s="198" t="s">
        <v>675</v>
      </c>
      <c r="E686" s="197">
        <v>60</v>
      </c>
      <c r="F686" s="197" t="str">
        <f>IF(E686&lt;=20,"0-19",
IF(E686&lt;=50,"20-49",
IF(E686&lt;=80,"50-79","80+")))</f>
        <v>50-79</v>
      </c>
      <c r="G686" s="197" t="s">
        <v>60</v>
      </c>
      <c r="H686" s="197" t="s">
        <v>22</v>
      </c>
      <c r="I686" s="198" t="s">
        <v>514</v>
      </c>
      <c r="J686" s="198" t="s">
        <v>2295</v>
      </c>
      <c r="K686" s="198" t="s">
        <v>677</v>
      </c>
      <c r="L686" s="197" t="s">
        <v>42</v>
      </c>
      <c r="M686" s="198" t="s">
        <v>623</v>
      </c>
      <c r="N686" s="202">
        <v>9025</v>
      </c>
      <c r="O686" s="122" t="s">
        <v>18</v>
      </c>
      <c r="P686" s="172"/>
      <c r="Q686" s="210"/>
    </row>
    <row r="687" spans="1:17" x14ac:dyDescent="0.2">
      <c r="A687" s="155" t="s">
        <v>12</v>
      </c>
      <c r="B687" s="125">
        <v>2001893</v>
      </c>
      <c r="C687" s="125">
        <v>9046</v>
      </c>
      <c r="D687" s="125" t="s">
        <v>625</v>
      </c>
      <c r="E687" s="125">
        <v>69</v>
      </c>
      <c r="F687" s="125" t="str">
        <f>IF(E687&lt;=20,"0-19",
IF(E687&lt;=50,"20-49",
IF(E687&lt;=80,"50-79","80+")))</f>
        <v>50-79</v>
      </c>
      <c r="G687" s="125" t="s">
        <v>60</v>
      </c>
      <c r="H687" s="125" t="s">
        <v>22</v>
      </c>
      <c r="I687" s="125" t="s">
        <v>514</v>
      </c>
      <c r="J687" s="125" t="s">
        <v>2295</v>
      </c>
      <c r="K687" s="119" t="s">
        <v>860</v>
      </c>
      <c r="L687" s="119" t="s">
        <v>860</v>
      </c>
      <c r="M687" s="125" t="s">
        <v>623</v>
      </c>
      <c r="N687" s="162">
        <v>9500</v>
      </c>
      <c r="O687" s="125" t="s">
        <v>832</v>
      </c>
      <c r="P687" s="172"/>
      <c r="Q687" s="210"/>
    </row>
    <row r="688" spans="1:17" x14ac:dyDescent="0.2">
      <c r="A688" s="155" t="s">
        <v>544</v>
      </c>
      <c r="B688" s="125">
        <v>2012620</v>
      </c>
      <c r="C688" s="125">
        <v>102835</v>
      </c>
      <c r="D688" s="125" t="s">
        <v>685</v>
      </c>
      <c r="E688" s="125">
        <v>64</v>
      </c>
      <c r="F688" s="125" t="str">
        <f>IF(E688&lt;=20,"0-19",
IF(E688&lt;=50,"20-49",
IF(E688&lt;=80,"50-79","80+")))</f>
        <v>50-79</v>
      </c>
      <c r="G688" s="125" t="s">
        <v>49</v>
      </c>
      <c r="H688" s="125" t="s">
        <v>15</v>
      </c>
      <c r="I688" s="125" t="s">
        <v>514</v>
      </c>
      <c r="J688" s="125" t="s">
        <v>2295</v>
      </c>
      <c r="K688" s="119" t="s">
        <v>860</v>
      </c>
      <c r="L688" s="119" t="s">
        <v>860</v>
      </c>
      <c r="M688" s="125" t="s">
        <v>623</v>
      </c>
      <c r="N688" s="162">
        <v>9500</v>
      </c>
      <c r="O688" s="125" t="s">
        <v>832</v>
      </c>
      <c r="P688" s="172"/>
      <c r="Q688" s="210"/>
    </row>
    <row r="689" spans="1:17" x14ac:dyDescent="0.2">
      <c r="A689" s="140" t="s">
        <v>340</v>
      </c>
      <c r="B689" s="125">
        <v>2014318</v>
      </c>
      <c r="C689" s="125">
        <v>61208</v>
      </c>
      <c r="D689" s="125" t="s">
        <v>651</v>
      </c>
      <c r="E689" s="125">
        <v>64</v>
      </c>
      <c r="F689" s="125" t="str">
        <f>IF(E689&lt;=20,"0-19",
IF(E689&lt;=50,"20-49",
IF(E689&lt;=80,"50-79","80+")))</f>
        <v>50-79</v>
      </c>
      <c r="G689" s="125" t="s">
        <v>60</v>
      </c>
      <c r="H689" s="125" t="s">
        <v>22</v>
      </c>
      <c r="I689" s="119" t="s">
        <v>514</v>
      </c>
      <c r="J689" s="119" t="s">
        <v>2295</v>
      </c>
      <c r="K689" s="125" t="s">
        <v>1558</v>
      </c>
      <c r="L689" s="125" t="s">
        <v>1559</v>
      </c>
      <c r="M689" s="125" t="s">
        <v>623</v>
      </c>
      <c r="N689" s="126">
        <v>9500</v>
      </c>
      <c r="O689" s="126" t="s">
        <v>2254</v>
      </c>
      <c r="P689" s="146">
        <v>254759231438</v>
      </c>
      <c r="Q689" s="210"/>
    </row>
    <row r="690" spans="1:17" x14ac:dyDescent="0.2">
      <c r="A690" s="143" t="s">
        <v>544</v>
      </c>
      <c r="B690" s="122">
        <v>2012620</v>
      </c>
      <c r="C690" s="122">
        <v>102835</v>
      </c>
      <c r="D690" s="122" t="s">
        <v>685</v>
      </c>
      <c r="E690" s="122">
        <v>64</v>
      </c>
      <c r="F690" s="122" t="str">
        <f>IF(E690&lt;=20,"0-19",
IF(E690&lt;=50,"20-49",
IF(E690&lt;=80,"50-79","80+")))</f>
        <v>50-79</v>
      </c>
      <c r="G690" s="122" t="s">
        <v>49</v>
      </c>
      <c r="H690" s="122" t="s">
        <v>15</v>
      </c>
      <c r="I690" s="123" t="s">
        <v>514</v>
      </c>
      <c r="J690" s="123" t="s">
        <v>2295</v>
      </c>
      <c r="K690" s="122" t="s">
        <v>1559</v>
      </c>
      <c r="L690" s="122" t="s">
        <v>1559</v>
      </c>
      <c r="M690" s="122" t="s">
        <v>623</v>
      </c>
      <c r="N690" s="124">
        <v>9500</v>
      </c>
      <c r="O690" s="124" t="s">
        <v>2254</v>
      </c>
      <c r="P690" s="147">
        <v>254759231438</v>
      </c>
      <c r="Q690" s="210"/>
    </row>
    <row r="691" spans="1:17" ht="21" x14ac:dyDescent="0.2">
      <c r="A691" s="156" t="s">
        <v>228</v>
      </c>
      <c r="B691" s="121">
        <v>2005037</v>
      </c>
      <c r="C691" s="122">
        <v>5326</v>
      </c>
      <c r="D691" s="121" t="s">
        <v>638</v>
      </c>
      <c r="E691" s="121">
        <v>18</v>
      </c>
      <c r="F691" s="121" t="str">
        <f>IF(E691&lt;=20,"0-19",
IF(E691&lt;=50,"20-49",
IF(E691&lt;=80,"50-79","80+")))</f>
        <v>0-19</v>
      </c>
      <c r="G691" s="121" t="s">
        <v>60</v>
      </c>
      <c r="H691" s="121" t="s">
        <v>132</v>
      </c>
      <c r="I691" s="121" t="s">
        <v>514</v>
      </c>
      <c r="J691" s="121" t="s">
        <v>2295</v>
      </c>
      <c r="K691" s="121" t="s">
        <v>561</v>
      </c>
      <c r="L691" s="121" t="s">
        <v>78</v>
      </c>
      <c r="M691" s="198" t="s">
        <v>623</v>
      </c>
      <c r="N691" s="191">
        <v>7899.37</v>
      </c>
      <c r="O691" s="122" t="s">
        <v>18</v>
      </c>
      <c r="P691" s="172"/>
      <c r="Q691" s="210"/>
    </row>
    <row r="692" spans="1:17" ht="21" x14ac:dyDescent="0.2">
      <c r="A692" s="145" t="s">
        <v>75</v>
      </c>
      <c r="B692" s="118">
        <v>202754</v>
      </c>
      <c r="C692" s="125">
        <v>11467</v>
      </c>
      <c r="D692" s="118" t="s">
        <v>673</v>
      </c>
      <c r="E692" s="118">
        <v>74</v>
      </c>
      <c r="F692" s="118" t="str">
        <f>IF(E692&lt;=20,"0-19",
IF(E692&lt;=50,"20-49",
IF(E692&lt;=80,"50-79","80+")))</f>
        <v>50-79</v>
      </c>
      <c r="G692" s="118" t="s">
        <v>60</v>
      </c>
      <c r="H692" s="118" t="s">
        <v>22</v>
      </c>
      <c r="I692" s="118" t="s">
        <v>514</v>
      </c>
      <c r="J692" s="118" t="s">
        <v>2295</v>
      </c>
      <c r="K692" s="118" t="s">
        <v>606</v>
      </c>
      <c r="L692" s="118" t="s">
        <v>78</v>
      </c>
      <c r="M692" s="198" t="s">
        <v>623</v>
      </c>
      <c r="N692" s="160">
        <v>22469</v>
      </c>
      <c r="O692" s="125" t="s">
        <v>18</v>
      </c>
      <c r="P692" s="173"/>
      <c r="Q692" s="210"/>
    </row>
    <row r="693" spans="1:17" ht="21" x14ac:dyDescent="0.2">
      <c r="A693" s="155" t="s">
        <v>373</v>
      </c>
      <c r="B693" s="121">
        <v>2011198</v>
      </c>
      <c r="C693" s="122">
        <v>18587</v>
      </c>
      <c r="D693" s="121" t="s">
        <v>694</v>
      </c>
      <c r="E693" s="121">
        <v>75</v>
      </c>
      <c r="F693" s="121" t="str">
        <f>IF(E693&lt;=20,"0-19",
IF(E693&lt;=50,"20-49",
IF(E693&lt;=80,"50-79","80+")))</f>
        <v>50-79</v>
      </c>
      <c r="G693" s="121" t="s">
        <v>60</v>
      </c>
      <c r="H693" s="121" t="s">
        <v>22</v>
      </c>
      <c r="I693" s="121" t="s">
        <v>514</v>
      </c>
      <c r="J693" s="121" t="s">
        <v>2295</v>
      </c>
      <c r="K693" s="121" t="s">
        <v>695</v>
      </c>
      <c r="L693" s="121" t="s">
        <v>78</v>
      </c>
      <c r="M693" s="198" t="s">
        <v>623</v>
      </c>
      <c r="N693" s="191">
        <v>33140</v>
      </c>
      <c r="O693" s="122" t="s">
        <v>18</v>
      </c>
      <c r="P693" s="172"/>
      <c r="Q693" s="210"/>
    </row>
    <row r="694" spans="1:17" x14ac:dyDescent="0.2">
      <c r="A694" s="155" t="s">
        <v>319</v>
      </c>
      <c r="B694" s="122">
        <v>2001823</v>
      </c>
      <c r="C694" s="122">
        <v>10576</v>
      </c>
      <c r="D694" s="122" t="s">
        <v>630</v>
      </c>
      <c r="E694" s="123">
        <v>72</v>
      </c>
      <c r="F694" s="123" t="str">
        <f>IF(E694&lt;=20,"0-19",
IF(E694&lt;=50,"20-49",
IF(E694&lt;=80,"50-79","80+")))</f>
        <v>50-79</v>
      </c>
      <c r="G694" s="122" t="s">
        <v>60</v>
      </c>
      <c r="H694" s="122" t="s">
        <v>22</v>
      </c>
      <c r="I694" s="122" t="s">
        <v>514</v>
      </c>
      <c r="J694" s="122" t="s">
        <v>2295</v>
      </c>
      <c r="K694" s="123" t="s">
        <v>79</v>
      </c>
      <c r="L694" s="123" t="s">
        <v>79</v>
      </c>
      <c r="M694" s="122" t="s">
        <v>623</v>
      </c>
      <c r="N694" s="157">
        <v>10650</v>
      </c>
      <c r="O694" s="122" t="s">
        <v>18</v>
      </c>
      <c r="P694" s="172"/>
      <c r="Q694" s="210"/>
    </row>
    <row r="695" spans="1:17" x14ac:dyDescent="0.2">
      <c r="A695" s="155" t="s">
        <v>319</v>
      </c>
      <c r="B695" s="125">
        <v>2019634</v>
      </c>
      <c r="C695" s="125">
        <v>42684</v>
      </c>
      <c r="D695" s="125" t="s">
        <v>628</v>
      </c>
      <c r="E695" s="119">
        <v>69</v>
      </c>
      <c r="F695" s="119" t="str">
        <f>IF(E695&lt;=20,"0-19",
IF(E695&lt;=50,"20-49",
IF(E695&lt;=80,"50-79","80+")))</f>
        <v>50-79</v>
      </c>
      <c r="G695" s="125" t="s">
        <v>60</v>
      </c>
      <c r="H695" s="125" t="s">
        <v>15</v>
      </c>
      <c r="I695" s="125" t="s">
        <v>514</v>
      </c>
      <c r="J695" s="125" t="s">
        <v>2295</v>
      </c>
      <c r="K695" s="119" t="s">
        <v>79</v>
      </c>
      <c r="L695" s="119" t="s">
        <v>79</v>
      </c>
      <c r="M695" s="125" t="s">
        <v>623</v>
      </c>
      <c r="N695" s="165">
        <v>10650</v>
      </c>
      <c r="O695" s="125" t="s">
        <v>18</v>
      </c>
      <c r="P695" s="173"/>
      <c r="Q695" s="210"/>
    </row>
    <row r="696" spans="1:17" x14ac:dyDescent="0.2">
      <c r="A696" s="144" t="s">
        <v>456</v>
      </c>
      <c r="B696" s="122">
        <v>2010871</v>
      </c>
      <c r="C696" s="122">
        <v>56685</v>
      </c>
      <c r="D696" s="122" t="s">
        <v>679</v>
      </c>
      <c r="E696" s="123">
        <v>63</v>
      </c>
      <c r="F696" s="123" t="str">
        <f>IF(E696&lt;=20,"0-19",
IF(E696&lt;=50,"20-49",
IF(E696&lt;=80,"50-79","80+")))</f>
        <v>50-79</v>
      </c>
      <c r="G696" s="122" t="s">
        <v>60</v>
      </c>
      <c r="H696" s="122" t="s">
        <v>22</v>
      </c>
      <c r="I696" s="122" t="s">
        <v>514</v>
      </c>
      <c r="J696" s="122" t="s">
        <v>2295</v>
      </c>
      <c r="K696" s="123" t="s">
        <v>79</v>
      </c>
      <c r="L696" s="123" t="s">
        <v>79</v>
      </c>
      <c r="M696" s="122" t="s">
        <v>623</v>
      </c>
      <c r="N696" s="157">
        <v>9025</v>
      </c>
      <c r="O696" s="122" t="s">
        <v>18</v>
      </c>
      <c r="P696" s="172"/>
      <c r="Q696" s="210"/>
    </row>
    <row r="697" spans="1:17" x14ac:dyDescent="0.2">
      <c r="A697" s="155" t="s">
        <v>340</v>
      </c>
      <c r="B697" s="125">
        <v>2014318</v>
      </c>
      <c r="C697" s="125">
        <v>61208</v>
      </c>
      <c r="D697" s="125" t="s">
        <v>651</v>
      </c>
      <c r="E697" s="125">
        <v>62</v>
      </c>
      <c r="F697" s="125" t="str">
        <f>IF(E697&lt;=20,"0-19",
IF(E697&lt;=50,"20-49",
IF(E697&lt;=80,"50-79","80+")))</f>
        <v>50-79</v>
      </c>
      <c r="G697" s="125" t="s">
        <v>49</v>
      </c>
      <c r="H697" s="125" t="s">
        <v>22</v>
      </c>
      <c r="I697" s="125" t="s">
        <v>514</v>
      </c>
      <c r="J697" s="125" t="s">
        <v>2295</v>
      </c>
      <c r="K697" s="125" t="s">
        <v>1236</v>
      </c>
      <c r="L697" s="125" t="s">
        <v>1236</v>
      </c>
      <c r="M697" s="125" t="s">
        <v>623</v>
      </c>
      <c r="N697" s="162">
        <v>9500</v>
      </c>
      <c r="O697" s="125" t="s">
        <v>832</v>
      </c>
      <c r="P697" s="173"/>
      <c r="Q697" s="210"/>
    </row>
    <row r="698" spans="1:17" x14ac:dyDescent="0.2">
      <c r="A698" s="156" t="s">
        <v>12</v>
      </c>
      <c r="B698" s="122">
        <v>2001893</v>
      </c>
      <c r="C698" s="122">
        <v>9046</v>
      </c>
      <c r="D698" s="122" t="s">
        <v>625</v>
      </c>
      <c r="E698" s="123">
        <v>69</v>
      </c>
      <c r="F698" s="123" t="str">
        <f>IF(E698&lt;=20,"0-19",
IF(E698&lt;=50,"20-49",
IF(E698&lt;=80,"50-79","80+")))</f>
        <v>50-79</v>
      </c>
      <c r="G698" s="122" t="s">
        <v>60</v>
      </c>
      <c r="H698" s="122" t="s">
        <v>22</v>
      </c>
      <c r="I698" s="122" t="s">
        <v>514</v>
      </c>
      <c r="J698" s="122" t="s">
        <v>2295</v>
      </c>
      <c r="K698" s="123" t="s">
        <v>141</v>
      </c>
      <c r="L698" s="123" t="s">
        <v>141</v>
      </c>
      <c r="M698" s="122" t="s">
        <v>623</v>
      </c>
      <c r="N698" s="157">
        <v>9500</v>
      </c>
      <c r="O698" s="122" t="s">
        <v>18</v>
      </c>
      <c r="P698" s="172"/>
      <c r="Q698" s="210"/>
    </row>
    <row r="699" spans="1:17" ht="21" x14ac:dyDescent="0.2">
      <c r="A699" s="155" t="s">
        <v>53</v>
      </c>
      <c r="B699" s="125">
        <v>2020238</v>
      </c>
      <c r="C699" s="125">
        <v>43253</v>
      </c>
      <c r="D699" s="125" t="s">
        <v>647</v>
      </c>
      <c r="E699" s="119">
        <v>65</v>
      </c>
      <c r="F699" s="119" t="str">
        <f>IF(E699&lt;=20,"0-19",
IF(E699&lt;=50,"20-49",
IF(E699&lt;=80,"50-79","80+")))</f>
        <v>50-79</v>
      </c>
      <c r="G699" s="125" t="s">
        <v>49</v>
      </c>
      <c r="H699" s="125" t="s">
        <v>15</v>
      </c>
      <c r="I699" s="125" t="s">
        <v>514</v>
      </c>
      <c r="J699" s="125" t="s">
        <v>2295</v>
      </c>
      <c r="K699" s="119" t="s">
        <v>648</v>
      </c>
      <c r="L699" s="119" t="s">
        <v>141</v>
      </c>
      <c r="M699" s="125" t="s">
        <v>623</v>
      </c>
      <c r="N699" s="165">
        <v>7000</v>
      </c>
      <c r="O699" s="125" t="s">
        <v>18</v>
      </c>
      <c r="P699" s="173"/>
      <c r="Q699" s="210"/>
    </row>
    <row r="700" spans="1:17" x14ac:dyDescent="0.2">
      <c r="A700" s="155" t="s">
        <v>990</v>
      </c>
      <c r="B700" s="118">
        <v>2001823</v>
      </c>
      <c r="C700" s="125">
        <v>10576</v>
      </c>
      <c r="D700" s="118" t="s">
        <v>630</v>
      </c>
      <c r="E700" s="118">
        <v>72</v>
      </c>
      <c r="F700" s="118" t="str">
        <f>IF(E700&lt;=20,"0-19",
IF(E700&lt;=50,"20-49",
IF(E700&lt;=80,"50-79","80+")))</f>
        <v>50-79</v>
      </c>
      <c r="G700" s="118" t="s">
        <v>60</v>
      </c>
      <c r="H700" s="118" t="s">
        <v>22</v>
      </c>
      <c r="I700" s="118" t="s">
        <v>514</v>
      </c>
      <c r="J700" s="118" t="s">
        <v>2295</v>
      </c>
      <c r="K700" s="118" t="s">
        <v>1260</v>
      </c>
      <c r="L700" s="118" t="s">
        <v>1260</v>
      </c>
      <c r="M700" s="125" t="s">
        <v>623</v>
      </c>
      <c r="N700" s="160">
        <v>10650</v>
      </c>
      <c r="O700" s="125" t="s">
        <v>832</v>
      </c>
      <c r="P700" s="172"/>
      <c r="Q700" s="210"/>
    </row>
    <row r="701" spans="1:17" x14ac:dyDescent="0.2">
      <c r="A701" s="155" t="s">
        <v>68</v>
      </c>
      <c r="B701" s="118">
        <v>2002953</v>
      </c>
      <c r="C701" s="125">
        <v>18654</v>
      </c>
      <c r="D701" s="118" t="s">
        <v>654</v>
      </c>
      <c r="E701" s="118">
        <v>63</v>
      </c>
      <c r="F701" s="118" t="str">
        <f>IF(E701&lt;=20,"0-19",
IF(E701&lt;=50,"20-49",
IF(E701&lt;=80,"50-79","80+")))</f>
        <v>50-79</v>
      </c>
      <c r="G701" s="118" t="s">
        <v>60</v>
      </c>
      <c r="H701" s="118" t="s">
        <v>22</v>
      </c>
      <c r="I701" s="118" t="s">
        <v>514</v>
      </c>
      <c r="J701" s="118" t="s">
        <v>2295</v>
      </c>
      <c r="K701" s="118" t="s">
        <v>1260</v>
      </c>
      <c r="L701" s="118" t="s">
        <v>1260</v>
      </c>
      <c r="M701" s="125" t="s">
        <v>623</v>
      </c>
      <c r="N701" s="160">
        <v>11974</v>
      </c>
      <c r="O701" s="125" t="s">
        <v>832</v>
      </c>
      <c r="P701" s="172"/>
      <c r="Q701" s="210"/>
    </row>
    <row r="702" spans="1:17" ht="31.5" x14ac:dyDescent="0.2">
      <c r="A702" s="155" t="s">
        <v>836</v>
      </c>
      <c r="B702" s="119">
        <v>2502095</v>
      </c>
      <c r="C702" s="125">
        <v>21102</v>
      </c>
      <c r="D702" s="119" t="s">
        <v>665</v>
      </c>
      <c r="E702" s="119">
        <v>57</v>
      </c>
      <c r="F702" s="119" t="str">
        <f>IF(E702&lt;=20,"0-19",
IF(E702&lt;=50,"20-49",
IF(E702&lt;=80,"50-79","80+")))</f>
        <v>50-79</v>
      </c>
      <c r="G702" s="119" t="s">
        <v>60</v>
      </c>
      <c r="H702" s="119" t="s">
        <v>22</v>
      </c>
      <c r="I702" s="119" t="s">
        <v>514</v>
      </c>
      <c r="J702" s="119" t="s">
        <v>2295</v>
      </c>
      <c r="K702" s="119" t="s">
        <v>1435</v>
      </c>
      <c r="L702" s="118" t="s">
        <v>1260</v>
      </c>
      <c r="M702" s="125" t="s">
        <v>623</v>
      </c>
      <c r="N702" s="160">
        <v>11500</v>
      </c>
      <c r="O702" s="125" t="s">
        <v>832</v>
      </c>
      <c r="P702" s="172"/>
      <c r="Q702" s="210"/>
    </row>
    <row r="703" spans="1:17" x14ac:dyDescent="0.2">
      <c r="A703" s="155" t="s">
        <v>990</v>
      </c>
      <c r="B703" s="118">
        <v>2019634</v>
      </c>
      <c r="C703" s="125">
        <v>42684</v>
      </c>
      <c r="D703" s="118" t="s">
        <v>628</v>
      </c>
      <c r="E703" s="118">
        <v>69</v>
      </c>
      <c r="F703" s="118" t="str">
        <f>IF(E703&lt;=20,"0-19",
IF(E703&lt;=50,"20-49",
IF(E703&lt;=80,"50-79","80+")))</f>
        <v>50-79</v>
      </c>
      <c r="G703" s="118" t="s">
        <v>60</v>
      </c>
      <c r="H703" s="118" t="s">
        <v>15</v>
      </c>
      <c r="I703" s="118" t="s">
        <v>514</v>
      </c>
      <c r="J703" s="118" t="s">
        <v>2295</v>
      </c>
      <c r="K703" s="118" t="s">
        <v>1260</v>
      </c>
      <c r="L703" s="118" t="s">
        <v>1260</v>
      </c>
      <c r="M703" s="125" t="s">
        <v>623</v>
      </c>
      <c r="N703" s="160">
        <v>10650</v>
      </c>
      <c r="O703" s="125" t="s">
        <v>832</v>
      </c>
      <c r="P703" s="173"/>
      <c r="Q703" s="210"/>
    </row>
    <row r="704" spans="1:17" ht="21" x14ac:dyDescent="0.2">
      <c r="A704" s="142" t="s">
        <v>1166</v>
      </c>
      <c r="B704" s="118">
        <v>2001893</v>
      </c>
      <c r="C704" s="125">
        <v>9046</v>
      </c>
      <c r="D704" s="119" t="s">
        <v>1909</v>
      </c>
      <c r="E704" s="119">
        <v>69</v>
      </c>
      <c r="F704" s="119" t="str">
        <f>IF(E704&lt;=20,"0-19",
IF(E704&lt;=50,"20-49",
IF(E704&lt;=80,"50-79","80+")))</f>
        <v>50-79</v>
      </c>
      <c r="G704" s="119" t="s">
        <v>60</v>
      </c>
      <c r="H704" s="119" t="s">
        <v>22</v>
      </c>
      <c r="I704" s="119" t="s">
        <v>514</v>
      </c>
      <c r="J704" s="119" t="s">
        <v>2295</v>
      </c>
      <c r="K704" s="119" t="s">
        <v>2264</v>
      </c>
      <c r="L704" s="119" t="s">
        <v>1911</v>
      </c>
      <c r="M704" s="125" t="s">
        <v>623</v>
      </c>
      <c r="N704" s="120">
        <v>9500</v>
      </c>
      <c r="O704" s="120" t="s">
        <v>2254</v>
      </c>
      <c r="P704" s="146">
        <v>254722849332</v>
      </c>
      <c r="Q704" s="210"/>
    </row>
    <row r="705" spans="1:17" x14ac:dyDescent="0.2">
      <c r="A705" s="143" t="s">
        <v>1560</v>
      </c>
      <c r="B705" s="121">
        <v>2001823</v>
      </c>
      <c r="C705" s="122">
        <v>10576</v>
      </c>
      <c r="D705" s="121" t="s">
        <v>630</v>
      </c>
      <c r="E705" s="121">
        <v>72</v>
      </c>
      <c r="F705" s="121" t="str">
        <f>IF(E705&lt;=20,"0-19",
IF(E705&lt;=50,"20-49",
IF(E705&lt;=80,"50-79","80+")))</f>
        <v>50-79</v>
      </c>
      <c r="G705" s="121" t="s">
        <v>60</v>
      </c>
      <c r="H705" s="121" t="s">
        <v>22</v>
      </c>
      <c r="I705" s="121" t="s">
        <v>514</v>
      </c>
      <c r="J705" s="121" t="s">
        <v>2295</v>
      </c>
      <c r="K705" s="123" t="s">
        <v>1911</v>
      </c>
      <c r="L705" s="123" t="s">
        <v>1911</v>
      </c>
      <c r="M705" s="122" t="s">
        <v>623</v>
      </c>
      <c r="N705" s="127">
        <v>10650</v>
      </c>
      <c r="O705" s="127" t="s">
        <v>2254</v>
      </c>
      <c r="P705" s="147">
        <v>254714272121</v>
      </c>
      <c r="Q705" s="210"/>
    </row>
    <row r="706" spans="1:17" x14ac:dyDescent="0.2">
      <c r="A706" s="142" t="s">
        <v>1560</v>
      </c>
      <c r="B706" s="118">
        <v>2019634</v>
      </c>
      <c r="C706" s="125">
        <v>42684</v>
      </c>
      <c r="D706" s="118" t="s">
        <v>628</v>
      </c>
      <c r="E706" s="118">
        <v>69</v>
      </c>
      <c r="F706" s="118" t="str">
        <f>IF(E706&lt;=20,"0-19",
IF(E706&lt;=50,"20-49",
IF(E706&lt;=80,"50-79","80+")))</f>
        <v>50-79</v>
      </c>
      <c r="G706" s="118" t="s">
        <v>60</v>
      </c>
      <c r="H706" s="118" t="s">
        <v>15</v>
      </c>
      <c r="I706" s="118" t="s">
        <v>514</v>
      </c>
      <c r="J706" s="118" t="s">
        <v>2295</v>
      </c>
      <c r="K706" s="119" t="s">
        <v>1911</v>
      </c>
      <c r="L706" s="119" t="s">
        <v>1911</v>
      </c>
      <c r="M706" s="125" t="s">
        <v>623</v>
      </c>
      <c r="N706" s="120">
        <v>10650</v>
      </c>
      <c r="O706" s="120" t="s">
        <v>2254</v>
      </c>
      <c r="P706" s="146">
        <v>254714272121</v>
      </c>
      <c r="Q706" s="210"/>
    </row>
    <row r="707" spans="1:17" x14ac:dyDescent="0.2">
      <c r="A707" s="155" t="s">
        <v>12</v>
      </c>
      <c r="B707" s="125">
        <v>2001893</v>
      </c>
      <c r="C707" s="125">
        <v>9046</v>
      </c>
      <c r="D707" s="125" t="s">
        <v>625</v>
      </c>
      <c r="E707" s="125">
        <v>69</v>
      </c>
      <c r="F707" s="125" t="str">
        <f>IF(E707&lt;=20,"0-19",
IF(E707&lt;=50,"20-49",
IF(E707&lt;=80,"50-79","80+")))</f>
        <v>50-79</v>
      </c>
      <c r="G707" s="125" t="s">
        <v>60</v>
      </c>
      <c r="H707" s="125" t="s">
        <v>22</v>
      </c>
      <c r="I707" s="119" t="s">
        <v>514</v>
      </c>
      <c r="J707" s="119" t="s">
        <v>2295</v>
      </c>
      <c r="K707" s="119" t="s">
        <v>1238</v>
      </c>
      <c r="L707" s="119" t="s">
        <v>1238</v>
      </c>
      <c r="M707" s="125" t="s">
        <v>623</v>
      </c>
      <c r="N707" s="162">
        <v>9500</v>
      </c>
      <c r="O707" s="125" t="s">
        <v>832</v>
      </c>
      <c r="P707" s="173"/>
      <c r="Q707" s="210"/>
    </row>
    <row r="708" spans="1:17" x14ac:dyDescent="0.2">
      <c r="A708" s="155" t="s">
        <v>12</v>
      </c>
      <c r="B708" s="125">
        <v>2001893</v>
      </c>
      <c r="C708" s="125">
        <v>9046</v>
      </c>
      <c r="D708" s="125" t="s">
        <v>625</v>
      </c>
      <c r="E708" s="125">
        <v>69</v>
      </c>
      <c r="F708" s="125" t="str">
        <f>IF(E708&lt;=20,"0-19",
IF(E708&lt;=50,"20-49",
IF(E708&lt;=80,"50-79","80+")))</f>
        <v>50-79</v>
      </c>
      <c r="G708" s="125" t="s">
        <v>60</v>
      </c>
      <c r="H708" s="125" t="s">
        <v>22</v>
      </c>
      <c r="I708" s="125" t="s">
        <v>514</v>
      </c>
      <c r="J708" s="125" t="s">
        <v>2295</v>
      </c>
      <c r="K708" s="125" t="s">
        <v>1238</v>
      </c>
      <c r="L708" s="125" t="s">
        <v>1238</v>
      </c>
      <c r="M708" s="125" t="s">
        <v>623</v>
      </c>
      <c r="N708" s="162">
        <v>9500</v>
      </c>
      <c r="O708" s="125" t="s">
        <v>832</v>
      </c>
      <c r="P708" s="172"/>
      <c r="Q708" s="210"/>
    </row>
    <row r="709" spans="1:17" x14ac:dyDescent="0.2">
      <c r="A709" s="155" t="s">
        <v>142</v>
      </c>
      <c r="B709" s="125">
        <v>2017509</v>
      </c>
      <c r="C709" s="125">
        <v>19309</v>
      </c>
      <c r="D709" s="125" t="s">
        <v>1403</v>
      </c>
      <c r="E709" s="125">
        <v>63</v>
      </c>
      <c r="F709" s="125" t="str">
        <f>IF(E709&lt;=20,"0-19",
IF(E709&lt;=50,"20-49",
IF(E709&lt;=80,"50-79","80+")))</f>
        <v>50-79</v>
      </c>
      <c r="G709" s="125" t="s">
        <v>60</v>
      </c>
      <c r="H709" s="125" t="s">
        <v>22</v>
      </c>
      <c r="I709" s="119" t="s">
        <v>514</v>
      </c>
      <c r="J709" s="119" t="s">
        <v>2295</v>
      </c>
      <c r="K709" s="119" t="s">
        <v>1238</v>
      </c>
      <c r="L709" s="119" t="s">
        <v>1238</v>
      </c>
      <c r="M709" s="125" t="s">
        <v>623</v>
      </c>
      <c r="N709" s="162">
        <v>8500</v>
      </c>
      <c r="O709" s="125" t="s">
        <v>832</v>
      </c>
      <c r="P709" s="172"/>
      <c r="Q709" s="210"/>
    </row>
    <row r="710" spans="1:17" x14ac:dyDescent="0.2">
      <c r="A710" s="140" t="s">
        <v>142</v>
      </c>
      <c r="B710" s="125">
        <v>2017509</v>
      </c>
      <c r="C710" s="125">
        <v>19309</v>
      </c>
      <c r="D710" s="125" t="s">
        <v>1894</v>
      </c>
      <c r="E710" s="125">
        <v>63</v>
      </c>
      <c r="F710" s="125" t="str">
        <f>IF(E710&lt;=20,"0-19",
IF(E710&lt;=50,"20-49",
IF(E710&lt;=80,"50-79","80+")))</f>
        <v>50-79</v>
      </c>
      <c r="G710" s="125" t="s">
        <v>60</v>
      </c>
      <c r="H710" s="125" t="s">
        <v>22</v>
      </c>
      <c r="I710" s="125" t="s">
        <v>514</v>
      </c>
      <c r="J710" s="125" t="s">
        <v>2295</v>
      </c>
      <c r="K710" s="119" t="s">
        <v>1895</v>
      </c>
      <c r="L710" s="125" t="s">
        <v>1895</v>
      </c>
      <c r="M710" s="125" t="s">
        <v>623</v>
      </c>
      <c r="N710" s="126">
        <v>8500</v>
      </c>
      <c r="O710" s="126" t="s">
        <v>2254</v>
      </c>
      <c r="P710" s="146">
        <v>254722271315</v>
      </c>
      <c r="Q710" s="210"/>
    </row>
    <row r="711" spans="1:17" ht="21" x14ac:dyDescent="0.2">
      <c r="A711" s="145" t="s">
        <v>544</v>
      </c>
      <c r="B711" s="125">
        <v>2003908</v>
      </c>
      <c r="C711" s="125">
        <v>15158</v>
      </c>
      <c r="D711" s="125" t="s">
        <v>693</v>
      </c>
      <c r="E711" s="119">
        <v>65</v>
      </c>
      <c r="F711" s="119" t="str">
        <f>IF(E711&lt;=20,"0-19",
IF(E711&lt;=50,"20-49",
IF(E711&lt;=80,"50-79","80+")))</f>
        <v>50-79</v>
      </c>
      <c r="G711" s="125" t="s">
        <v>60</v>
      </c>
      <c r="H711" s="125" t="s">
        <v>22</v>
      </c>
      <c r="I711" s="125" t="s">
        <v>514</v>
      </c>
      <c r="J711" s="125" t="s">
        <v>2295</v>
      </c>
      <c r="K711" s="119" t="s">
        <v>215</v>
      </c>
      <c r="L711" s="119" t="s">
        <v>94</v>
      </c>
      <c r="M711" s="125" t="s">
        <v>623</v>
      </c>
      <c r="N711" s="165">
        <v>268400</v>
      </c>
      <c r="O711" s="125" t="s">
        <v>18</v>
      </c>
      <c r="P711" s="173"/>
      <c r="Q711" s="210"/>
    </row>
    <row r="712" spans="1:17" x14ac:dyDescent="0.2">
      <c r="A712" s="142" t="s">
        <v>72</v>
      </c>
      <c r="B712" s="125">
        <v>2502095</v>
      </c>
      <c r="C712" s="125">
        <v>21102</v>
      </c>
      <c r="D712" s="125" t="s">
        <v>665</v>
      </c>
      <c r="E712" s="119">
        <v>57</v>
      </c>
      <c r="F712" s="119" t="str">
        <f>IF(E712&lt;=20,"0-19",
IF(E712&lt;=50,"20-49",
IF(E712&lt;=80,"50-79","80+")))</f>
        <v>50-79</v>
      </c>
      <c r="G712" s="125" t="s">
        <v>60</v>
      </c>
      <c r="H712" s="125" t="s">
        <v>22</v>
      </c>
      <c r="I712" s="125" t="s">
        <v>514</v>
      </c>
      <c r="J712" s="125" t="s">
        <v>2295</v>
      </c>
      <c r="K712" s="119" t="s">
        <v>666</v>
      </c>
      <c r="L712" s="119" t="s">
        <v>94</v>
      </c>
      <c r="M712" s="125" t="s">
        <v>623</v>
      </c>
      <c r="N712" s="165">
        <v>11500</v>
      </c>
      <c r="O712" s="125" t="s">
        <v>18</v>
      </c>
      <c r="P712" s="173"/>
      <c r="Q712" s="210"/>
    </row>
    <row r="713" spans="1:17" x14ac:dyDescent="0.2">
      <c r="A713" s="145" t="s">
        <v>340</v>
      </c>
      <c r="B713" s="125">
        <v>2014318</v>
      </c>
      <c r="C713" s="125">
        <v>61208</v>
      </c>
      <c r="D713" s="125" t="s">
        <v>651</v>
      </c>
      <c r="E713" s="119">
        <v>60</v>
      </c>
      <c r="F713" s="119" t="str">
        <f>IF(E713&lt;=20,"0-19",
IF(E713&lt;=50,"20-49",
IF(E713&lt;=80,"50-79","80+")))</f>
        <v>50-79</v>
      </c>
      <c r="G713" s="125" t="s">
        <v>60</v>
      </c>
      <c r="H713" s="125" t="s">
        <v>22</v>
      </c>
      <c r="I713" s="125" t="s">
        <v>514</v>
      </c>
      <c r="J713" s="125" t="s">
        <v>2295</v>
      </c>
      <c r="K713" s="119" t="s">
        <v>94</v>
      </c>
      <c r="L713" s="119" t="s">
        <v>94</v>
      </c>
      <c r="M713" s="125" t="s">
        <v>623</v>
      </c>
      <c r="N713" s="165">
        <v>9500</v>
      </c>
      <c r="O713" s="125" t="s">
        <v>18</v>
      </c>
      <c r="P713" s="173"/>
      <c r="Q713" s="210"/>
    </row>
    <row r="714" spans="1:17" x14ac:dyDescent="0.2">
      <c r="A714" s="155" t="s">
        <v>319</v>
      </c>
      <c r="B714" s="118">
        <v>2001823</v>
      </c>
      <c r="C714" s="118">
        <v>10576</v>
      </c>
      <c r="D714" s="118" t="s">
        <v>630</v>
      </c>
      <c r="E714" s="118">
        <v>72</v>
      </c>
      <c r="F714" s="118" t="str">
        <f>IF(E714&lt;=20,"0-19",
IF(E714&lt;=50,"20-49",
IF(E714&lt;=80,"50-79","80+")))</f>
        <v>50-79</v>
      </c>
      <c r="G714" s="118" t="s">
        <v>60</v>
      </c>
      <c r="H714" s="118" t="s">
        <v>22</v>
      </c>
      <c r="I714" s="118" t="s">
        <v>514</v>
      </c>
      <c r="J714" s="118" t="s">
        <v>2295</v>
      </c>
      <c r="K714" s="118" t="s">
        <v>99</v>
      </c>
      <c r="L714" s="118" t="s">
        <v>99</v>
      </c>
      <c r="M714" s="118" t="s">
        <v>623</v>
      </c>
      <c r="N714" s="160">
        <v>10650</v>
      </c>
      <c r="O714" s="125" t="s">
        <v>18</v>
      </c>
      <c r="P714" s="173"/>
      <c r="Q714" s="210"/>
    </row>
    <row r="715" spans="1:17" x14ac:dyDescent="0.2">
      <c r="A715" s="155" t="s">
        <v>319</v>
      </c>
      <c r="B715" s="121">
        <v>209634</v>
      </c>
      <c r="C715" s="121">
        <v>42684</v>
      </c>
      <c r="D715" s="121" t="s">
        <v>628</v>
      </c>
      <c r="E715" s="121">
        <v>69</v>
      </c>
      <c r="F715" s="121" t="str">
        <f>IF(E715&lt;=20,"0-19",
IF(E715&lt;=50,"20-49",
IF(E715&lt;=80,"50-79","80+")))</f>
        <v>50-79</v>
      </c>
      <c r="G715" s="121" t="s">
        <v>60</v>
      </c>
      <c r="H715" s="121" t="s">
        <v>15</v>
      </c>
      <c r="I715" s="121" t="s">
        <v>514</v>
      </c>
      <c r="J715" s="121" t="s">
        <v>2295</v>
      </c>
      <c r="K715" s="121" t="s">
        <v>99</v>
      </c>
      <c r="L715" s="121" t="s">
        <v>99</v>
      </c>
      <c r="M715" s="121" t="s">
        <v>623</v>
      </c>
      <c r="N715" s="191">
        <v>10650</v>
      </c>
      <c r="O715" s="122" t="s">
        <v>18</v>
      </c>
      <c r="P715" s="172"/>
      <c r="Q715" s="210"/>
    </row>
    <row r="716" spans="1:17" x14ac:dyDescent="0.2">
      <c r="A716" s="155" t="s">
        <v>990</v>
      </c>
      <c r="B716" s="125">
        <v>2001823</v>
      </c>
      <c r="C716" s="125">
        <v>10576</v>
      </c>
      <c r="D716" s="125" t="s">
        <v>630</v>
      </c>
      <c r="E716" s="125">
        <v>71</v>
      </c>
      <c r="F716" s="125" t="str">
        <f>IF(E716&lt;=20,"0-19",
IF(E716&lt;=50,"20-49",
IF(E716&lt;=80,"50-79","80+")))</f>
        <v>50-79</v>
      </c>
      <c r="G716" s="125" t="s">
        <v>60</v>
      </c>
      <c r="H716" s="125" t="s">
        <v>22</v>
      </c>
      <c r="I716" s="125" t="s">
        <v>699</v>
      </c>
      <c r="J716" s="125" t="s">
        <v>2295</v>
      </c>
      <c r="K716" s="125" t="s">
        <v>1249</v>
      </c>
      <c r="L716" s="125" t="s">
        <v>1249</v>
      </c>
      <c r="M716" s="125" t="s">
        <v>623</v>
      </c>
      <c r="N716" s="162">
        <v>10650</v>
      </c>
      <c r="O716" s="125" t="s">
        <v>832</v>
      </c>
      <c r="P716" s="173"/>
      <c r="Q716" s="210"/>
    </row>
    <row r="717" spans="1:17" x14ac:dyDescent="0.2">
      <c r="A717" s="155" t="s">
        <v>990</v>
      </c>
      <c r="B717" s="125">
        <v>2019634</v>
      </c>
      <c r="C717" s="125">
        <v>42684</v>
      </c>
      <c r="D717" s="125" t="s">
        <v>628</v>
      </c>
      <c r="E717" s="125">
        <v>68</v>
      </c>
      <c r="F717" s="125" t="str">
        <f>IF(E717&lt;=20,"0-19",
IF(E717&lt;=50,"20-49",
IF(E717&lt;=80,"50-79","80+")))</f>
        <v>50-79</v>
      </c>
      <c r="G717" s="125" t="s">
        <v>60</v>
      </c>
      <c r="H717" s="125" t="s">
        <v>15</v>
      </c>
      <c r="I717" s="125" t="s">
        <v>699</v>
      </c>
      <c r="J717" s="125" t="s">
        <v>2295</v>
      </c>
      <c r="K717" s="125" t="s">
        <v>1249</v>
      </c>
      <c r="L717" s="125" t="s">
        <v>1249</v>
      </c>
      <c r="M717" s="125" t="s">
        <v>623</v>
      </c>
      <c r="N717" s="162">
        <v>10650</v>
      </c>
      <c r="O717" s="125" t="s">
        <v>832</v>
      </c>
      <c r="P717" s="172"/>
      <c r="Q717" s="210"/>
    </row>
    <row r="718" spans="1:17" x14ac:dyDescent="0.2">
      <c r="A718" s="155" t="s">
        <v>456</v>
      </c>
      <c r="B718" s="125">
        <v>2010871</v>
      </c>
      <c r="C718" s="125">
        <v>56685</v>
      </c>
      <c r="D718" s="125" t="s">
        <v>1516</v>
      </c>
      <c r="E718" s="125">
        <v>64</v>
      </c>
      <c r="F718" s="125" t="str">
        <f>IF(E718&lt;=20,"0-19",
IF(E718&lt;=50,"20-49",
IF(E718&lt;=80,"50-79","80+")))</f>
        <v>50-79</v>
      </c>
      <c r="G718" s="125" t="s">
        <v>60</v>
      </c>
      <c r="H718" s="125" t="s">
        <v>22</v>
      </c>
      <c r="I718" s="125" t="s">
        <v>514</v>
      </c>
      <c r="J718" s="125" t="s">
        <v>2295</v>
      </c>
      <c r="K718" s="125" t="s">
        <v>1249</v>
      </c>
      <c r="L718" s="125" t="s">
        <v>1249</v>
      </c>
      <c r="M718" s="125" t="s">
        <v>623</v>
      </c>
      <c r="N718" s="162">
        <v>9025</v>
      </c>
      <c r="O718" s="125" t="s">
        <v>832</v>
      </c>
      <c r="P718" s="173"/>
      <c r="Q718" s="210"/>
    </row>
    <row r="719" spans="1:17" x14ac:dyDescent="0.2">
      <c r="A719" s="142" t="s">
        <v>1560</v>
      </c>
      <c r="B719" s="125">
        <v>2001823</v>
      </c>
      <c r="C719" s="125">
        <v>10576</v>
      </c>
      <c r="D719" s="125" t="s">
        <v>630</v>
      </c>
      <c r="E719" s="125">
        <v>71</v>
      </c>
      <c r="F719" s="125" t="str">
        <f>IF(E719&lt;=20,"0-19",
IF(E719&lt;=50,"20-49",
IF(E719&lt;=80,"50-79","80+")))</f>
        <v>50-79</v>
      </c>
      <c r="G719" s="125" t="s">
        <v>1915</v>
      </c>
      <c r="H719" s="125" t="s">
        <v>22</v>
      </c>
      <c r="I719" s="125" t="s">
        <v>514</v>
      </c>
      <c r="J719" s="125" t="s">
        <v>2295</v>
      </c>
      <c r="K719" s="119" t="s">
        <v>1916</v>
      </c>
      <c r="L719" s="125" t="s">
        <v>1916</v>
      </c>
      <c r="M719" s="125" t="s">
        <v>623</v>
      </c>
      <c r="N719" s="126">
        <v>10650</v>
      </c>
      <c r="O719" s="126" t="s">
        <v>2254</v>
      </c>
      <c r="P719" s="146">
        <v>254714272121</v>
      </c>
      <c r="Q719" s="210"/>
    </row>
    <row r="720" spans="1:17" x14ac:dyDescent="0.2">
      <c r="A720" s="143" t="s">
        <v>1560</v>
      </c>
      <c r="B720" s="122">
        <v>2019634</v>
      </c>
      <c r="C720" s="122">
        <v>42684</v>
      </c>
      <c r="D720" s="122" t="s">
        <v>628</v>
      </c>
      <c r="E720" s="122">
        <v>69</v>
      </c>
      <c r="F720" s="122" t="str">
        <f>IF(E720&lt;=20,"0-19",
IF(E720&lt;=50,"20-49",
IF(E720&lt;=80,"50-79","80+")))</f>
        <v>50-79</v>
      </c>
      <c r="G720" s="122" t="s">
        <v>1917</v>
      </c>
      <c r="H720" s="122" t="s">
        <v>15</v>
      </c>
      <c r="I720" s="122" t="s">
        <v>514</v>
      </c>
      <c r="J720" s="122" t="s">
        <v>2295</v>
      </c>
      <c r="K720" s="123" t="s">
        <v>1916</v>
      </c>
      <c r="L720" s="122" t="s">
        <v>1916</v>
      </c>
      <c r="M720" s="122" t="s">
        <v>623</v>
      </c>
      <c r="N720" s="124">
        <v>10650</v>
      </c>
      <c r="O720" s="124" t="s">
        <v>2254</v>
      </c>
      <c r="P720" s="147">
        <v>254714272121</v>
      </c>
      <c r="Q720" s="210"/>
    </row>
    <row r="721" spans="1:17" x14ac:dyDescent="0.2">
      <c r="A721" s="155" t="s">
        <v>1503</v>
      </c>
      <c r="B721" s="125">
        <v>2405040</v>
      </c>
      <c r="C721" s="125">
        <v>31911</v>
      </c>
      <c r="D721" s="125" t="s">
        <v>681</v>
      </c>
      <c r="E721" s="125">
        <v>63</v>
      </c>
      <c r="F721" s="125" t="str">
        <f>IF(E721&lt;=20,"0-19",
IF(E721&lt;=50,"20-49",
IF(E721&lt;=80,"50-79","80+")))</f>
        <v>50-79</v>
      </c>
      <c r="G721" s="125" t="s">
        <v>60</v>
      </c>
      <c r="H721" s="125" t="s">
        <v>22</v>
      </c>
      <c r="I721" s="125" t="s">
        <v>514</v>
      </c>
      <c r="J721" s="125" t="s">
        <v>2295</v>
      </c>
      <c r="K721" s="125" t="s">
        <v>1288</v>
      </c>
      <c r="L721" s="125" t="s">
        <v>1288</v>
      </c>
      <c r="M721" s="125" t="s">
        <v>623</v>
      </c>
      <c r="N721" s="162">
        <v>12321</v>
      </c>
      <c r="O721" s="125" t="s">
        <v>832</v>
      </c>
      <c r="P721" s="172"/>
      <c r="Q721" s="210"/>
    </row>
    <row r="722" spans="1:17" x14ac:dyDescent="0.2">
      <c r="A722" s="155" t="s">
        <v>544</v>
      </c>
      <c r="B722" s="125">
        <v>2012620</v>
      </c>
      <c r="C722" s="125">
        <v>102835</v>
      </c>
      <c r="D722" s="125" t="s">
        <v>683</v>
      </c>
      <c r="E722" s="125">
        <v>64</v>
      </c>
      <c r="F722" s="125" t="str">
        <f>IF(E722&lt;=20,"0-19",
IF(E722&lt;=50,"20-49",
IF(E722&lt;=80,"50-79","80+")))</f>
        <v>50-79</v>
      </c>
      <c r="G722" s="125" t="s">
        <v>49</v>
      </c>
      <c r="H722" s="125" t="s">
        <v>15</v>
      </c>
      <c r="I722" s="125" t="s">
        <v>699</v>
      </c>
      <c r="J722" s="125" t="s">
        <v>2295</v>
      </c>
      <c r="K722" s="125" t="s">
        <v>1288</v>
      </c>
      <c r="L722" s="125" t="s">
        <v>1288</v>
      </c>
      <c r="M722" s="125" t="s">
        <v>623</v>
      </c>
      <c r="N722" s="162">
        <v>22544</v>
      </c>
      <c r="O722" s="125" t="s">
        <v>832</v>
      </c>
      <c r="P722" s="173"/>
      <c r="Q722" s="210"/>
    </row>
    <row r="723" spans="1:17" x14ac:dyDescent="0.2">
      <c r="A723" s="155" t="s">
        <v>319</v>
      </c>
      <c r="B723" s="122">
        <v>2001823</v>
      </c>
      <c r="C723" s="122">
        <v>10576</v>
      </c>
      <c r="D723" s="122" t="s">
        <v>630</v>
      </c>
      <c r="E723" s="123">
        <v>72</v>
      </c>
      <c r="F723" s="123" t="str">
        <f>IF(E723&lt;=20,"0-19",
IF(E723&lt;=50,"20-49",
IF(E723&lt;=80,"50-79","80+")))</f>
        <v>50-79</v>
      </c>
      <c r="G723" s="122" t="s">
        <v>60</v>
      </c>
      <c r="H723" s="122" t="s">
        <v>15</v>
      </c>
      <c r="I723" s="122" t="s">
        <v>514</v>
      </c>
      <c r="J723" s="122" t="s">
        <v>2295</v>
      </c>
      <c r="K723" s="123" t="s">
        <v>67</v>
      </c>
      <c r="L723" s="123" t="s">
        <v>67</v>
      </c>
      <c r="M723" s="122" t="s">
        <v>623</v>
      </c>
      <c r="N723" s="157">
        <v>10650</v>
      </c>
      <c r="O723" s="122" t="s">
        <v>18</v>
      </c>
      <c r="P723" s="172"/>
      <c r="Q723" s="210"/>
    </row>
    <row r="724" spans="1:17" x14ac:dyDescent="0.2">
      <c r="A724" s="155" t="s">
        <v>319</v>
      </c>
      <c r="B724" s="125">
        <v>2001823</v>
      </c>
      <c r="C724" s="125">
        <v>42684</v>
      </c>
      <c r="D724" s="125" t="s">
        <v>628</v>
      </c>
      <c r="E724" s="119">
        <v>69</v>
      </c>
      <c r="F724" s="119" t="str">
        <f>IF(E724&lt;=20,"0-19",
IF(E724&lt;=50,"20-49",
IF(E724&lt;=80,"50-79","80+")))</f>
        <v>50-79</v>
      </c>
      <c r="G724" s="125" t="s">
        <v>60</v>
      </c>
      <c r="H724" s="125" t="s">
        <v>15</v>
      </c>
      <c r="I724" s="125" t="s">
        <v>514</v>
      </c>
      <c r="J724" s="125" t="s">
        <v>2295</v>
      </c>
      <c r="K724" s="119" t="s">
        <v>67</v>
      </c>
      <c r="L724" s="119" t="s">
        <v>67</v>
      </c>
      <c r="M724" s="125" t="s">
        <v>623</v>
      </c>
      <c r="N724" s="165">
        <v>10650</v>
      </c>
      <c r="O724" s="125" t="s">
        <v>18</v>
      </c>
      <c r="P724" s="173"/>
      <c r="Q724" s="210"/>
    </row>
    <row r="725" spans="1:17" x14ac:dyDescent="0.2">
      <c r="A725" s="145" t="s">
        <v>456</v>
      </c>
      <c r="B725" s="125">
        <v>2010871</v>
      </c>
      <c r="C725" s="125">
        <v>56685</v>
      </c>
      <c r="D725" s="125" t="s">
        <v>679</v>
      </c>
      <c r="E725" s="119">
        <v>63</v>
      </c>
      <c r="F725" s="119" t="str">
        <f>IF(E725&lt;=20,"0-19",
IF(E725&lt;=50,"20-49",
IF(E725&lt;=80,"50-79","80+")))</f>
        <v>50-79</v>
      </c>
      <c r="G725" s="125" t="s">
        <v>60</v>
      </c>
      <c r="H725" s="125" t="s">
        <v>22</v>
      </c>
      <c r="I725" s="125" t="s">
        <v>514</v>
      </c>
      <c r="J725" s="125" t="s">
        <v>2295</v>
      </c>
      <c r="K725" s="119" t="s">
        <v>67</v>
      </c>
      <c r="L725" s="119" t="s">
        <v>67</v>
      </c>
      <c r="M725" s="125" t="s">
        <v>623</v>
      </c>
      <c r="N725" s="165">
        <v>9025</v>
      </c>
      <c r="O725" s="125" t="s">
        <v>18</v>
      </c>
      <c r="P725" s="173"/>
      <c r="Q725" s="210"/>
    </row>
    <row r="726" spans="1:17" x14ac:dyDescent="0.2">
      <c r="A726" s="155" t="s">
        <v>682</v>
      </c>
      <c r="B726" s="122">
        <v>2012620</v>
      </c>
      <c r="C726" s="122">
        <v>102835</v>
      </c>
      <c r="D726" s="122" t="s">
        <v>685</v>
      </c>
      <c r="E726" s="123">
        <v>64</v>
      </c>
      <c r="F726" s="123" t="str">
        <f>IF(E726&lt;=20,"0-19",
IF(E726&lt;=50,"20-49",
IF(E726&lt;=80,"50-79","80+")))</f>
        <v>50-79</v>
      </c>
      <c r="G726" s="122" t="s">
        <v>49</v>
      </c>
      <c r="H726" s="122" t="s">
        <v>15</v>
      </c>
      <c r="I726" s="122" t="s">
        <v>514</v>
      </c>
      <c r="J726" s="122" t="s">
        <v>2295</v>
      </c>
      <c r="K726" s="123" t="s">
        <v>67</v>
      </c>
      <c r="L726" s="123" t="s">
        <v>67</v>
      </c>
      <c r="M726" s="122" t="s">
        <v>623</v>
      </c>
      <c r="N726" s="157">
        <v>10650</v>
      </c>
      <c r="O726" s="122" t="s">
        <v>18</v>
      </c>
      <c r="P726" s="172"/>
      <c r="Q726" s="210"/>
    </row>
    <row r="727" spans="1:17" x14ac:dyDescent="0.2">
      <c r="A727" s="143" t="s">
        <v>72</v>
      </c>
      <c r="B727" s="121">
        <v>2502095</v>
      </c>
      <c r="C727" s="122">
        <v>21102</v>
      </c>
      <c r="D727" s="121" t="s">
        <v>665</v>
      </c>
      <c r="E727" s="121">
        <v>56</v>
      </c>
      <c r="F727" s="121" t="str">
        <f>IF(E727&lt;=20,"0-19",
IF(E727&lt;=50,"20-49",
IF(E727&lt;=80,"50-79","80+")))</f>
        <v>50-79</v>
      </c>
      <c r="G727" s="121" t="s">
        <v>60</v>
      </c>
      <c r="H727" s="121" t="s">
        <v>22</v>
      </c>
      <c r="I727" s="121" t="s">
        <v>514</v>
      </c>
      <c r="J727" s="121" t="s">
        <v>2295</v>
      </c>
      <c r="K727" s="121" t="s">
        <v>1923</v>
      </c>
      <c r="L727" s="121" t="s">
        <v>1923</v>
      </c>
      <c r="M727" s="122" t="s">
        <v>623</v>
      </c>
      <c r="N727" s="127">
        <v>11500</v>
      </c>
      <c r="O727" s="127" t="s">
        <v>2254</v>
      </c>
      <c r="P727" s="147">
        <v>254721642629</v>
      </c>
      <c r="Q727" s="210"/>
    </row>
    <row r="728" spans="1:17" ht="31.5" x14ac:dyDescent="0.2">
      <c r="A728" s="143" t="s">
        <v>687</v>
      </c>
      <c r="B728" s="123">
        <v>2001404</v>
      </c>
      <c r="C728" s="122">
        <v>37163</v>
      </c>
      <c r="D728" s="123" t="s">
        <v>1929</v>
      </c>
      <c r="E728" s="123">
        <v>62</v>
      </c>
      <c r="F728" s="123" t="str">
        <f>IF(E728&lt;=20,"0-19",
IF(E728&lt;=50,"20-49",
IF(E728&lt;=80,"50-79","80+")))</f>
        <v>50-79</v>
      </c>
      <c r="G728" s="123" t="s">
        <v>60</v>
      </c>
      <c r="H728" s="123" t="s">
        <v>22</v>
      </c>
      <c r="I728" s="123" t="s">
        <v>514</v>
      </c>
      <c r="J728" s="123" t="s">
        <v>2295</v>
      </c>
      <c r="K728" s="123" t="s">
        <v>1930</v>
      </c>
      <c r="L728" s="121" t="s">
        <v>1923</v>
      </c>
      <c r="M728" s="122" t="s">
        <v>623</v>
      </c>
      <c r="N728" s="128">
        <v>13000</v>
      </c>
      <c r="O728" s="128" t="s">
        <v>2254</v>
      </c>
      <c r="P728" s="147">
        <v>254728114821</v>
      </c>
      <c r="Q728" s="210"/>
    </row>
    <row r="729" spans="1:17" x14ac:dyDescent="0.2">
      <c r="A729" s="155" t="s">
        <v>68</v>
      </c>
      <c r="B729" s="125">
        <v>2002953</v>
      </c>
      <c r="C729" s="125">
        <v>18654</v>
      </c>
      <c r="D729" s="125" t="s">
        <v>654</v>
      </c>
      <c r="E729" s="119">
        <v>60</v>
      </c>
      <c r="F729" s="119" t="str">
        <f>IF(E729&lt;=20,"0-19",
IF(E729&lt;=50,"20-49",
IF(E729&lt;=80,"50-79","80+")))</f>
        <v>50-79</v>
      </c>
      <c r="G729" s="125" t="s">
        <v>60</v>
      </c>
      <c r="H729" s="125" t="s">
        <v>22</v>
      </c>
      <c r="I729" s="125" t="s">
        <v>514</v>
      </c>
      <c r="J729" s="125" t="s">
        <v>2295</v>
      </c>
      <c r="K729" s="119" t="s">
        <v>62</v>
      </c>
      <c r="L729" s="119" t="s">
        <v>62</v>
      </c>
      <c r="M729" s="125" t="s">
        <v>623</v>
      </c>
      <c r="N729" s="165">
        <v>10899</v>
      </c>
      <c r="O729" s="125" t="s">
        <v>18</v>
      </c>
      <c r="P729" s="173"/>
      <c r="Q729" s="210"/>
    </row>
    <row r="730" spans="1:17" ht="21" x14ac:dyDescent="0.2">
      <c r="A730" s="155" t="s">
        <v>68</v>
      </c>
      <c r="B730" s="122">
        <v>2002953</v>
      </c>
      <c r="C730" s="122">
        <v>18654</v>
      </c>
      <c r="D730" s="122" t="s">
        <v>654</v>
      </c>
      <c r="E730" s="123">
        <v>60</v>
      </c>
      <c r="F730" s="123" t="str">
        <f>IF(E730&lt;=20,"0-19",
IF(E730&lt;=50,"20-49",
IF(E730&lt;=80,"50-79","80+")))</f>
        <v>50-79</v>
      </c>
      <c r="G730" s="122" t="s">
        <v>60</v>
      </c>
      <c r="H730" s="122" t="s">
        <v>22</v>
      </c>
      <c r="I730" s="122" t="s">
        <v>514</v>
      </c>
      <c r="J730" s="122" t="s">
        <v>2295</v>
      </c>
      <c r="K730" s="123" t="s">
        <v>658</v>
      </c>
      <c r="L730" s="123" t="s">
        <v>62</v>
      </c>
      <c r="M730" s="122" t="s">
        <v>623</v>
      </c>
      <c r="N730" s="157">
        <v>12349</v>
      </c>
      <c r="O730" s="122" t="s">
        <v>18</v>
      </c>
      <c r="P730" s="172"/>
      <c r="Q730" s="210"/>
    </row>
    <row r="731" spans="1:17" x14ac:dyDescent="0.2">
      <c r="A731" s="155" t="s">
        <v>687</v>
      </c>
      <c r="B731" s="125">
        <v>2001404</v>
      </c>
      <c r="C731" s="125">
        <v>37163</v>
      </c>
      <c r="D731" s="125" t="s">
        <v>688</v>
      </c>
      <c r="E731" s="119">
        <v>63</v>
      </c>
      <c r="F731" s="119" t="str">
        <f>IF(E731&lt;=20,"0-19",
IF(E731&lt;=50,"20-49",
IF(E731&lt;=80,"50-79","80+")))</f>
        <v>50-79</v>
      </c>
      <c r="G731" s="125" t="s">
        <v>60</v>
      </c>
      <c r="H731" s="125" t="s">
        <v>22</v>
      </c>
      <c r="I731" s="125" t="s">
        <v>514</v>
      </c>
      <c r="J731" s="125" t="s">
        <v>2295</v>
      </c>
      <c r="K731" s="119" t="s">
        <v>62</v>
      </c>
      <c r="L731" s="119" t="s">
        <v>62</v>
      </c>
      <c r="M731" s="125" t="s">
        <v>623</v>
      </c>
      <c r="N731" s="165">
        <v>13000</v>
      </c>
      <c r="O731" s="125" t="s">
        <v>18</v>
      </c>
      <c r="P731" s="173"/>
      <c r="Q731" s="210"/>
    </row>
    <row r="732" spans="1:17" x14ac:dyDescent="0.2">
      <c r="A732" s="155" t="s">
        <v>53</v>
      </c>
      <c r="B732" s="122">
        <v>2020238</v>
      </c>
      <c r="C732" s="122">
        <v>43253</v>
      </c>
      <c r="D732" s="122" t="s">
        <v>649</v>
      </c>
      <c r="E732" s="123">
        <v>65</v>
      </c>
      <c r="F732" s="123" t="str">
        <f>IF(E732&lt;=20,"0-19",
IF(E732&lt;=50,"20-49",
IF(E732&lt;=80,"50-79","80+")))</f>
        <v>50-79</v>
      </c>
      <c r="G732" s="122" t="s">
        <v>49</v>
      </c>
      <c r="H732" s="122" t="s">
        <v>15</v>
      </c>
      <c r="I732" s="122" t="s">
        <v>514</v>
      </c>
      <c r="J732" s="122" t="s">
        <v>2295</v>
      </c>
      <c r="K732" s="123" t="s">
        <v>62</v>
      </c>
      <c r="L732" s="123" t="s">
        <v>62</v>
      </c>
      <c r="M732" s="122" t="s">
        <v>623</v>
      </c>
      <c r="N732" s="157">
        <v>7000</v>
      </c>
      <c r="O732" s="122" t="s">
        <v>18</v>
      </c>
      <c r="P732" s="172"/>
      <c r="Q732" s="210"/>
    </row>
    <row r="733" spans="1:17" x14ac:dyDescent="0.2">
      <c r="A733" s="155" t="s">
        <v>990</v>
      </c>
      <c r="B733" s="125">
        <v>2001823</v>
      </c>
      <c r="C733" s="125">
        <v>10576</v>
      </c>
      <c r="D733" s="125" t="s">
        <v>630</v>
      </c>
      <c r="E733" s="125">
        <v>72</v>
      </c>
      <c r="F733" s="125" t="str">
        <f>IF(E733&lt;=20,"0-19",
IF(E733&lt;=50,"20-49",
IF(E733&lt;=80,"50-79","80+")))</f>
        <v>50-79</v>
      </c>
      <c r="G733" s="125" t="s">
        <v>60</v>
      </c>
      <c r="H733" s="125" t="s">
        <v>22</v>
      </c>
      <c r="I733" s="119" t="s">
        <v>514</v>
      </c>
      <c r="J733" s="119" t="s">
        <v>2295</v>
      </c>
      <c r="K733" s="119" t="s">
        <v>1242</v>
      </c>
      <c r="L733" s="119" t="s">
        <v>1242</v>
      </c>
      <c r="M733" s="125" t="s">
        <v>623</v>
      </c>
      <c r="N733" s="162">
        <v>10650</v>
      </c>
      <c r="O733" s="125" t="s">
        <v>832</v>
      </c>
      <c r="P733" s="173"/>
      <c r="Q733" s="210"/>
    </row>
    <row r="734" spans="1:17" x14ac:dyDescent="0.2">
      <c r="A734" s="155" t="s">
        <v>990</v>
      </c>
      <c r="B734" s="125">
        <v>2019634</v>
      </c>
      <c r="C734" s="125">
        <v>42684</v>
      </c>
      <c r="D734" s="125" t="s">
        <v>628</v>
      </c>
      <c r="E734" s="125">
        <v>69</v>
      </c>
      <c r="F734" s="125" t="str">
        <f>IF(E734&lt;=20,"0-19",
IF(E734&lt;=50,"20-49",
IF(E734&lt;=80,"50-79","80+")))</f>
        <v>50-79</v>
      </c>
      <c r="G734" s="125" t="s">
        <v>60</v>
      </c>
      <c r="H734" s="125" t="s">
        <v>15</v>
      </c>
      <c r="I734" s="119" t="s">
        <v>514</v>
      </c>
      <c r="J734" s="119" t="s">
        <v>2295</v>
      </c>
      <c r="K734" s="119" t="s">
        <v>1242</v>
      </c>
      <c r="L734" s="119" t="s">
        <v>1242</v>
      </c>
      <c r="M734" s="125" t="s">
        <v>623</v>
      </c>
      <c r="N734" s="162">
        <v>10650</v>
      </c>
      <c r="O734" s="125" t="s">
        <v>832</v>
      </c>
      <c r="P734" s="172"/>
      <c r="Q734" s="210"/>
    </row>
    <row r="735" spans="1:17" x14ac:dyDescent="0.2">
      <c r="A735" s="142" t="s">
        <v>1560</v>
      </c>
      <c r="B735" s="119">
        <v>2001823</v>
      </c>
      <c r="C735" s="125">
        <v>10576</v>
      </c>
      <c r="D735" s="119" t="s">
        <v>629</v>
      </c>
      <c r="E735" s="119">
        <v>71</v>
      </c>
      <c r="F735" s="119" t="str">
        <f>IF(E735&lt;=20,"0-19",
IF(E735&lt;=50,"20-49",
IF(E735&lt;=80,"50-79","80+")))</f>
        <v>50-79</v>
      </c>
      <c r="G735" s="118" t="s">
        <v>126</v>
      </c>
      <c r="H735" s="118" t="s">
        <v>22</v>
      </c>
      <c r="I735" s="119" t="s">
        <v>514</v>
      </c>
      <c r="J735" s="119" t="s">
        <v>2295</v>
      </c>
      <c r="K735" s="118" t="s">
        <v>1918</v>
      </c>
      <c r="L735" s="118" t="s">
        <v>1918</v>
      </c>
      <c r="M735" s="125" t="s">
        <v>623</v>
      </c>
      <c r="N735" s="129">
        <v>10650</v>
      </c>
      <c r="O735" s="129" t="s">
        <v>2254</v>
      </c>
      <c r="P735" s="146">
        <v>254714272121</v>
      </c>
      <c r="Q735" s="210"/>
    </row>
    <row r="736" spans="1:17" x14ac:dyDescent="0.2">
      <c r="A736" s="141" t="s">
        <v>840</v>
      </c>
      <c r="B736" s="121">
        <v>2405040</v>
      </c>
      <c r="C736" s="122">
        <v>31911</v>
      </c>
      <c r="D736" s="121" t="s">
        <v>681</v>
      </c>
      <c r="E736" s="121">
        <v>63</v>
      </c>
      <c r="F736" s="121" t="str">
        <f>IF(E736&lt;=20,"0-19",
IF(E736&lt;=50,"20-49",
IF(E736&lt;=80,"50-79","80+")))</f>
        <v>50-79</v>
      </c>
      <c r="G736" s="121" t="s">
        <v>126</v>
      </c>
      <c r="H736" s="121" t="s">
        <v>22</v>
      </c>
      <c r="I736" s="123" t="s">
        <v>514</v>
      </c>
      <c r="J736" s="123" t="s">
        <v>2295</v>
      </c>
      <c r="K736" s="121" t="s">
        <v>1918</v>
      </c>
      <c r="L736" s="121" t="s">
        <v>1918</v>
      </c>
      <c r="M736" s="122" t="s">
        <v>623</v>
      </c>
      <c r="N736" s="127">
        <v>25510</v>
      </c>
      <c r="O736" s="127" t="s">
        <v>2254</v>
      </c>
      <c r="P736" s="147">
        <v>254720981719</v>
      </c>
      <c r="Q736" s="210"/>
    </row>
    <row r="737" spans="1:17" x14ac:dyDescent="0.2">
      <c r="A737" s="143" t="s">
        <v>1560</v>
      </c>
      <c r="B737" s="123">
        <v>2019634</v>
      </c>
      <c r="C737" s="122">
        <v>42684</v>
      </c>
      <c r="D737" s="123" t="s">
        <v>1919</v>
      </c>
      <c r="E737" s="123">
        <v>68</v>
      </c>
      <c r="F737" s="123" t="str">
        <f>IF(E737&lt;=20,"0-19",
IF(E737&lt;=50,"20-49",
IF(E737&lt;=80,"50-79","80+")))</f>
        <v>50-79</v>
      </c>
      <c r="G737" s="121" t="s">
        <v>126</v>
      </c>
      <c r="H737" s="121" t="s">
        <v>22</v>
      </c>
      <c r="I737" s="123" t="s">
        <v>514</v>
      </c>
      <c r="J737" s="123" t="s">
        <v>2295</v>
      </c>
      <c r="K737" s="121" t="s">
        <v>1918</v>
      </c>
      <c r="L737" s="121" t="s">
        <v>1918</v>
      </c>
      <c r="M737" s="122" t="s">
        <v>623</v>
      </c>
      <c r="N737" s="128">
        <v>10650</v>
      </c>
      <c r="O737" s="128" t="s">
        <v>2254</v>
      </c>
      <c r="P737" s="147">
        <v>254714272121</v>
      </c>
      <c r="Q737" s="210"/>
    </row>
    <row r="738" spans="1:17" x14ac:dyDescent="0.2">
      <c r="A738" s="141" t="s">
        <v>840</v>
      </c>
      <c r="B738" s="121">
        <v>2407751</v>
      </c>
      <c r="C738" s="122">
        <v>60104</v>
      </c>
      <c r="D738" s="121" t="s">
        <v>1989</v>
      </c>
      <c r="E738" s="121">
        <v>59</v>
      </c>
      <c r="F738" s="121" t="str">
        <f>IF(E738&lt;=20,"0-19",
IF(E738&lt;=50,"20-49",
IF(E738&lt;=80,"50-79","80+")))</f>
        <v>50-79</v>
      </c>
      <c r="G738" s="121" t="s">
        <v>126</v>
      </c>
      <c r="H738" s="121" t="s">
        <v>22</v>
      </c>
      <c r="I738" s="123" t="s">
        <v>514</v>
      </c>
      <c r="J738" s="123" t="s">
        <v>2295</v>
      </c>
      <c r="K738" s="121" t="s">
        <v>1918</v>
      </c>
      <c r="L738" s="121" t="s">
        <v>1918</v>
      </c>
      <c r="M738" s="122" t="s">
        <v>623</v>
      </c>
      <c r="N738" s="127">
        <v>36051.56</v>
      </c>
      <c r="O738" s="127" t="s">
        <v>2254</v>
      </c>
      <c r="P738" s="147">
        <v>254719718741</v>
      </c>
      <c r="Q738" s="210"/>
    </row>
    <row r="739" spans="1:17" x14ac:dyDescent="0.2">
      <c r="A739" s="155" t="s">
        <v>12</v>
      </c>
      <c r="B739" s="118">
        <v>2001893</v>
      </c>
      <c r="C739" s="125">
        <v>9046</v>
      </c>
      <c r="D739" s="118" t="s">
        <v>625</v>
      </c>
      <c r="E739" s="118">
        <v>69</v>
      </c>
      <c r="F739" s="118" t="str">
        <f>IF(E739&lt;=20,"0-19",
IF(E739&lt;=50,"20-49",
IF(E739&lt;=80,"50-79","80+")))</f>
        <v>50-79</v>
      </c>
      <c r="G739" s="118" t="s">
        <v>60</v>
      </c>
      <c r="H739" s="118" t="s">
        <v>22</v>
      </c>
      <c r="I739" s="118" t="s">
        <v>514</v>
      </c>
      <c r="J739" s="118" t="s">
        <v>2295</v>
      </c>
      <c r="K739" s="118" t="s">
        <v>1232</v>
      </c>
      <c r="L739" s="118" t="s">
        <v>1232</v>
      </c>
      <c r="M739" s="125" t="s">
        <v>623</v>
      </c>
      <c r="N739" s="160">
        <v>9500</v>
      </c>
      <c r="O739" s="125" t="s">
        <v>832</v>
      </c>
      <c r="P739" s="173"/>
      <c r="Q739" s="210"/>
    </row>
    <row r="740" spans="1:17" x14ac:dyDescent="0.2">
      <c r="A740" s="155" t="s">
        <v>142</v>
      </c>
      <c r="B740" s="118">
        <v>2017509</v>
      </c>
      <c r="C740" s="125">
        <v>19209</v>
      </c>
      <c r="D740" s="118" t="s">
        <v>1403</v>
      </c>
      <c r="E740" s="118">
        <v>63</v>
      </c>
      <c r="F740" s="118" t="str">
        <f>IF(E740&lt;=20,"0-19",
IF(E740&lt;=50,"20-49",
IF(E740&lt;=80,"50-79","80+")))</f>
        <v>50-79</v>
      </c>
      <c r="G740" s="118" t="s">
        <v>60</v>
      </c>
      <c r="H740" s="118" t="s">
        <v>22</v>
      </c>
      <c r="I740" s="118" t="s">
        <v>514</v>
      </c>
      <c r="J740" s="118" t="s">
        <v>2295</v>
      </c>
      <c r="K740" s="118" t="s">
        <v>1232</v>
      </c>
      <c r="L740" s="118" t="s">
        <v>1232</v>
      </c>
      <c r="M740" s="125" t="s">
        <v>623</v>
      </c>
      <c r="N740" s="160">
        <v>8500</v>
      </c>
      <c r="O740" s="125" t="s">
        <v>832</v>
      </c>
      <c r="P740" s="172"/>
      <c r="Q740" s="210"/>
    </row>
    <row r="741" spans="1:17" x14ac:dyDescent="0.2">
      <c r="A741" s="143" t="s">
        <v>1166</v>
      </c>
      <c r="B741" s="121">
        <v>2001898</v>
      </c>
      <c r="C741" s="122">
        <v>9046</v>
      </c>
      <c r="D741" s="121" t="s">
        <v>1903</v>
      </c>
      <c r="E741" s="121">
        <v>69</v>
      </c>
      <c r="F741" s="121" t="str">
        <f>IF(E741&lt;=20,"0-19",
IF(E741&lt;=50,"20-49",
IF(E741&lt;=80,"50-79","80+")))</f>
        <v>50-79</v>
      </c>
      <c r="G741" s="121" t="s">
        <v>126</v>
      </c>
      <c r="H741" s="121" t="s">
        <v>22</v>
      </c>
      <c r="I741" s="121" t="s">
        <v>514</v>
      </c>
      <c r="J741" s="121" t="s">
        <v>2295</v>
      </c>
      <c r="K741" s="121" t="s">
        <v>1898</v>
      </c>
      <c r="L741" s="121" t="s">
        <v>1898</v>
      </c>
      <c r="M741" s="121" t="s">
        <v>623</v>
      </c>
      <c r="N741" s="127">
        <v>9000</v>
      </c>
      <c r="O741" s="127" t="s">
        <v>2254</v>
      </c>
      <c r="P741" s="147">
        <v>254729953155</v>
      </c>
      <c r="Q741" s="210"/>
    </row>
    <row r="742" spans="1:17" x14ac:dyDescent="0.2">
      <c r="A742" s="142" t="s">
        <v>1560</v>
      </c>
      <c r="B742" s="119">
        <v>2019634</v>
      </c>
      <c r="C742" s="125">
        <v>42684</v>
      </c>
      <c r="D742" s="119" t="s">
        <v>631</v>
      </c>
      <c r="E742" s="119">
        <v>68</v>
      </c>
      <c r="F742" s="119" t="str">
        <f>IF(E742&lt;=20,"0-19",
IF(E742&lt;=50,"20-49",
IF(E742&lt;=80,"50-79","80+")))</f>
        <v>50-79</v>
      </c>
      <c r="G742" s="118" t="s">
        <v>60</v>
      </c>
      <c r="H742" s="119" t="s">
        <v>15</v>
      </c>
      <c r="I742" s="118" t="s">
        <v>514</v>
      </c>
      <c r="J742" s="118" t="s">
        <v>2295</v>
      </c>
      <c r="K742" s="118" t="s">
        <v>1898</v>
      </c>
      <c r="L742" s="118" t="s">
        <v>1898</v>
      </c>
      <c r="M742" s="118" t="s">
        <v>623</v>
      </c>
      <c r="N742" s="120">
        <v>10650</v>
      </c>
      <c r="O742" s="120" t="s">
        <v>2254</v>
      </c>
      <c r="P742" s="146">
        <v>254722360657</v>
      </c>
      <c r="Q742" s="210"/>
    </row>
    <row r="743" spans="1:17" ht="21" x14ac:dyDescent="0.2">
      <c r="A743" s="140" t="s">
        <v>340</v>
      </c>
      <c r="B743" s="119">
        <v>2014318</v>
      </c>
      <c r="C743" s="125">
        <v>61208</v>
      </c>
      <c r="D743" s="119" t="s">
        <v>651</v>
      </c>
      <c r="E743" s="119">
        <v>61</v>
      </c>
      <c r="F743" s="119" t="str">
        <f>IF(E743&lt;=20,"0-19",
IF(E743&lt;=50,"20-49",
IF(E743&lt;=80,"50-79","80+")))</f>
        <v>50-79</v>
      </c>
      <c r="G743" s="118" t="s">
        <v>126</v>
      </c>
      <c r="H743" s="118" t="s">
        <v>22</v>
      </c>
      <c r="I743" s="118" t="s">
        <v>514</v>
      </c>
      <c r="J743" s="118" t="s">
        <v>2295</v>
      </c>
      <c r="K743" s="118" t="s">
        <v>1912</v>
      </c>
      <c r="L743" s="118" t="s">
        <v>1898</v>
      </c>
      <c r="M743" s="118" t="s">
        <v>623</v>
      </c>
      <c r="N743" s="120">
        <v>9500</v>
      </c>
      <c r="O743" s="120" t="s">
        <v>2254</v>
      </c>
      <c r="P743" s="146">
        <v>254714272121</v>
      </c>
      <c r="Q743" s="210"/>
    </row>
    <row r="744" spans="1:17" ht="21" x14ac:dyDescent="0.2">
      <c r="A744" s="156" t="s">
        <v>12</v>
      </c>
      <c r="B744" s="125">
        <v>2001893</v>
      </c>
      <c r="C744" s="125">
        <v>9046</v>
      </c>
      <c r="D744" s="125" t="s">
        <v>625</v>
      </c>
      <c r="E744" s="119">
        <v>69</v>
      </c>
      <c r="F744" s="119" t="str">
        <f>IF(E744&lt;=20,"0-19",
IF(E744&lt;=50,"20-49",
IF(E744&lt;=80,"50-79","80+")))</f>
        <v>50-79</v>
      </c>
      <c r="G744" s="125" t="s">
        <v>60</v>
      </c>
      <c r="H744" s="125" t="s">
        <v>22</v>
      </c>
      <c r="I744" s="125" t="s">
        <v>514</v>
      </c>
      <c r="J744" s="125" t="s">
        <v>2295</v>
      </c>
      <c r="K744" s="119" t="s">
        <v>627</v>
      </c>
      <c r="L744" s="119" t="s">
        <v>31</v>
      </c>
      <c r="M744" s="125" t="s">
        <v>623</v>
      </c>
      <c r="N744" s="165">
        <v>9500</v>
      </c>
      <c r="O744" s="125" t="s">
        <v>18</v>
      </c>
      <c r="P744" s="173"/>
      <c r="Q744" s="210"/>
    </row>
    <row r="745" spans="1:17" x14ac:dyDescent="0.2">
      <c r="A745" s="142" t="s">
        <v>72</v>
      </c>
      <c r="B745" s="125">
        <v>2502095</v>
      </c>
      <c r="C745" s="125">
        <v>21102</v>
      </c>
      <c r="D745" s="125" t="s">
        <v>665</v>
      </c>
      <c r="E745" s="119">
        <v>57</v>
      </c>
      <c r="F745" s="119" t="str">
        <f>IF(E745&lt;=20,"0-19",
IF(E745&lt;=50,"20-49",
IF(E745&lt;=80,"50-79","80+")))</f>
        <v>50-79</v>
      </c>
      <c r="G745" s="125" t="s">
        <v>60</v>
      </c>
      <c r="H745" s="125" t="s">
        <v>22</v>
      </c>
      <c r="I745" s="125" t="s">
        <v>514</v>
      </c>
      <c r="J745" s="125" t="s">
        <v>2295</v>
      </c>
      <c r="K745" s="119" t="s">
        <v>31</v>
      </c>
      <c r="L745" s="119" t="s">
        <v>31</v>
      </c>
      <c r="M745" s="125" t="s">
        <v>623</v>
      </c>
      <c r="N745" s="165">
        <v>11500</v>
      </c>
      <c r="O745" s="125" t="s">
        <v>18</v>
      </c>
      <c r="P745" s="173"/>
      <c r="Q745" s="210"/>
    </row>
    <row r="746" spans="1:17" x14ac:dyDescent="0.2">
      <c r="A746" s="144" t="s">
        <v>340</v>
      </c>
      <c r="B746" s="122">
        <v>2014318</v>
      </c>
      <c r="C746" s="122">
        <v>61208</v>
      </c>
      <c r="D746" s="122" t="s">
        <v>651</v>
      </c>
      <c r="E746" s="123">
        <v>62</v>
      </c>
      <c r="F746" s="123" t="str">
        <f>IF(E746&lt;=20,"0-19",
IF(E746&lt;=50,"20-49",
IF(E746&lt;=80,"50-79","80+")))</f>
        <v>50-79</v>
      </c>
      <c r="G746" s="122" t="s">
        <v>60</v>
      </c>
      <c r="H746" s="122" t="s">
        <v>22</v>
      </c>
      <c r="I746" s="122" t="s">
        <v>514</v>
      </c>
      <c r="J746" s="122" t="s">
        <v>2295</v>
      </c>
      <c r="K746" s="123" t="s">
        <v>31</v>
      </c>
      <c r="L746" s="123" t="s">
        <v>31</v>
      </c>
      <c r="M746" s="122" t="s">
        <v>623</v>
      </c>
      <c r="N746" s="157">
        <v>9500</v>
      </c>
      <c r="O746" s="122" t="s">
        <v>18</v>
      </c>
      <c r="P746" s="172"/>
      <c r="Q746" s="210"/>
    </row>
    <row r="747" spans="1:17" x14ac:dyDescent="0.2">
      <c r="A747" s="155" t="s">
        <v>319</v>
      </c>
      <c r="B747" s="125">
        <v>2001823</v>
      </c>
      <c r="C747" s="125">
        <v>10576</v>
      </c>
      <c r="D747" s="125" t="s">
        <v>630</v>
      </c>
      <c r="E747" s="119">
        <v>70</v>
      </c>
      <c r="F747" s="119" t="str">
        <f>IF(E747&lt;=20,"0-19",
IF(E747&lt;=50,"20-49",
IF(E747&lt;=80,"50-79","80+")))</f>
        <v>50-79</v>
      </c>
      <c r="G747" s="125" t="s">
        <v>60</v>
      </c>
      <c r="H747" s="125" t="s">
        <v>22</v>
      </c>
      <c r="I747" s="125" t="s">
        <v>514</v>
      </c>
      <c r="J747" s="125" t="s">
        <v>2295</v>
      </c>
      <c r="K747" s="119" t="s">
        <v>108</v>
      </c>
      <c r="L747" s="119" t="s">
        <v>108</v>
      </c>
      <c r="M747" s="125" t="s">
        <v>623</v>
      </c>
      <c r="N747" s="165">
        <v>10650</v>
      </c>
      <c r="O747" s="125" t="s">
        <v>18</v>
      </c>
      <c r="P747" s="173"/>
      <c r="Q747" s="210"/>
    </row>
    <row r="748" spans="1:17" ht="21" x14ac:dyDescent="0.2">
      <c r="A748" s="156" t="s">
        <v>43</v>
      </c>
      <c r="B748" s="122">
        <v>2002754</v>
      </c>
      <c r="C748" s="122">
        <v>11467</v>
      </c>
      <c r="D748" s="122" t="s">
        <v>636</v>
      </c>
      <c r="E748" s="123">
        <v>74</v>
      </c>
      <c r="F748" s="123" t="str">
        <f>IF(E748&lt;=20,"0-19",
IF(E748&lt;=50,"20-49",
IF(E748&lt;=80,"50-79","80+")))</f>
        <v>50-79</v>
      </c>
      <c r="G748" s="122" t="s">
        <v>60</v>
      </c>
      <c r="H748" s="122" t="s">
        <v>22</v>
      </c>
      <c r="I748" s="122" t="s">
        <v>514</v>
      </c>
      <c r="J748" s="122" t="s">
        <v>2295</v>
      </c>
      <c r="K748" s="123" t="s">
        <v>637</v>
      </c>
      <c r="L748" s="123" t="s">
        <v>108</v>
      </c>
      <c r="M748" s="122" t="s">
        <v>623</v>
      </c>
      <c r="N748" s="157">
        <v>10500</v>
      </c>
      <c r="O748" s="122" t="s">
        <v>18</v>
      </c>
      <c r="P748" s="172"/>
      <c r="Q748" s="210"/>
    </row>
    <row r="749" spans="1:17" x14ac:dyDescent="0.2">
      <c r="A749" s="156" t="s">
        <v>178</v>
      </c>
      <c r="B749" s="125">
        <v>2003444</v>
      </c>
      <c r="C749" s="125">
        <v>18642</v>
      </c>
      <c r="D749" s="125" t="s">
        <v>680</v>
      </c>
      <c r="E749" s="119">
        <v>63</v>
      </c>
      <c r="F749" s="119" t="str">
        <f>IF(E749&lt;=20,"0-19",
IF(E749&lt;=50,"20-49",
IF(E749&lt;=80,"50-79","80+")))</f>
        <v>50-79</v>
      </c>
      <c r="G749" s="125" t="s">
        <v>60</v>
      </c>
      <c r="H749" s="125" t="s">
        <v>22</v>
      </c>
      <c r="I749" s="125" t="s">
        <v>514</v>
      </c>
      <c r="J749" s="125" t="s">
        <v>2295</v>
      </c>
      <c r="K749" s="119" t="s">
        <v>108</v>
      </c>
      <c r="L749" s="119" t="s">
        <v>108</v>
      </c>
      <c r="M749" s="125" t="s">
        <v>623</v>
      </c>
      <c r="N749" s="165">
        <v>9025</v>
      </c>
      <c r="O749" s="125" t="s">
        <v>18</v>
      </c>
      <c r="P749" s="173"/>
      <c r="Q749" s="210"/>
    </row>
    <row r="750" spans="1:17" x14ac:dyDescent="0.2">
      <c r="A750" s="155" t="s">
        <v>319</v>
      </c>
      <c r="B750" s="122">
        <v>2019634</v>
      </c>
      <c r="C750" s="122">
        <v>42684</v>
      </c>
      <c r="D750" s="122" t="s">
        <v>628</v>
      </c>
      <c r="E750" s="123">
        <v>69</v>
      </c>
      <c r="F750" s="123" t="str">
        <f>IF(E750&lt;=20,"0-19",
IF(E750&lt;=50,"20-49",
IF(E750&lt;=80,"50-79","80+")))</f>
        <v>50-79</v>
      </c>
      <c r="G750" s="122" t="s">
        <v>60</v>
      </c>
      <c r="H750" s="122" t="s">
        <v>15</v>
      </c>
      <c r="I750" s="122" t="s">
        <v>514</v>
      </c>
      <c r="J750" s="122" t="s">
        <v>2295</v>
      </c>
      <c r="K750" s="123" t="s">
        <v>108</v>
      </c>
      <c r="L750" s="123" t="s">
        <v>108</v>
      </c>
      <c r="M750" s="122" t="s">
        <v>623</v>
      </c>
      <c r="N750" s="157">
        <v>10650</v>
      </c>
      <c r="O750" s="122" t="s">
        <v>18</v>
      </c>
      <c r="P750" s="172"/>
      <c r="Q750" s="210"/>
    </row>
    <row r="751" spans="1:17" ht="21" x14ac:dyDescent="0.2">
      <c r="A751" s="155" t="s">
        <v>990</v>
      </c>
      <c r="B751" s="118">
        <v>2001823</v>
      </c>
      <c r="C751" s="125">
        <v>10576</v>
      </c>
      <c r="D751" s="118" t="s">
        <v>630</v>
      </c>
      <c r="E751" s="118">
        <v>72</v>
      </c>
      <c r="F751" s="118" t="str">
        <f>IF(E751&lt;=20,"0-19",
IF(E751&lt;=50,"20-49",
IF(E751&lt;=80,"50-79","80+")))</f>
        <v>50-79</v>
      </c>
      <c r="G751" s="118" t="s">
        <v>60</v>
      </c>
      <c r="H751" s="118" t="s">
        <v>22</v>
      </c>
      <c r="I751" s="118" t="s">
        <v>514</v>
      </c>
      <c r="J751" s="118" t="s">
        <v>2295</v>
      </c>
      <c r="K751" s="118" t="s">
        <v>1263</v>
      </c>
      <c r="L751" s="118" t="s">
        <v>1264</v>
      </c>
      <c r="M751" s="125" t="s">
        <v>623</v>
      </c>
      <c r="N751" s="160">
        <v>10650</v>
      </c>
      <c r="O751" s="125" t="s">
        <v>832</v>
      </c>
      <c r="P751" s="173"/>
      <c r="Q751" s="210"/>
    </row>
    <row r="752" spans="1:17" ht="21" x14ac:dyDescent="0.2">
      <c r="A752" s="155" t="s">
        <v>159</v>
      </c>
      <c r="B752" s="118">
        <v>2001198</v>
      </c>
      <c r="C752" s="125">
        <v>18587</v>
      </c>
      <c r="D752" s="118" t="s">
        <v>1425</v>
      </c>
      <c r="E752" s="118">
        <v>76</v>
      </c>
      <c r="F752" s="118" t="str">
        <f>IF(E752&lt;=20,"0-19",
IF(E752&lt;=50,"20-49",
IF(E752&lt;=80,"50-79","80+")))</f>
        <v>50-79</v>
      </c>
      <c r="G752" s="118" t="s">
        <v>60</v>
      </c>
      <c r="H752" s="118" t="s">
        <v>22</v>
      </c>
      <c r="I752" s="118" t="s">
        <v>514</v>
      </c>
      <c r="J752" s="118" t="s">
        <v>2295</v>
      </c>
      <c r="K752" s="118" t="s">
        <v>1426</v>
      </c>
      <c r="L752" s="118" t="s">
        <v>1264</v>
      </c>
      <c r="M752" s="125" t="s">
        <v>623</v>
      </c>
      <c r="N752" s="160">
        <v>11500</v>
      </c>
      <c r="O752" s="125" t="s">
        <v>832</v>
      </c>
      <c r="P752" s="173"/>
      <c r="Q752" s="210"/>
    </row>
    <row r="753" spans="1:17" ht="21" x14ac:dyDescent="0.2">
      <c r="A753" s="155" t="s">
        <v>1482</v>
      </c>
      <c r="B753" s="118">
        <v>2017742</v>
      </c>
      <c r="C753" s="125">
        <v>37239</v>
      </c>
      <c r="D753" s="118" t="s">
        <v>1501</v>
      </c>
      <c r="E753" s="118">
        <v>58</v>
      </c>
      <c r="F753" s="118" t="str">
        <f>IF(E753&lt;=20,"0-19",
IF(E753&lt;=50,"20-49",
IF(E753&lt;=80,"50-79","80+")))</f>
        <v>50-79</v>
      </c>
      <c r="G753" s="118" t="s">
        <v>60</v>
      </c>
      <c r="H753" s="118" t="s">
        <v>22</v>
      </c>
      <c r="I753" s="118" t="s">
        <v>514</v>
      </c>
      <c r="J753" s="118" t="s">
        <v>2295</v>
      </c>
      <c r="K753" s="118" t="s">
        <v>1426</v>
      </c>
      <c r="L753" s="118" t="s">
        <v>1264</v>
      </c>
      <c r="M753" s="125" t="s">
        <v>623</v>
      </c>
      <c r="N753" s="160">
        <v>9025</v>
      </c>
      <c r="O753" s="125" t="s">
        <v>832</v>
      </c>
      <c r="P753" s="172"/>
      <c r="Q753" s="210"/>
    </row>
    <row r="754" spans="1:17" x14ac:dyDescent="0.2">
      <c r="A754" s="155" t="s">
        <v>990</v>
      </c>
      <c r="B754" s="118">
        <v>2019634</v>
      </c>
      <c r="C754" s="125">
        <v>42684</v>
      </c>
      <c r="D754" s="118" t="s">
        <v>1176</v>
      </c>
      <c r="E754" s="118">
        <v>69</v>
      </c>
      <c r="F754" s="118" t="str">
        <f>IF(E754&lt;=20,"0-19",
IF(E754&lt;=50,"20-49",
IF(E754&lt;=80,"50-79","80+")))</f>
        <v>50-79</v>
      </c>
      <c r="G754" s="118" t="s">
        <v>60</v>
      </c>
      <c r="H754" s="118" t="s">
        <v>15</v>
      </c>
      <c r="I754" s="118" t="s">
        <v>514</v>
      </c>
      <c r="J754" s="118" t="s">
        <v>2295</v>
      </c>
      <c r="K754" s="118" t="s">
        <v>1264</v>
      </c>
      <c r="L754" s="118" t="s">
        <v>1264</v>
      </c>
      <c r="M754" s="125" t="s">
        <v>623</v>
      </c>
      <c r="N754" s="160">
        <v>10650</v>
      </c>
      <c r="O754" s="125" t="s">
        <v>832</v>
      </c>
      <c r="P754" s="172"/>
      <c r="Q754" s="210"/>
    </row>
    <row r="755" spans="1:17" x14ac:dyDescent="0.2">
      <c r="A755" s="143" t="s">
        <v>1560</v>
      </c>
      <c r="B755" s="122">
        <v>2001823</v>
      </c>
      <c r="C755" s="122">
        <v>10576</v>
      </c>
      <c r="D755" s="122" t="s">
        <v>630</v>
      </c>
      <c r="E755" s="122">
        <v>72</v>
      </c>
      <c r="F755" s="122" t="str">
        <f>IF(E755&lt;=20,"0-19",
IF(E755&lt;=50,"20-49",
IF(E755&lt;=80,"50-79","80+")))</f>
        <v>50-79</v>
      </c>
      <c r="G755" s="122" t="s">
        <v>60</v>
      </c>
      <c r="H755" s="122" t="s">
        <v>22</v>
      </c>
      <c r="I755" s="122" t="s">
        <v>699</v>
      </c>
      <c r="J755" s="122" t="s">
        <v>2295</v>
      </c>
      <c r="K755" s="123" t="s">
        <v>1921</v>
      </c>
      <c r="L755" s="122" t="s">
        <v>1921</v>
      </c>
      <c r="M755" s="122" t="s">
        <v>623</v>
      </c>
      <c r="N755" s="124">
        <v>10650</v>
      </c>
      <c r="O755" s="124" t="s">
        <v>2254</v>
      </c>
      <c r="P755" s="147">
        <v>254725040021</v>
      </c>
      <c r="Q755" s="210"/>
    </row>
    <row r="756" spans="1:17" x14ac:dyDescent="0.2">
      <c r="A756" s="142" t="s">
        <v>1560</v>
      </c>
      <c r="B756" s="125">
        <v>2019634</v>
      </c>
      <c r="C756" s="125">
        <v>42684</v>
      </c>
      <c r="D756" s="125" t="s">
        <v>628</v>
      </c>
      <c r="E756" s="125">
        <v>69</v>
      </c>
      <c r="F756" s="125" t="str">
        <f>IF(E756&lt;=20,"0-19",
IF(E756&lt;=50,"20-49",
IF(E756&lt;=80,"50-79","80+")))</f>
        <v>50-79</v>
      </c>
      <c r="G756" s="125" t="s">
        <v>60</v>
      </c>
      <c r="H756" s="125" t="s">
        <v>15</v>
      </c>
      <c r="I756" s="125" t="s">
        <v>514</v>
      </c>
      <c r="J756" s="125" t="s">
        <v>2295</v>
      </c>
      <c r="K756" s="119" t="s">
        <v>1921</v>
      </c>
      <c r="L756" s="125" t="s">
        <v>1921</v>
      </c>
      <c r="M756" s="125" t="s">
        <v>623</v>
      </c>
      <c r="N756" s="126">
        <v>10650</v>
      </c>
      <c r="O756" s="126" t="s">
        <v>2254</v>
      </c>
      <c r="P756" s="146">
        <v>254723124386</v>
      </c>
      <c r="Q756" s="210"/>
    </row>
    <row r="757" spans="1:17" x14ac:dyDescent="0.2">
      <c r="A757" s="145" t="s">
        <v>653</v>
      </c>
      <c r="B757" s="125">
        <v>2017509</v>
      </c>
      <c r="C757" s="125">
        <v>19309</v>
      </c>
      <c r="D757" s="125" t="s">
        <v>652</v>
      </c>
      <c r="E757" s="119">
        <v>63</v>
      </c>
      <c r="F757" s="119" t="str">
        <f>IF(E757&lt;=20,"0-19",
IF(E757&lt;=50,"20-49",
IF(E757&lt;=80,"50-79","80+")))</f>
        <v>50-79</v>
      </c>
      <c r="G757" s="125" t="s">
        <v>60</v>
      </c>
      <c r="H757" s="125" t="s">
        <v>22</v>
      </c>
      <c r="I757" s="125" t="s">
        <v>514</v>
      </c>
      <c r="J757" s="125" t="s">
        <v>2295</v>
      </c>
      <c r="K757" s="119" t="s">
        <v>85</v>
      </c>
      <c r="L757" s="119" t="s">
        <v>85</v>
      </c>
      <c r="M757" s="125" t="s">
        <v>623</v>
      </c>
      <c r="N757" s="165">
        <v>8500</v>
      </c>
      <c r="O757" s="125" t="s">
        <v>18</v>
      </c>
      <c r="P757" s="173"/>
      <c r="Q757" s="210"/>
    </row>
    <row r="758" spans="1:17" x14ac:dyDescent="0.2">
      <c r="A758" s="155" t="s">
        <v>12</v>
      </c>
      <c r="B758" s="118">
        <v>2001893</v>
      </c>
      <c r="C758" s="125">
        <v>9046</v>
      </c>
      <c r="D758" s="118" t="s">
        <v>625</v>
      </c>
      <c r="E758" s="118">
        <v>69</v>
      </c>
      <c r="F758" s="118" t="str">
        <f>IF(E758&lt;=20,"0-19",
IF(E758&lt;=50,"20-49",
IF(E758&lt;=80,"50-79","80+")))</f>
        <v>50-79</v>
      </c>
      <c r="G758" s="118" t="s">
        <v>60</v>
      </c>
      <c r="H758" s="118" t="s">
        <v>22</v>
      </c>
      <c r="I758" s="118" t="s">
        <v>514</v>
      </c>
      <c r="J758" s="118" t="s">
        <v>2295</v>
      </c>
      <c r="K758" s="118" t="s">
        <v>1254</v>
      </c>
      <c r="L758" s="118" t="s">
        <v>1254</v>
      </c>
      <c r="M758" s="125" t="s">
        <v>623</v>
      </c>
      <c r="N758" s="160">
        <v>9500</v>
      </c>
      <c r="O758" s="125" t="s">
        <v>832</v>
      </c>
      <c r="P758" s="172"/>
      <c r="Q758" s="210"/>
    </row>
    <row r="759" spans="1:17" x14ac:dyDescent="0.2">
      <c r="A759" s="155" t="s">
        <v>544</v>
      </c>
      <c r="B759" s="118">
        <v>2012620</v>
      </c>
      <c r="C759" s="125">
        <v>102835</v>
      </c>
      <c r="D759" s="118" t="s">
        <v>686</v>
      </c>
      <c r="E759" s="118">
        <v>64</v>
      </c>
      <c r="F759" s="118" t="str">
        <f>IF(E759&lt;=20,"0-19",
IF(E759&lt;=50,"20-49",
IF(E759&lt;=80,"50-79","80+")))</f>
        <v>50-79</v>
      </c>
      <c r="G759" s="118" t="s">
        <v>49</v>
      </c>
      <c r="H759" s="118" t="s">
        <v>15</v>
      </c>
      <c r="I759" s="118" t="s">
        <v>514</v>
      </c>
      <c r="J759" s="118" t="s">
        <v>2295</v>
      </c>
      <c r="K759" s="118" t="s">
        <v>1254</v>
      </c>
      <c r="L759" s="118" t="s">
        <v>1254</v>
      </c>
      <c r="M759" s="125" t="s">
        <v>623</v>
      </c>
      <c r="N759" s="160">
        <v>9500</v>
      </c>
      <c r="O759" s="125" t="s">
        <v>832</v>
      </c>
      <c r="P759" s="173"/>
      <c r="Q759" s="210"/>
    </row>
    <row r="760" spans="1:17" x14ac:dyDescent="0.2">
      <c r="A760" s="180" t="s">
        <v>696</v>
      </c>
      <c r="B760" s="176">
        <v>2001823</v>
      </c>
      <c r="C760" s="176">
        <v>10576</v>
      </c>
      <c r="D760" s="176" t="s">
        <v>630</v>
      </c>
      <c r="E760" s="176">
        <v>72</v>
      </c>
      <c r="F760" s="176" t="str">
        <f>IF(E760&lt;=20,"0-19",
IF(E760&lt;=50,"20-49",
IF(E760&lt;=80,"50-79","80+")))</f>
        <v>50-79</v>
      </c>
      <c r="G760" s="176" t="s">
        <v>60</v>
      </c>
      <c r="H760" s="176" t="s">
        <v>22</v>
      </c>
      <c r="I760" s="176" t="s">
        <v>514</v>
      </c>
      <c r="J760" s="176" t="s">
        <v>2295</v>
      </c>
      <c r="K760" s="176" t="s">
        <v>289</v>
      </c>
      <c r="L760" s="176" t="s">
        <v>289</v>
      </c>
      <c r="M760" s="118" t="s">
        <v>623</v>
      </c>
      <c r="N760" s="167">
        <v>10650</v>
      </c>
      <c r="O760" s="125" t="s">
        <v>18</v>
      </c>
      <c r="P760" s="173"/>
      <c r="Q760" s="210"/>
    </row>
    <row r="761" spans="1:17" ht="21" x14ac:dyDescent="0.2">
      <c r="A761" s="180" t="s">
        <v>354</v>
      </c>
      <c r="B761" s="176">
        <v>2017742</v>
      </c>
      <c r="C761" s="176">
        <v>37239</v>
      </c>
      <c r="D761" s="176" t="s">
        <v>783</v>
      </c>
      <c r="E761" s="176">
        <v>58</v>
      </c>
      <c r="F761" s="176" t="str">
        <f>IF(E761&lt;=20,"0-19",
IF(E761&lt;=50,"20-49",
IF(E761&lt;=80,"50-79","80+")))</f>
        <v>50-79</v>
      </c>
      <c r="G761" s="176" t="s">
        <v>60</v>
      </c>
      <c r="H761" s="176" t="s">
        <v>22</v>
      </c>
      <c r="I761" s="176" t="s">
        <v>514</v>
      </c>
      <c r="J761" s="176" t="s">
        <v>2295</v>
      </c>
      <c r="K761" s="176" t="s">
        <v>2262</v>
      </c>
      <c r="L761" s="176" t="s">
        <v>289</v>
      </c>
      <c r="M761" s="118" t="s">
        <v>623</v>
      </c>
      <c r="N761" s="227">
        <v>9975</v>
      </c>
      <c r="O761" s="125" t="s">
        <v>18</v>
      </c>
      <c r="P761" s="173"/>
      <c r="Q761" s="210"/>
    </row>
    <row r="762" spans="1:17" x14ac:dyDescent="0.2">
      <c r="A762" s="182" t="s">
        <v>697</v>
      </c>
      <c r="B762" s="178">
        <v>2019634</v>
      </c>
      <c r="C762" s="178">
        <v>42684</v>
      </c>
      <c r="D762" s="178" t="s">
        <v>698</v>
      </c>
      <c r="E762" s="178">
        <v>69</v>
      </c>
      <c r="F762" s="178" t="str">
        <f>IF(E762&lt;=20,"0-19",
IF(E762&lt;=50,"20-49",
IF(E762&lt;=80,"50-79","80+")))</f>
        <v>50-79</v>
      </c>
      <c r="G762" s="178" t="s">
        <v>60</v>
      </c>
      <c r="H762" s="178" t="s">
        <v>15</v>
      </c>
      <c r="I762" s="178" t="s">
        <v>699</v>
      </c>
      <c r="J762" s="178" t="s">
        <v>2295</v>
      </c>
      <c r="K762" s="178" t="s">
        <v>289</v>
      </c>
      <c r="L762" s="178" t="s">
        <v>289</v>
      </c>
      <c r="M762" s="121" t="s">
        <v>623</v>
      </c>
      <c r="N762" s="228">
        <v>10650</v>
      </c>
      <c r="O762" s="122" t="s">
        <v>18</v>
      </c>
      <c r="P762" s="172"/>
      <c r="Q762" s="210"/>
    </row>
    <row r="763" spans="1:17" x14ac:dyDescent="0.2">
      <c r="A763" s="177" t="s">
        <v>456</v>
      </c>
      <c r="B763" s="178">
        <v>2010871</v>
      </c>
      <c r="C763" s="178">
        <v>56685</v>
      </c>
      <c r="D763" s="178" t="s">
        <v>679</v>
      </c>
      <c r="E763" s="179">
        <v>63</v>
      </c>
      <c r="F763" s="179" t="str">
        <f>IF(E763&lt;=20,"0-19",
IF(E763&lt;=50,"20-49",
IF(E763&lt;=80,"50-79","80+")))</f>
        <v>50-79</v>
      </c>
      <c r="G763" s="179" t="s">
        <v>60</v>
      </c>
      <c r="H763" s="179" t="s">
        <v>22</v>
      </c>
      <c r="I763" s="179" t="s">
        <v>514</v>
      </c>
      <c r="J763" s="179" t="s">
        <v>2295</v>
      </c>
      <c r="K763" s="179" t="s">
        <v>289</v>
      </c>
      <c r="L763" s="178" t="s">
        <v>289</v>
      </c>
      <c r="M763" s="123" t="s">
        <v>623</v>
      </c>
      <c r="N763" s="158">
        <v>9025</v>
      </c>
      <c r="O763" s="122" t="s">
        <v>18</v>
      </c>
      <c r="P763" s="172"/>
      <c r="Q763" s="210"/>
    </row>
    <row r="764" spans="1:17" x14ac:dyDescent="0.2">
      <c r="A764" s="143" t="s">
        <v>1166</v>
      </c>
      <c r="B764" s="122">
        <v>2001893</v>
      </c>
      <c r="C764" s="122">
        <v>9046</v>
      </c>
      <c r="D764" s="122" t="s">
        <v>625</v>
      </c>
      <c r="E764" s="122">
        <v>69</v>
      </c>
      <c r="F764" s="122" t="str">
        <f>IF(E764&lt;=20,"0-19",
IF(E764&lt;=50,"20-49",
IF(E764&lt;=80,"50-79","80+")))</f>
        <v>50-79</v>
      </c>
      <c r="G764" s="122" t="s">
        <v>60</v>
      </c>
      <c r="H764" s="122" t="s">
        <v>22</v>
      </c>
      <c r="I764" s="122" t="s">
        <v>514</v>
      </c>
      <c r="J764" s="122" t="s">
        <v>2295</v>
      </c>
      <c r="K764" s="123" t="s">
        <v>1913</v>
      </c>
      <c r="L764" s="122" t="s">
        <v>1913</v>
      </c>
      <c r="M764" s="122" t="s">
        <v>623</v>
      </c>
      <c r="N764" s="124">
        <v>9500</v>
      </c>
      <c r="O764" s="124" t="s">
        <v>2254</v>
      </c>
      <c r="P764" s="147">
        <v>254714272121</v>
      </c>
      <c r="Q764" s="210"/>
    </row>
    <row r="765" spans="1:17" x14ac:dyDescent="0.2">
      <c r="A765" s="142" t="s">
        <v>72</v>
      </c>
      <c r="B765" s="125">
        <v>2502095</v>
      </c>
      <c r="C765" s="125">
        <v>21102</v>
      </c>
      <c r="D765" s="125" t="s">
        <v>665</v>
      </c>
      <c r="E765" s="125"/>
      <c r="F765" s="125" t="str">
        <f>IF(E765&lt;=20,"0-19",
IF(E765&lt;=50,"20-49",
IF(E765&lt;=80,"50-79","80+")))</f>
        <v>0-19</v>
      </c>
      <c r="G765" s="125" t="s">
        <v>60</v>
      </c>
      <c r="H765" s="125" t="s">
        <v>22</v>
      </c>
      <c r="I765" s="125" t="s">
        <v>514</v>
      </c>
      <c r="J765" s="125" t="s">
        <v>2295</v>
      </c>
      <c r="K765" s="119" t="s">
        <v>1913</v>
      </c>
      <c r="L765" s="125" t="s">
        <v>1913</v>
      </c>
      <c r="M765" s="125" t="s">
        <v>623</v>
      </c>
      <c r="N765" s="126">
        <v>11500</v>
      </c>
      <c r="O765" s="126" t="s">
        <v>2254</v>
      </c>
      <c r="P765" s="146">
        <v>254721472450</v>
      </c>
      <c r="Q765" s="210"/>
    </row>
    <row r="766" spans="1:17" x14ac:dyDescent="0.2">
      <c r="A766" s="140" t="s">
        <v>340</v>
      </c>
      <c r="B766" s="125">
        <v>2014318</v>
      </c>
      <c r="C766" s="125">
        <v>61208</v>
      </c>
      <c r="D766" s="125" t="s">
        <v>651</v>
      </c>
      <c r="E766" s="125">
        <v>61</v>
      </c>
      <c r="F766" s="125" t="str">
        <f>IF(E766&lt;=20,"0-19",
IF(E766&lt;=50,"20-49",
IF(E766&lt;=80,"50-79","80+")))</f>
        <v>50-79</v>
      </c>
      <c r="G766" s="125" t="s">
        <v>60</v>
      </c>
      <c r="H766" s="125" t="s">
        <v>22</v>
      </c>
      <c r="I766" s="125" t="s">
        <v>514</v>
      </c>
      <c r="J766" s="125" t="s">
        <v>2295</v>
      </c>
      <c r="K766" s="119" t="s">
        <v>1913</v>
      </c>
      <c r="L766" s="125" t="s">
        <v>1913</v>
      </c>
      <c r="M766" s="125" t="s">
        <v>623</v>
      </c>
      <c r="N766" s="126">
        <v>9500</v>
      </c>
      <c r="O766" s="126" t="s">
        <v>2254</v>
      </c>
      <c r="P766" s="146">
        <v>254714272121</v>
      </c>
      <c r="Q766" s="210"/>
    </row>
    <row r="767" spans="1:17" x14ac:dyDescent="0.2">
      <c r="A767" s="180" t="s">
        <v>700</v>
      </c>
      <c r="B767" s="176">
        <v>2001893</v>
      </c>
      <c r="C767" s="176">
        <v>9046</v>
      </c>
      <c r="D767" s="176" t="s">
        <v>625</v>
      </c>
      <c r="E767" s="176">
        <v>69</v>
      </c>
      <c r="F767" s="176" t="str">
        <f>IF(E767&lt;=20,"0-19",
IF(E767&lt;=50,"20-49",
IF(E767&lt;=80,"50-79","80+")))</f>
        <v>50-79</v>
      </c>
      <c r="G767" s="176" t="s">
        <v>60</v>
      </c>
      <c r="H767" s="176" t="s">
        <v>22</v>
      </c>
      <c r="I767" s="176" t="s">
        <v>514</v>
      </c>
      <c r="J767" s="176" t="s">
        <v>2295</v>
      </c>
      <c r="K767" s="176" t="s">
        <v>190</v>
      </c>
      <c r="L767" s="176" t="s">
        <v>190</v>
      </c>
      <c r="M767" s="118" t="s">
        <v>623</v>
      </c>
      <c r="N767" s="167">
        <v>9500</v>
      </c>
      <c r="O767" s="125" t="s">
        <v>18</v>
      </c>
      <c r="P767" s="173"/>
      <c r="Q767" s="210"/>
    </row>
    <row r="768" spans="1:17" x14ac:dyDescent="0.2">
      <c r="A768" s="182" t="s">
        <v>701</v>
      </c>
      <c r="B768" s="178">
        <v>2001404</v>
      </c>
      <c r="C768" s="178">
        <v>37163</v>
      </c>
      <c r="D768" s="178" t="s">
        <v>688</v>
      </c>
      <c r="E768" s="178">
        <v>63</v>
      </c>
      <c r="F768" s="178" t="str">
        <f>IF(E768&lt;=20,"0-19",
IF(E768&lt;=50,"20-49",
IF(E768&lt;=80,"50-79","80+")))</f>
        <v>50-79</v>
      </c>
      <c r="G768" s="178" t="s">
        <v>60</v>
      </c>
      <c r="H768" s="178" t="s">
        <v>22</v>
      </c>
      <c r="I768" s="178" t="s">
        <v>514</v>
      </c>
      <c r="J768" s="178" t="s">
        <v>2295</v>
      </c>
      <c r="K768" s="178" t="s">
        <v>190</v>
      </c>
      <c r="L768" s="178" t="s">
        <v>190</v>
      </c>
      <c r="M768" s="121" t="s">
        <v>623</v>
      </c>
      <c r="N768" s="158">
        <v>13000</v>
      </c>
      <c r="O768" s="122" t="s">
        <v>18</v>
      </c>
      <c r="P768" s="172"/>
      <c r="Q768" s="210"/>
    </row>
    <row r="769" spans="1:17" ht="21" x14ac:dyDescent="0.2">
      <c r="A769" s="142" t="s">
        <v>544</v>
      </c>
      <c r="B769" s="125">
        <v>2003908</v>
      </c>
      <c r="C769" s="125">
        <v>15158</v>
      </c>
      <c r="D769" s="125" t="s">
        <v>693</v>
      </c>
      <c r="E769" s="125">
        <v>65</v>
      </c>
      <c r="F769" s="125" t="str">
        <f>IF(E769&lt;=20,"0-19",
IF(E769&lt;=50,"20-49",
IF(E769&lt;=80,"50-79","80+")))</f>
        <v>50-79</v>
      </c>
      <c r="G769" s="125" t="s">
        <v>60</v>
      </c>
      <c r="H769" s="125" t="s">
        <v>22</v>
      </c>
      <c r="I769" s="125" t="s">
        <v>514</v>
      </c>
      <c r="J769" s="125" t="s">
        <v>2295</v>
      </c>
      <c r="K769" s="119" t="s">
        <v>2050</v>
      </c>
      <c r="L769" s="125" t="s">
        <v>1922</v>
      </c>
      <c r="M769" s="125" t="s">
        <v>623</v>
      </c>
      <c r="N769" s="126">
        <v>268400</v>
      </c>
      <c r="O769" s="126" t="s">
        <v>2254</v>
      </c>
      <c r="P769" s="146">
        <v>254720659401</v>
      </c>
      <c r="Q769" s="210"/>
    </row>
    <row r="770" spans="1:17" x14ac:dyDescent="0.2">
      <c r="A770" s="142" t="s">
        <v>1560</v>
      </c>
      <c r="B770" s="125">
        <v>2019634</v>
      </c>
      <c r="C770" s="125">
        <v>42684</v>
      </c>
      <c r="D770" s="125" t="s">
        <v>628</v>
      </c>
      <c r="E770" s="125">
        <v>69</v>
      </c>
      <c r="F770" s="125" t="str">
        <f>IF(E770&lt;=20,"0-19",
IF(E770&lt;=50,"20-49",
IF(E770&lt;=80,"50-79","80+")))</f>
        <v>50-79</v>
      </c>
      <c r="G770" s="125" t="s">
        <v>60</v>
      </c>
      <c r="H770" s="125" t="s">
        <v>15</v>
      </c>
      <c r="I770" s="125" t="s">
        <v>514</v>
      </c>
      <c r="J770" s="125" t="s">
        <v>2295</v>
      </c>
      <c r="K770" s="119" t="s">
        <v>1922</v>
      </c>
      <c r="L770" s="125" t="s">
        <v>1922</v>
      </c>
      <c r="M770" s="125" t="s">
        <v>623</v>
      </c>
      <c r="N770" s="126">
        <v>10650</v>
      </c>
      <c r="O770" s="126" t="s">
        <v>2254</v>
      </c>
      <c r="P770" s="146">
        <v>254714232051</v>
      </c>
      <c r="Q770" s="210"/>
    </row>
    <row r="771" spans="1:17" x14ac:dyDescent="0.2">
      <c r="A771" s="155" t="s">
        <v>687</v>
      </c>
      <c r="B771" s="198">
        <v>2001404</v>
      </c>
      <c r="C771" s="198">
        <v>37163</v>
      </c>
      <c r="D771" s="198" t="s">
        <v>688</v>
      </c>
      <c r="E771" s="198">
        <v>63</v>
      </c>
      <c r="F771" s="198" t="str">
        <f>IF(E771&lt;=20,"0-19",
IF(E771&lt;=50,"20-49",
IF(E771&lt;=80,"50-79","80+")))</f>
        <v>50-79</v>
      </c>
      <c r="G771" s="198" t="s">
        <v>126</v>
      </c>
      <c r="H771" s="198" t="s">
        <v>664</v>
      </c>
      <c r="I771" s="198" t="s">
        <v>689</v>
      </c>
      <c r="J771" s="198" t="s">
        <v>2295</v>
      </c>
      <c r="K771" s="196" t="s">
        <v>121</v>
      </c>
      <c r="L771" s="196" t="s">
        <v>121</v>
      </c>
      <c r="M771" s="196" t="s">
        <v>623</v>
      </c>
      <c r="N771" s="203">
        <v>13000</v>
      </c>
      <c r="O771" s="122" t="s">
        <v>18</v>
      </c>
      <c r="P771" s="172"/>
      <c r="Q771" s="210"/>
    </row>
    <row r="772" spans="1:17" x14ac:dyDescent="0.2">
      <c r="A772" s="155" t="s">
        <v>340</v>
      </c>
      <c r="B772" s="118">
        <v>2014318</v>
      </c>
      <c r="C772" s="125">
        <v>61208</v>
      </c>
      <c r="D772" s="118" t="s">
        <v>1169</v>
      </c>
      <c r="E772" s="118">
        <v>62</v>
      </c>
      <c r="F772" s="118" t="str">
        <f>IF(E772&lt;=20,"0-19",
IF(E772&lt;=50,"20-49",
IF(E772&lt;=80,"50-79","80+")))</f>
        <v>50-79</v>
      </c>
      <c r="G772" s="118" t="s">
        <v>60</v>
      </c>
      <c r="H772" s="118" t="s">
        <v>22</v>
      </c>
      <c r="I772" s="118" t="s">
        <v>1170</v>
      </c>
      <c r="J772" s="118" t="s">
        <v>2295</v>
      </c>
      <c r="K772" s="118" t="s">
        <v>835</v>
      </c>
      <c r="L772" s="118" t="s">
        <v>835</v>
      </c>
      <c r="M772" s="125" t="s">
        <v>623</v>
      </c>
      <c r="N772" s="160">
        <v>9500</v>
      </c>
      <c r="O772" s="125" t="s">
        <v>832</v>
      </c>
      <c r="P772" s="173"/>
      <c r="Q772" s="210"/>
    </row>
    <row r="773" spans="1:17" x14ac:dyDescent="0.2">
      <c r="A773" s="141" t="s">
        <v>340</v>
      </c>
      <c r="B773" s="122">
        <v>2014318</v>
      </c>
      <c r="C773" s="122">
        <v>61208</v>
      </c>
      <c r="D773" s="122" t="s">
        <v>651</v>
      </c>
      <c r="E773" s="122">
        <v>63</v>
      </c>
      <c r="F773" s="122" t="str">
        <f>IF(E773&lt;=20,"0-19",
IF(E773&lt;=50,"20-49",
IF(E773&lt;=80,"50-79","80+")))</f>
        <v>50-79</v>
      </c>
      <c r="G773" s="122" t="s">
        <v>60</v>
      </c>
      <c r="H773" s="122" t="s">
        <v>22</v>
      </c>
      <c r="I773" s="122" t="s">
        <v>1907</v>
      </c>
      <c r="J773" s="122" t="s">
        <v>2295</v>
      </c>
      <c r="K773" s="123" t="s">
        <v>1908</v>
      </c>
      <c r="L773" s="122" t="s">
        <v>1908</v>
      </c>
      <c r="M773" s="122" t="s">
        <v>623</v>
      </c>
      <c r="N773" s="124">
        <v>9500</v>
      </c>
      <c r="O773" s="124" t="s">
        <v>2254</v>
      </c>
      <c r="P773" s="147">
        <v>254722849332</v>
      </c>
      <c r="Q773" s="210"/>
    </row>
    <row r="774" spans="1:17" x14ac:dyDescent="0.2">
      <c r="A774" s="155" t="s">
        <v>68</v>
      </c>
      <c r="B774" s="125">
        <v>2002953</v>
      </c>
      <c r="C774" s="125">
        <v>18654</v>
      </c>
      <c r="D774" s="125" t="s">
        <v>657</v>
      </c>
      <c r="E774" s="125">
        <v>63</v>
      </c>
      <c r="F774" s="125" t="str">
        <f>IF(E774&lt;=20,"0-19",
IF(E774&lt;=50,"20-49",
IF(E774&lt;=80,"50-79","80+")))</f>
        <v>50-79</v>
      </c>
      <c r="G774" s="125" t="s">
        <v>60</v>
      </c>
      <c r="H774" s="125" t="s">
        <v>22</v>
      </c>
      <c r="I774" s="119" t="s">
        <v>1168</v>
      </c>
      <c r="J774" s="119" t="s">
        <v>2295</v>
      </c>
      <c r="K774" s="119" t="s">
        <v>834</v>
      </c>
      <c r="L774" s="125" t="s">
        <v>834</v>
      </c>
      <c r="M774" s="125" t="s">
        <v>623</v>
      </c>
      <c r="N774" s="162">
        <v>12394</v>
      </c>
      <c r="O774" s="125" t="s">
        <v>832</v>
      </c>
      <c r="P774" s="173"/>
      <c r="Q774" s="210"/>
    </row>
    <row r="775" spans="1:17" x14ac:dyDescent="0.2">
      <c r="A775" s="155" t="s">
        <v>68</v>
      </c>
      <c r="B775" s="125">
        <v>2002953</v>
      </c>
      <c r="C775" s="125">
        <v>18654</v>
      </c>
      <c r="D775" s="125" t="s">
        <v>657</v>
      </c>
      <c r="E775" s="125">
        <v>63</v>
      </c>
      <c r="F775" s="125" t="str">
        <f>IF(E775&lt;=20,"0-19",
IF(E775&lt;=50,"20-49",
IF(E775&lt;=80,"50-79","80+")))</f>
        <v>50-79</v>
      </c>
      <c r="G775" s="125" t="s">
        <v>60</v>
      </c>
      <c r="H775" s="125" t="s">
        <v>22</v>
      </c>
      <c r="I775" s="119" t="s">
        <v>1168</v>
      </c>
      <c r="J775" s="119" t="s">
        <v>2295</v>
      </c>
      <c r="K775" s="119" t="s">
        <v>851</v>
      </c>
      <c r="L775" s="125" t="s">
        <v>851</v>
      </c>
      <c r="M775" s="125" t="s">
        <v>623</v>
      </c>
      <c r="N775" s="162">
        <v>12369</v>
      </c>
      <c r="O775" s="125" t="s">
        <v>832</v>
      </c>
      <c r="P775" s="173"/>
      <c r="Q775" s="210"/>
    </row>
    <row r="776" spans="1:17" x14ac:dyDescent="0.2">
      <c r="A776" s="142" t="s">
        <v>68</v>
      </c>
      <c r="B776" s="119">
        <v>2002953</v>
      </c>
      <c r="C776" s="125">
        <v>18654</v>
      </c>
      <c r="D776" s="119" t="s">
        <v>1573</v>
      </c>
      <c r="E776" s="119">
        <v>63</v>
      </c>
      <c r="F776" s="119" t="str">
        <f>IF(E776&lt;=20,"0-19",
IF(E776&lt;=50,"20-49",
IF(E776&lt;=80,"50-79","80+")))</f>
        <v>50-79</v>
      </c>
      <c r="G776" s="118" t="s">
        <v>60</v>
      </c>
      <c r="H776" s="118" t="s">
        <v>22</v>
      </c>
      <c r="I776" s="119" t="s">
        <v>1931</v>
      </c>
      <c r="J776" s="119" t="s">
        <v>2295</v>
      </c>
      <c r="K776" s="119" t="s">
        <v>1911</v>
      </c>
      <c r="L776" s="119" t="s">
        <v>1911</v>
      </c>
      <c r="M776" s="125" t="s">
        <v>623</v>
      </c>
      <c r="N776" s="120">
        <v>14895</v>
      </c>
      <c r="O776" s="120" t="s">
        <v>2254</v>
      </c>
      <c r="P776" s="146">
        <v>254728114821</v>
      </c>
      <c r="Q776" s="210"/>
    </row>
    <row r="777" spans="1:17" ht="21" x14ac:dyDescent="0.2">
      <c r="A777" s="155" t="s">
        <v>68</v>
      </c>
      <c r="B777" s="197">
        <v>2002953</v>
      </c>
      <c r="C777" s="197">
        <v>18654</v>
      </c>
      <c r="D777" s="198" t="s">
        <v>654</v>
      </c>
      <c r="E777" s="197">
        <v>60</v>
      </c>
      <c r="F777" s="197" t="str">
        <f>IF(E777&lt;=20,"0-19",
IF(E777&lt;=50,"20-49",
IF(E777&lt;=80,"50-79","80+")))</f>
        <v>50-79</v>
      </c>
      <c r="G777" s="197" t="s">
        <v>60</v>
      </c>
      <c r="H777" s="197" t="s">
        <v>22</v>
      </c>
      <c r="I777" s="198" t="s">
        <v>644</v>
      </c>
      <c r="J777" s="198" t="s">
        <v>2295</v>
      </c>
      <c r="K777" s="198" t="s">
        <v>656</v>
      </c>
      <c r="L777" s="197" t="s">
        <v>57</v>
      </c>
      <c r="M777" s="196" t="s">
        <v>623</v>
      </c>
      <c r="N777" s="202">
        <v>11944</v>
      </c>
      <c r="O777" s="125" t="s">
        <v>18</v>
      </c>
      <c r="P777" s="173"/>
      <c r="Q777" s="210"/>
    </row>
    <row r="778" spans="1:17" ht="21" x14ac:dyDescent="0.2">
      <c r="A778" s="144" t="s">
        <v>75</v>
      </c>
      <c r="B778" s="197">
        <v>2002754</v>
      </c>
      <c r="C778" s="197">
        <v>11467</v>
      </c>
      <c r="D778" s="198" t="s">
        <v>636</v>
      </c>
      <c r="E778" s="197">
        <v>70</v>
      </c>
      <c r="F778" s="197" t="str">
        <f>IF(E778&lt;=20,"0-19",
IF(E778&lt;=50,"20-49",
IF(E778&lt;=80,"50-79","80+")))</f>
        <v>50-79</v>
      </c>
      <c r="G778" s="197" t="s">
        <v>60</v>
      </c>
      <c r="H778" s="197" t="s">
        <v>22</v>
      </c>
      <c r="I778" s="198" t="s">
        <v>644</v>
      </c>
      <c r="J778" s="198" t="s">
        <v>2295</v>
      </c>
      <c r="K778" s="198" t="s">
        <v>674</v>
      </c>
      <c r="L778" s="197" t="s">
        <v>36</v>
      </c>
      <c r="M778" s="196" t="s">
        <v>623</v>
      </c>
      <c r="N778" s="202">
        <v>9025</v>
      </c>
      <c r="O778" s="122" t="s">
        <v>18</v>
      </c>
      <c r="P778" s="172"/>
      <c r="Q778" s="210"/>
    </row>
    <row r="779" spans="1:17" ht="21" x14ac:dyDescent="0.2">
      <c r="A779" s="156" t="s">
        <v>228</v>
      </c>
      <c r="B779" s="118">
        <v>2005037</v>
      </c>
      <c r="C779" s="118">
        <v>5326</v>
      </c>
      <c r="D779" s="118" t="s">
        <v>643</v>
      </c>
      <c r="E779" s="118">
        <v>18</v>
      </c>
      <c r="F779" s="118" t="str">
        <f>IF(E779&lt;=20,"0-19",
IF(E779&lt;=50,"20-49",
IF(E779&lt;=80,"50-79","80+")))</f>
        <v>0-19</v>
      </c>
      <c r="G779" s="118" t="s">
        <v>60</v>
      </c>
      <c r="H779" s="118" t="s">
        <v>132</v>
      </c>
      <c r="I779" s="118" t="s">
        <v>644</v>
      </c>
      <c r="J779" s="118" t="s">
        <v>2295</v>
      </c>
      <c r="K779" s="118" t="s">
        <v>645</v>
      </c>
      <c r="L779" s="118" t="s">
        <v>99</v>
      </c>
      <c r="M779" s="118" t="s">
        <v>623</v>
      </c>
      <c r="N779" s="160">
        <v>6275.31</v>
      </c>
      <c r="O779" s="125" t="s">
        <v>18</v>
      </c>
      <c r="P779" s="173"/>
      <c r="Q779" s="210"/>
    </row>
    <row r="780" spans="1:17" ht="31.5" x14ac:dyDescent="0.2">
      <c r="A780" s="156" t="s">
        <v>228</v>
      </c>
      <c r="B780" s="122">
        <v>2005037</v>
      </c>
      <c r="C780" s="122">
        <v>5326</v>
      </c>
      <c r="D780" s="122" t="s">
        <v>643</v>
      </c>
      <c r="E780" s="123">
        <v>18</v>
      </c>
      <c r="F780" s="123" t="str">
        <f>IF(E780&lt;=20,"0-19",
IF(E780&lt;=50,"20-49",
IF(E780&lt;=80,"50-79","80+")))</f>
        <v>0-19</v>
      </c>
      <c r="G780" s="122" t="s">
        <v>60</v>
      </c>
      <c r="H780" s="122" t="s">
        <v>132</v>
      </c>
      <c r="I780" s="122" t="s">
        <v>644</v>
      </c>
      <c r="J780" s="122" t="s">
        <v>2295</v>
      </c>
      <c r="K780" s="123" t="s">
        <v>646</v>
      </c>
      <c r="L780" s="123" t="s">
        <v>66</v>
      </c>
      <c r="M780" s="122" t="s">
        <v>623</v>
      </c>
      <c r="N780" s="157">
        <v>6402.78</v>
      </c>
      <c r="O780" s="122" t="s">
        <v>18</v>
      </c>
      <c r="P780" s="172"/>
      <c r="Q780" s="210"/>
    </row>
    <row r="781" spans="1:17" x14ac:dyDescent="0.2">
      <c r="A781" s="155" t="s">
        <v>68</v>
      </c>
      <c r="B781" s="197">
        <v>2002952</v>
      </c>
      <c r="C781" s="197">
        <v>18654</v>
      </c>
      <c r="D781" s="198" t="s">
        <v>654</v>
      </c>
      <c r="E781" s="197">
        <v>60</v>
      </c>
      <c r="F781" s="197" t="str">
        <f>IF(E781&lt;=20,"0-19",
IF(E781&lt;=50,"20-49",
IF(E781&lt;=80,"50-79","80+")))</f>
        <v>50-79</v>
      </c>
      <c r="G781" s="197" t="s">
        <v>60</v>
      </c>
      <c r="H781" s="197" t="s">
        <v>22</v>
      </c>
      <c r="I781" s="198" t="s">
        <v>655</v>
      </c>
      <c r="J781" s="198" t="s">
        <v>2295</v>
      </c>
      <c r="K781" s="198" t="s">
        <v>51</v>
      </c>
      <c r="L781" s="197" t="s">
        <v>51</v>
      </c>
      <c r="M781" s="196" t="s">
        <v>623</v>
      </c>
      <c r="N781" s="202">
        <v>12260</v>
      </c>
      <c r="O781" s="122" t="s">
        <v>18</v>
      </c>
      <c r="P781" s="172"/>
      <c r="Q781" s="210"/>
    </row>
    <row r="782" spans="1:17" x14ac:dyDescent="0.2">
      <c r="A782" s="155" t="s">
        <v>1502</v>
      </c>
      <c r="B782" s="125">
        <v>2002754</v>
      </c>
      <c r="C782" s="125">
        <v>11467</v>
      </c>
      <c r="D782" s="125" t="s">
        <v>671</v>
      </c>
      <c r="E782" s="125">
        <v>74</v>
      </c>
      <c r="F782" s="125" t="str">
        <f>IF(E782&lt;=20,"0-19",
IF(E782&lt;=50,"20-49",
IF(E782&lt;=80,"50-79","80+")))</f>
        <v>50-79</v>
      </c>
      <c r="G782" s="125" t="s">
        <v>60</v>
      </c>
      <c r="H782" s="125" t="s">
        <v>22</v>
      </c>
      <c r="I782" s="119" t="s">
        <v>655</v>
      </c>
      <c r="J782" s="119" t="s">
        <v>2295</v>
      </c>
      <c r="K782" s="119" t="s">
        <v>901</v>
      </c>
      <c r="L782" s="125" t="s">
        <v>901</v>
      </c>
      <c r="M782" s="125" t="s">
        <v>623</v>
      </c>
      <c r="N782" s="162">
        <v>9025</v>
      </c>
      <c r="O782" s="125" t="s">
        <v>832</v>
      </c>
      <c r="P782" s="173"/>
      <c r="Q782" s="210"/>
    </row>
    <row r="783" spans="1:17" x14ac:dyDescent="0.2">
      <c r="A783" s="155" t="s">
        <v>68</v>
      </c>
      <c r="B783" s="121">
        <v>2002953</v>
      </c>
      <c r="C783" s="121">
        <v>18654</v>
      </c>
      <c r="D783" s="121" t="s">
        <v>657</v>
      </c>
      <c r="E783" s="121">
        <v>60</v>
      </c>
      <c r="F783" s="121" t="str">
        <f>IF(E783&lt;=20,"0-19",
IF(E783&lt;=50,"20-49",
IF(E783&lt;=80,"50-79","80+")))</f>
        <v>50-79</v>
      </c>
      <c r="G783" s="121" t="s">
        <v>60</v>
      </c>
      <c r="H783" s="121" t="s">
        <v>22</v>
      </c>
      <c r="I783" s="121" t="s">
        <v>655</v>
      </c>
      <c r="J783" s="121" t="s">
        <v>2295</v>
      </c>
      <c r="K783" s="121" t="s">
        <v>99</v>
      </c>
      <c r="L783" s="121" t="s">
        <v>99</v>
      </c>
      <c r="M783" s="121" t="s">
        <v>623</v>
      </c>
      <c r="N783" s="191">
        <v>10807</v>
      </c>
      <c r="O783" s="122" t="s">
        <v>18</v>
      </c>
      <c r="P783" s="172"/>
      <c r="Q783" s="210"/>
    </row>
    <row r="784" spans="1:17" ht="21" x14ac:dyDescent="0.2">
      <c r="A784" s="144" t="s">
        <v>75</v>
      </c>
      <c r="B784" s="122">
        <v>2002754</v>
      </c>
      <c r="C784" s="122">
        <v>11467</v>
      </c>
      <c r="D784" s="122" t="s">
        <v>671</v>
      </c>
      <c r="E784" s="123">
        <v>74</v>
      </c>
      <c r="F784" s="123" t="str">
        <f>IF(E784&lt;=20,"0-19",
IF(E784&lt;=50,"20-49",
IF(E784&lt;=80,"50-79","80+")))</f>
        <v>50-79</v>
      </c>
      <c r="G784" s="122" t="s">
        <v>60</v>
      </c>
      <c r="H784" s="122" t="s">
        <v>22</v>
      </c>
      <c r="I784" s="122" t="s">
        <v>655</v>
      </c>
      <c r="J784" s="122" t="s">
        <v>2295</v>
      </c>
      <c r="K784" s="123" t="s">
        <v>672</v>
      </c>
      <c r="L784" s="123" t="s">
        <v>66</v>
      </c>
      <c r="M784" s="122" t="s">
        <v>623</v>
      </c>
      <c r="N784" s="157">
        <v>9025</v>
      </c>
      <c r="O784" s="122" t="s">
        <v>18</v>
      </c>
      <c r="P784" s="172"/>
      <c r="Q784" s="210"/>
    </row>
    <row r="785" spans="1:17" x14ac:dyDescent="0.2">
      <c r="A785" s="155" t="s">
        <v>12</v>
      </c>
      <c r="B785" s="125">
        <v>2001893</v>
      </c>
      <c r="C785" s="125">
        <v>9046</v>
      </c>
      <c r="D785" s="125" t="s">
        <v>625</v>
      </c>
      <c r="E785" s="125">
        <v>69</v>
      </c>
      <c r="F785" s="125" t="str">
        <f>IF(E785&lt;=20,"0-19",
IF(E785&lt;=50,"20-49",
IF(E785&lt;=80,"50-79","80+")))</f>
        <v>50-79</v>
      </c>
      <c r="G785" s="125" t="s">
        <v>60</v>
      </c>
      <c r="H785" s="125" t="s">
        <v>22</v>
      </c>
      <c r="I785" s="119" t="s">
        <v>1167</v>
      </c>
      <c r="J785" s="119" t="s">
        <v>2295</v>
      </c>
      <c r="K785" s="119" t="s">
        <v>846</v>
      </c>
      <c r="L785" s="125" t="s">
        <v>846</v>
      </c>
      <c r="M785" s="125" t="s">
        <v>623</v>
      </c>
      <c r="N785" s="162">
        <v>9500</v>
      </c>
      <c r="O785" s="125" t="s">
        <v>832</v>
      </c>
      <c r="P785" s="172"/>
      <c r="Q785" s="210"/>
    </row>
    <row r="786" spans="1:17" x14ac:dyDescent="0.2">
      <c r="A786" s="155" t="s">
        <v>319</v>
      </c>
      <c r="B786" s="196">
        <v>2001823</v>
      </c>
      <c r="C786" s="196">
        <v>10576</v>
      </c>
      <c r="D786" s="196" t="s">
        <v>629</v>
      </c>
      <c r="E786" s="196">
        <v>71</v>
      </c>
      <c r="F786" s="196" t="str">
        <f>IF(E786&lt;=20,"0-19",
IF(E786&lt;=50,"20-49",
IF(E786&lt;=80,"50-79","80+")))</f>
        <v>50-79</v>
      </c>
      <c r="G786" s="196" t="s">
        <v>126</v>
      </c>
      <c r="H786" s="196" t="s">
        <v>22</v>
      </c>
      <c r="I786" s="196" t="s">
        <v>622</v>
      </c>
      <c r="J786" s="119" t="s">
        <v>2295</v>
      </c>
      <c r="K786" s="196" t="s">
        <v>17</v>
      </c>
      <c r="L786" s="196" t="s">
        <v>17</v>
      </c>
      <c r="M786" s="196" t="s">
        <v>623</v>
      </c>
      <c r="N786" s="201">
        <v>10650</v>
      </c>
      <c r="O786" s="122" t="s">
        <v>18</v>
      </c>
      <c r="P786" s="172"/>
      <c r="Q786" s="210"/>
    </row>
    <row r="787" spans="1:17" x14ac:dyDescent="0.2">
      <c r="A787" s="156" t="s">
        <v>12</v>
      </c>
      <c r="B787" s="196">
        <v>2001893</v>
      </c>
      <c r="C787" s="196">
        <v>9046</v>
      </c>
      <c r="D787" s="196" t="s">
        <v>621</v>
      </c>
      <c r="E787" s="196">
        <v>69</v>
      </c>
      <c r="F787" s="196" t="str">
        <f>IF(E787&lt;=20,"0-19",
IF(E787&lt;=50,"20-49",
IF(E787&lt;=80,"50-79","80+")))</f>
        <v>50-79</v>
      </c>
      <c r="G787" s="196" t="s">
        <v>126</v>
      </c>
      <c r="H787" s="196" t="s">
        <v>22</v>
      </c>
      <c r="I787" s="196" t="s">
        <v>622</v>
      </c>
      <c r="J787" s="119" t="s">
        <v>2295</v>
      </c>
      <c r="K787" s="196" t="s">
        <v>104</v>
      </c>
      <c r="L787" s="196" t="s">
        <v>104</v>
      </c>
      <c r="M787" s="196" t="s">
        <v>623</v>
      </c>
      <c r="N787" s="201">
        <v>9500</v>
      </c>
      <c r="O787" s="122" t="s">
        <v>18</v>
      </c>
      <c r="P787" s="172"/>
      <c r="Q787" s="210"/>
    </row>
    <row r="788" spans="1:17" x14ac:dyDescent="0.2">
      <c r="A788" s="142" t="s">
        <v>68</v>
      </c>
      <c r="B788" s="119">
        <v>2002953</v>
      </c>
      <c r="C788" s="125">
        <v>18654</v>
      </c>
      <c r="D788" s="119" t="s">
        <v>1573</v>
      </c>
      <c r="E788" s="119">
        <v>63</v>
      </c>
      <c r="F788" s="119" t="str">
        <f>IF(E788&lt;=20,"0-19",
IF(E788&lt;=50,"20-49",
IF(E788&lt;=80,"50-79","80+")))</f>
        <v>50-79</v>
      </c>
      <c r="G788" s="119" t="s">
        <v>126</v>
      </c>
      <c r="H788" s="119" t="s">
        <v>22</v>
      </c>
      <c r="I788" s="119" t="s">
        <v>1544</v>
      </c>
      <c r="J788" s="119" t="s">
        <v>2295</v>
      </c>
      <c r="K788" s="119" t="s">
        <v>1562</v>
      </c>
      <c r="L788" s="119" t="s">
        <v>1562</v>
      </c>
      <c r="M788" s="125" t="s">
        <v>623</v>
      </c>
      <c r="N788" s="129">
        <v>11484</v>
      </c>
      <c r="O788" s="129" t="s">
        <v>2254</v>
      </c>
      <c r="P788" s="146">
        <v>254715509227</v>
      </c>
      <c r="Q788" s="210"/>
    </row>
    <row r="789" spans="1:17" x14ac:dyDescent="0.2">
      <c r="A789" s="143" t="s">
        <v>72</v>
      </c>
      <c r="B789" s="196">
        <v>2502095</v>
      </c>
      <c r="C789" s="196">
        <v>21102</v>
      </c>
      <c r="D789" s="196" t="s">
        <v>663</v>
      </c>
      <c r="E789" s="196">
        <v>57</v>
      </c>
      <c r="F789" s="196" t="str">
        <f>IF(E789&lt;=20,"0-19",
IF(E789&lt;=50,"20-49",
IF(E789&lt;=80,"50-79","80+")))</f>
        <v>50-79</v>
      </c>
      <c r="G789" s="196" t="s">
        <v>126</v>
      </c>
      <c r="H789" s="196" t="s">
        <v>664</v>
      </c>
      <c r="I789" s="196" t="s">
        <v>622</v>
      </c>
      <c r="J789" s="119" t="s">
        <v>2295</v>
      </c>
      <c r="K789" s="196" t="s">
        <v>121</v>
      </c>
      <c r="L789" s="196" t="s">
        <v>121</v>
      </c>
      <c r="M789" s="196" t="s">
        <v>623</v>
      </c>
      <c r="N789" s="201">
        <v>11500</v>
      </c>
      <c r="O789" s="122" t="s">
        <v>18</v>
      </c>
      <c r="P789" s="172"/>
      <c r="Q789" s="210"/>
    </row>
    <row r="790" spans="1:17" x14ac:dyDescent="0.2">
      <c r="A790" s="143" t="s">
        <v>1502</v>
      </c>
      <c r="B790" s="122">
        <v>2002754</v>
      </c>
      <c r="C790" s="122">
        <v>11467</v>
      </c>
      <c r="D790" s="122" t="s">
        <v>636</v>
      </c>
      <c r="E790" s="122">
        <v>73</v>
      </c>
      <c r="F790" s="122" t="str">
        <f>IF(E790&lt;=20,"0-19",
IF(E790&lt;=50,"20-49",
IF(E790&lt;=80,"50-79","80+")))</f>
        <v>50-79</v>
      </c>
      <c r="G790" s="122" t="s">
        <v>126</v>
      </c>
      <c r="H790" s="122" t="s">
        <v>664</v>
      </c>
      <c r="I790" s="123" t="s">
        <v>1544</v>
      </c>
      <c r="J790" s="119" t="s">
        <v>2295</v>
      </c>
      <c r="K790" s="122" t="s">
        <v>1545</v>
      </c>
      <c r="L790" s="122" t="s">
        <v>1546</v>
      </c>
      <c r="M790" s="122" t="s">
        <v>623</v>
      </c>
      <c r="N790" s="124">
        <v>9025</v>
      </c>
      <c r="O790" s="124" t="s">
        <v>2254</v>
      </c>
      <c r="P790" s="147">
        <v>254720659401</v>
      </c>
      <c r="Q790" s="210"/>
    </row>
    <row r="791" spans="1:17" x14ac:dyDescent="0.2">
      <c r="A791" s="155" t="s">
        <v>544</v>
      </c>
      <c r="B791" s="118">
        <v>2012620</v>
      </c>
      <c r="C791" s="125">
        <v>102835</v>
      </c>
      <c r="D791" s="118" t="s">
        <v>1469</v>
      </c>
      <c r="E791" s="118">
        <v>68</v>
      </c>
      <c r="F791" s="118" t="str">
        <f>IF(E791&lt;=20,"0-19",
IF(E791&lt;=50,"20-49",
IF(E791&lt;=80,"50-79","80+")))</f>
        <v>50-79</v>
      </c>
      <c r="G791" s="118" t="s">
        <v>49</v>
      </c>
      <c r="H791" s="118" t="s">
        <v>15</v>
      </c>
      <c r="I791" s="118" t="s">
        <v>622</v>
      </c>
      <c r="J791" s="119" t="s">
        <v>2295</v>
      </c>
      <c r="K791" s="118" t="s">
        <v>1232</v>
      </c>
      <c r="L791" s="118" t="s">
        <v>1232</v>
      </c>
      <c r="M791" s="125" t="s">
        <v>623</v>
      </c>
      <c r="N791" s="160">
        <v>9500</v>
      </c>
      <c r="O791" s="125" t="s">
        <v>832</v>
      </c>
      <c r="P791" s="172"/>
      <c r="Q791" s="210"/>
    </row>
    <row r="792" spans="1:17" x14ac:dyDescent="0.2">
      <c r="A792" s="142" t="s">
        <v>274</v>
      </c>
      <c r="B792" s="119">
        <v>2405040</v>
      </c>
      <c r="C792" s="125">
        <v>31911</v>
      </c>
      <c r="D792" s="119" t="s">
        <v>1904</v>
      </c>
      <c r="E792" s="119">
        <v>64</v>
      </c>
      <c r="F792" s="119" t="str">
        <f>IF(E792&lt;=20,"0-19",
IF(E792&lt;=50,"20-49",
IF(E792&lt;=80,"50-79","80+")))</f>
        <v>50-79</v>
      </c>
      <c r="G792" s="118" t="s">
        <v>126</v>
      </c>
      <c r="H792" s="118" t="s">
        <v>664</v>
      </c>
      <c r="I792" s="119" t="s">
        <v>1905</v>
      </c>
      <c r="J792" s="119" t="s">
        <v>2304</v>
      </c>
      <c r="K792" s="118" t="s">
        <v>1906</v>
      </c>
      <c r="L792" s="118" t="s">
        <v>1906</v>
      </c>
      <c r="M792" s="118" t="s">
        <v>702</v>
      </c>
      <c r="N792" s="129">
        <v>9025</v>
      </c>
      <c r="O792" s="129" t="s">
        <v>2254</v>
      </c>
      <c r="P792" s="146">
        <v>254729953155</v>
      </c>
      <c r="Q792" s="210"/>
    </row>
    <row r="793" spans="1:17" x14ac:dyDescent="0.2">
      <c r="A793" s="156" t="s">
        <v>12</v>
      </c>
      <c r="B793" s="125">
        <v>2001893</v>
      </c>
      <c r="C793" s="125">
        <v>9046</v>
      </c>
      <c r="D793" s="125" t="s">
        <v>625</v>
      </c>
      <c r="E793" s="119">
        <v>69</v>
      </c>
      <c r="F793" s="119" t="str">
        <f>IF(E793&lt;=20,"0-19",
IF(E793&lt;=50,"20-49",
IF(E793&lt;=80,"50-79","80+")))</f>
        <v>50-79</v>
      </c>
      <c r="G793" s="125" t="s">
        <v>126</v>
      </c>
      <c r="H793" s="125" t="s">
        <v>664</v>
      </c>
      <c r="I793" s="125" t="s">
        <v>514</v>
      </c>
      <c r="J793" s="125" t="s">
        <v>2295</v>
      </c>
      <c r="K793" s="119" t="s">
        <v>95</v>
      </c>
      <c r="L793" s="119" t="s">
        <v>95</v>
      </c>
      <c r="M793" s="125" t="s">
        <v>702</v>
      </c>
      <c r="N793" s="165">
        <v>9500</v>
      </c>
      <c r="O793" s="125" t="s">
        <v>18</v>
      </c>
      <c r="P793" s="173"/>
      <c r="Q793" s="210"/>
    </row>
    <row r="794" spans="1:17" x14ac:dyDescent="0.2">
      <c r="A794" s="155" t="s">
        <v>142</v>
      </c>
      <c r="B794" s="122">
        <v>2017509</v>
      </c>
      <c r="C794" s="122">
        <v>19309</v>
      </c>
      <c r="D794" s="122" t="s">
        <v>703</v>
      </c>
      <c r="E794" s="123">
        <v>63</v>
      </c>
      <c r="F794" s="123" t="str">
        <f>IF(E794&lt;=20,"0-19",
IF(E794&lt;=50,"20-49",
IF(E794&lt;=80,"50-79","80+")))</f>
        <v>50-79</v>
      </c>
      <c r="G794" s="122" t="s">
        <v>126</v>
      </c>
      <c r="H794" s="122" t="s">
        <v>664</v>
      </c>
      <c r="I794" s="122" t="s">
        <v>514</v>
      </c>
      <c r="J794" s="122" t="s">
        <v>2295</v>
      </c>
      <c r="K794" s="123" t="s">
        <v>95</v>
      </c>
      <c r="L794" s="123" t="s">
        <v>95</v>
      </c>
      <c r="M794" s="122" t="s">
        <v>702</v>
      </c>
      <c r="N794" s="157">
        <v>8500</v>
      </c>
      <c r="O794" s="122" t="s">
        <v>18</v>
      </c>
      <c r="P794" s="172"/>
      <c r="Q794" s="210"/>
    </row>
    <row r="795" spans="1:17" x14ac:dyDescent="0.2">
      <c r="A795" s="143" t="s">
        <v>1565</v>
      </c>
      <c r="B795" s="121">
        <v>2002228</v>
      </c>
      <c r="C795" s="122">
        <v>31315</v>
      </c>
      <c r="D795" s="121" t="s">
        <v>1920</v>
      </c>
      <c r="E795" s="121">
        <v>72</v>
      </c>
      <c r="F795" s="121" t="str">
        <f>IF(E795&lt;=20,"0-19",
IF(E795&lt;=50,"20-49",
IF(E795&lt;=80,"50-79","80+")))</f>
        <v>50-79</v>
      </c>
      <c r="G795" s="121" t="s">
        <v>126</v>
      </c>
      <c r="H795" s="121" t="s">
        <v>664</v>
      </c>
      <c r="I795" s="121" t="s">
        <v>514</v>
      </c>
      <c r="J795" s="121" t="s">
        <v>2295</v>
      </c>
      <c r="K795" s="121" t="s">
        <v>1906</v>
      </c>
      <c r="L795" s="121" t="s">
        <v>1906</v>
      </c>
      <c r="M795" s="121" t="s">
        <v>702</v>
      </c>
      <c r="N795" s="127">
        <v>10650</v>
      </c>
      <c r="O795" s="127" t="s">
        <v>2254</v>
      </c>
      <c r="P795" s="147">
        <v>254723124386</v>
      </c>
      <c r="Q795" s="210"/>
    </row>
    <row r="796" spans="1:17" ht="31.5" x14ac:dyDescent="0.2">
      <c r="A796" s="143" t="s">
        <v>1180</v>
      </c>
      <c r="B796" s="121">
        <v>2017718</v>
      </c>
      <c r="C796" s="122">
        <v>54090</v>
      </c>
      <c r="D796" s="123" t="s">
        <v>1954</v>
      </c>
      <c r="E796" s="123">
        <v>65</v>
      </c>
      <c r="F796" s="123" t="str">
        <f>IF(E796&lt;=20,"0-19",
IF(E796&lt;=50,"20-49",
IF(E796&lt;=80,"50-79","80+")))</f>
        <v>50-79</v>
      </c>
      <c r="G796" s="123" t="s">
        <v>60</v>
      </c>
      <c r="H796" s="123" t="s">
        <v>22</v>
      </c>
      <c r="I796" s="123" t="s">
        <v>1955</v>
      </c>
      <c r="J796" s="198" t="s">
        <v>2311</v>
      </c>
      <c r="K796" s="123" t="s">
        <v>1956</v>
      </c>
      <c r="L796" s="121" t="s">
        <v>1911</v>
      </c>
      <c r="M796" s="121" t="s">
        <v>1957</v>
      </c>
      <c r="N796" s="127">
        <v>26000</v>
      </c>
      <c r="O796" s="127" t="s">
        <v>2254</v>
      </c>
      <c r="P796" s="147">
        <v>254716105516</v>
      </c>
      <c r="Q796" s="210"/>
    </row>
    <row r="797" spans="1:17" ht="21" x14ac:dyDescent="0.2">
      <c r="A797" s="143" t="s">
        <v>1180</v>
      </c>
      <c r="B797" s="121">
        <v>2001213</v>
      </c>
      <c r="C797" s="122">
        <v>20561</v>
      </c>
      <c r="D797" s="121" t="s">
        <v>2157</v>
      </c>
      <c r="E797" s="121">
        <v>71</v>
      </c>
      <c r="F797" s="121" t="str">
        <f>IF(E797&lt;=20,"0-19",
IF(E797&lt;=50,"20-49",
IF(E797&lt;=80,"50-79","80+")))</f>
        <v>50-79</v>
      </c>
      <c r="G797" s="121" t="s">
        <v>60</v>
      </c>
      <c r="H797" s="121" t="s">
        <v>22</v>
      </c>
      <c r="I797" s="121" t="s">
        <v>2158</v>
      </c>
      <c r="J797" s="198" t="s">
        <v>2311</v>
      </c>
      <c r="K797" s="121" t="s">
        <v>2159</v>
      </c>
      <c r="L797" s="121" t="s">
        <v>1911</v>
      </c>
      <c r="M797" s="121" t="s">
        <v>1957</v>
      </c>
      <c r="N797" s="127">
        <v>170516</v>
      </c>
      <c r="O797" s="127" t="s">
        <v>2254</v>
      </c>
      <c r="P797" s="147">
        <v>254720744613</v>
      </c>
      <c r="Q797" s="210"/>
    </row>
    <row r="798" spans="1:17" ht="21" x14ac:dyDescent="0.2">
      <c r="A798" s="145" t="s">
        <v>704</v>
      </c>
      <c r="B798" s="125">
        <v>2020130</v>
      </c>
      <c r="C798" s="125">
        <v>102621</v>
      </c>
      <c r="D798" s="125" t="s">
        <v>705</v>
      </c>
      <c r="E798" s="119">
        <v>58</v>
      </c>
      <c r="F798" s="119" t="str">
        <f>IF(E798&lt;=20,"0-19",
IF(E798&lt;=50,"20-49",
IF(E798&lt;=80,"50-79","80+")))</f>
        <v>50-79</v>
      </c>
      <c r="G798" s="125" t="s">
        <v>14</v>
      </c>
      <c r="H798" s="125" t="s">
        <v>706</v>
      </c>
      <c r="I798" s="125" t="s">
        <v>707</v>
      </c>
      <c r="J798" s="198" t="s">
        <v>2311</v>
      </c>
      <c r="K798" s="119" t="s">
        <v>708</v>
      </c>
      <c r="L798" s="119" t="s">
        <v>95</v>
      </c>
      <c r="M798" s="125" t="s">
        <v>709</v>
      </c>
      <c r="N798" s="165">
        <v>164586</v>
      </c>
      <c r="O798" s="125" t="s">
        <v>18</v>
      </c>
      <c r="P798" s="173"/>
      <c r="Q798" s="210"/>
    </row>
    <row r="799" spans="1:17" x14ac:dyDescent="0.2">
      <c r="A799" s="155" t="s">
        <v>1180</v>
      </c>
      <c r="B799" s="125">
        <v>2008856</v>
      </c>
      <c r="C799" s="125">
        <v>83639</v>
      </c>
      <c r="D799" s="125" t="s">
        <v>1181</v>
      </c>
      <c r="E799" s="125">
        <v>36</v>
      </c>
      <c r="F799" s="125" t="str">
        <f>IF(E799&lt;=20,"0-19",
IF(E799&lt;=50,"20-49",
IF(E799&lt;=80,"50-79","80+")))</f>
        <v>20-49</v>
      </c>
      <c r="G799" s="125" t="s">
        <v>49</v>
      </c>
      <c r="H799" s="125" t="s">
        <v>15</v>
      </c>
      <c r="I799" s="119" t="s">
        <v>1182</v>
      </c>
      <c r="J799" s="198" t="s">
        <v>2311</v>
      </c>
      <c r="K799" s="119" t="s">
        <v>855</v>
      </c>
      <c r="L799" s="125" t="s">
        <v>855</v>
      </c>
      <c r="M799" s="125" t="s">
        <v>1183</v>
      </c>
      <c r="N799" s="162">
        <v>7000</v>
      </c>
      <c r="O799" s="125" t="s">
        <v>832</v>
      </c>
      <c r="P799" s="173"/>
      <c r="Q799" s="210"/>
    </row>
    <row r="800" spans="1:17" x14ac:dyDescent="0.2">
      <c r="A800" s="142" t="s">
        <v>1690</v>
      </c>
      <c r="B800" s="125">
        <v>2014982</v>
      </c>
      <c r="C800" s="125">
        <v>13660</v>
      </c>
      <c r="D800" s="125" t="s">
        <v>2144</v>
      </c>
      <c r="E800" s="125">
        <v>66</v>
      </c>
      <c r="F800" s="125" t="str">
        <f>IF(E800&lt;=20,"0-19",
IF(E800&lt;=50,"20-49",
IF(E800&lt;=80,"50-79","80+")))</f>
        <v>50-79</v>
      </c>
      <c r="G800" s="125" t="s">
        <v>1780</v>
      </c>
      <c r="H800" s="125" t="s">
        <v>22</v>
      </c>
      <c r="I800" s="125" t="s">
        <v>2145</v>
      </c>
      <c r="J800" s="125" t="s">
        <v>2288</v>
      </c>
      <c r="K800" s="119" t="s">
        <v>1916</v>
      </c>
      <c r="L800" s="125" t="s">
        <v>1916</v>
      </c>
      <c r="M800" s="125" t="s">
        <v>714</v>
      </c>
      <c r="N800" s="126">
        <v>160850</v>
      </c>
      <c r="O800" s="126" t="s">
        <v>2254</v>
      </c>
      <c r="P800" s="146">
        <v>721156854</v>
      </c>
      <c r="Q800" s="210"/>
    </row>
    <row r="801" spans="1:17" ht="31.5" x14ac:dyDescent="0.2">
      <c r="A801" s="155" t="s">
        <v>212</v>
      </c>
      <c r="B801" s="125">
        <v>2504092</v>
      </c>
      <c r="C801" s="125">
        <v>62534</v>
      </c>
      <c r="D801" s="125" t="s">
        <v>1209</v>
      </c>
      <c r="E801" s="125">
        <v>58</v>
      </c>
      <c r="F801" s="125" t="str">
        <f>IF(E801&lt;=20,"0-19",
IF(E801&lt;=50,"20-49",
IF(E801&lt;=80,"50-79","80+")))</f>
        <v>50-79</v>
      </c>
      <c r="G801" s="125" t="s">
        <v>60</v>
      </c>
      <c r="H801" s="125" t="s">
        <v>22</v>
      </c>
      <c r="I801" s="119" t="s">
        <v>1210</v>
      </c>
      <c r="J801" s="119" t="s">
        <v>2288</v>
      </c>
      <c r="K801" s="119" t="s">
        <v>1211</v>
      </c>
      <c r="L801" s="125" t="s">
        <v>831</v>
      </c>
      <c r="M801" s="125" t="s">
        <v>714</v>
      </c>
      <c r="N801" s="162">
        <v>40072</v>
      </c>
      <c r="O801" s="125" t="s">
        <v>832</v>
      </c>
      <c r="P801" s="172"/>
      <c r="Q801" s="210"/>
    </row>
    <row r="802" spans="1:17" x14ac:dyDescent="0.2">
      <c r="A802" s="155" t="s">
        <v>53</v>
      </c>
      <c r="B802" s="196">
        <v>2505061</v>
      </c>
      <c r="C802" s="196">
        <v>59211</v>
      </c>
      <c r="D802" s="196" t="s">
        <v>755</v>
      </c>
      <c r="E802" s="196">
        <v>60</v>
      </c>
      <c r="F802" s="196" t="str">
        <f>IF(E802&lt;=20,"0-19",
IF(E802&lt;=50,"20-49",
IF(E802&lt;=80,"50-79","80+")))</f>
        <v>50-79</v>
      </c>
      <c r="G802" s="196" t="s">
        <v>126</v>
      </c>
      <c r="H802" s="196" t="s">
        <v>664</v>
      </c>
      <c r="I802" s="196" t="s">
        <v>756</v>
      </c>
      <c r="J802" s="125" t="s">
        <v>2270</v>
      </c>
      <c r="K802" s="196" t="s">
        <v>121</v>
      </c>
      <c r="L802" s="196" t="s">
        <v>121</v>
      </c>
      <c r="M802" s="198" t="s">
        <v>714</v>
      </c>
      <c r="N802" s="201">
        <v>105000</v>
      </c>
      <c r="O802" s="125" t="s">
        <v>18</v>
      </c>
      <c r="P802" s="173"/>
      <c r="Q802" s="210"/>
    </row>
    <row r="803" spans="1:17" x14ac:dyDescent="0.2">
      <c r="A803" s="143" t="s">
        <v>53</v>
      </c>
      <c r="B803" s="123">
        <v>2007795</v>
      </c>
      <c r="C803" s="122">
        <v>15404</v>
      </c>
      <c r="D803" s="123" t="s">
        <v>2215</v>
      </c>
      <c r="E803" s="123">
        <v>68</v>
      </c>
      <c r="F803" s="123" t="str">
        <f>IF(E803&lt;=20,"0-19",
IF(E803&lt;=50,"20-49",
IF(E803&lt;=80,"50-79","80+")))</f>
        <v>50-79</v>
      </c>
      <c r="G803" s="121" t="s">
        <v>60</v>
      </c>
      <c r="H803" s="123" t="s">
        <v>15</v>
      </c>
      <c r="I803" s="123" t="s">
        <v>2216</v>
      </c>
      <c r="J803" s="125" t="s">
        <v>2270</v>
      </c>
      <c r="K803" s="121" t="s">
        <v>1898</v>
      </c>
      <c r="L803" s="121" t="s">
        <v>1898</v>
      </c>
      <c r="M803" s="123" t="s">
        <v>714</v>
      </c>
      <c r="N803" s="128">
        <v>364587.62</v>
      </c>
      <c r="O803" s="128" t="s">
        <v>2254</v>
      </c>
      <c r="P803" s="147">
        <v>254720766049</v>
      </c>
      <c r="Q803" s="210"/>
    </row>
    <row r="804" spans="1:17" ht="21" x14ac:dyDescent="0.2">
      <c r="A804" s="143" t="s">
        <v>53</v>
      </c>
      <c r="B804" s="123">
        <v>2007795</v>
      </c>
      <c r="C804" s="122">
        <v>15404</v>
      </c>
      <c r="D804" s="123" t="s">
        <v>1840</v>
      </c>
      <c r="E804" s="123">
        <v>63</v>
      </c>
      <c r="F804" s="123" t="str">
        <f>IF(E804&lt;=20,"0-19",
IF(E804&lt;=50,"20-49",
IF(E804&lt;=80,"50-79","80+")))</f>
        <v>50-79</v>
      </c>
      <c r="G804" s="121" t="s">
        <v>14</v>
      </c>
      <c r="H804" s="121" t="s">
        <v>706</v>
      </c>
      <c r="I804" s="123" t="s">
        <v>1841</v>
      </c>
      <c r="J804" s="125" t="s">
        <v>2270</v>
      </c>
      <c r="K804" s="123" t="s">
        <v>1842</v>
      </c>
      <c r="L804" s="123" t="s">
        <v>1542</v>
      </c>
      <c r="M804" s="122" t="s">
        <v>714</v>
      </c>
      <c r="N804" s="128">
        <v>371955</v>
      </c>
      <c r="O804" s="128" t="s">
        <v>2254</v>
      </c>
      <c r="P804" s="147">
        <v>254721459254</v>
      </c>
      <c r="Q804" s="210"/>
    </row>
    <row r="805" spans="1:17" x14ac:dyDescent="0.2">
      <c r="A805" s="155" t="s">
        <v>847</v>
      </c>
      <c r="B805" s="125">
        <v>2022237</v>
      </c>
      <c r="C805" s="125">
        <v>56585</v>
      </c>
      <c r="D805" s="125" t="s">
        <v>1205</v>
      </c>
      <c r="E805" s="125">
        <v>62</v>
      </c>
      <c r="F805" s="125" t="str">
        <f>IF(E805&lt;=20,"0-19",
IF(E805&lt;=50,"20-49",
IF(E805&lt;=80,"50-79","80+")))</f>
        <v>50-79</v>
      </c>
      <c r="G805" s="125" t="s">
        <v>60</v>
      </c>
      <c r="H805" s="125" t="s">
        <v>22</v>
      </c>
      <c r="I805" s="119" t="s">
        <v>1206</v>
      </c>
      <c r="J805" s="125" t="s">
        <v>2270</v>
      </c>
      <c r="K805" s="119" t="s">
        <v>901</v>
      </c>
      <c r="L805" s="125" t="s">
        <v>901</v>
      </c>
      <c r="M805" s="125" t="s">
        <v>714</v>
      </c>
      <c r="N805" s="162">
        <v>96443</v>
      </c>
      <c r="O805" s="125" t="s">
        <v>832</v>
      </c>
      <c r="P805" s="172"/>
      <c r="Q805" s="210"/>
    </row>
    <row r="806" spans="1:17" x14ac:dyDescent="0.2">
      <c r="A806" s="155" t="s">
        <v>373</v>
      </c>
      <c r="B806" s="125">
        <v>2012118</v>
      </c>
      <c r="C806" s="125">
        <v>18259</v>
      </c>
      <c r="D806" s="125" t="s">
        <v>619</v>
      </c>
      <c r="E806" s="125">
        <v>63</v>
      </c>
      <c r="F806" s="125" t="str">
        <f>IF(E806&lt;=20,"0-19",
IF(E806&lt;=50,"20-49",
IF(E806&lt;=80,"50-79","80+")))</f>
        <v>50-79</v>
      </c>
      <c r="G806" s="125" t="s">
        <v>14</v>
      </c>
      <c r="H806" s="125" t="s">
        <v>22</v>
      </c>
      <c r="I806" s="119" t="s">
        <v>1193</v>
      </c>
      <c r="J806" s="125" t="s">
        <v>2270</v>
      </c>
      <c r="K806" s="119" t="s">
        <v>831</v>
      </c>
      <c r="L806" s="125" t="s">
        <v>831</v>
      </c>
      <c r="M806" s="125" t="s">
        <v>714</v>
      </c>
      <c r="N806" s="162">
        <v>12000</v>
      </c>
      <c r="O806" s="125" t="s">
        <v>832</v>
      </c>
      <c r="P806" s="173"/>
      <c r="Q806" s="210"/>
    </row>
    <row r="807" spans="1:17" x14ac:dyDescent="0.2">
      <c r="A807" s="142" t="s">
        <v>72</v>
      </c>
      <c r="B807" s="196">
        <v>2001028</v>
      </c>
      <c r="C807" s="196">
        <v>18492</v>
      </c>
      <c r="D807" s="196" t="s">
        <v>765</v>
      </c>
      <c r="E807" s="196">
        <v>64</v>
      </c>
      <c r="F807" s="196" t="str">
        <f>IF(E807&lt;=20,"0-19",
IF(E807&lt;=50,"20-49",
IF(E807&lt;=80,"50-79","80+")))</f>
        <v>50-79</v>
      </c>
      <c r="G807" s="196" t="s">
        <v>126</v>
      </c>
      <c r="H807" s="196" t="s">
        <v>664</v>
      </c>
      <c r="I807" s="196" t="s">
        <v>766</v>
      </c>
      <c r="J807" s="125" t="s">
        <v>2270</v>
      </c>
      <c r="K807" s="196" t="s">
        <v>121</v>
      </c>
      <c r="L807" s="196" t="s">
        <v>121</v>
      </c>
      <c r="M807" s="198" t="s">
        <v>714</v>
      </c>
      <c r="N807" s="201">
        <v>235500</v>
      </c>
      <c r="O807" s="125" t="s">
        <v>18</v>
      </c>
      <c r="P807" s="173"/>
      <c r="Q807" s="210"/>
    </row>
    <row r="808" spans="1:17" x14ac:dyDescent="0.2">
      <c r="A808" s="142" t="s">
        <v>856</v>
      </c>
      <c r="B808" s="125">
        <v>2004095</v>
      </c>
      <c r="C808" s="125">
        <v>102642</v>
      </c>
      <c r="D808" s="125" t="s">
        <v>740</v>
      </c>
      <c r="E808" s="125">
        <v>65</v>
      </c>
      <c r="F808" s="125" t="str">
        <f>IF(E808&lt;=20,"0-19",
IF(E808&lt;=50,"20-49",
IF(E808&lt;=80,"50-79","80+")))</f>
        <v>50-79</v>
      </c>
      <c r="G808" s="125" t="s">
        <v>49</v>
      </c>
      <c r="H808" s="125" t="s">
        <v>15</v>
      </c>
      <c r="I808" s="119" t="s">
        <v>1588</v>
      </c>
      <c r="J808" s="119" t="s">
        <v>2270</v>
      </c>
      <c r="K808" s="125" t="s">
        <v>1572</v>
      </c>
      <c r="L808" s="125" t="s">
        <v>1572</v>
      </c>
      <c r="M808" s="125" t="s">
        <v>714</v>
      </c>
      <c r="N808" s="126">
        <v>30366</v>
      </c>
      <c r="O808" s="126" t="s">
        <v>2254</v>
      </c>
      <c r="P808" s="146">
        <v>254718353180</v>
      </c>
      <c r="Q808" s="210"/>
    </row>
    <row r="809" spans="1:17" x14ac:dyDescent="0.2">
      <c r="A809" s="143" t="s">
        <v>856</v>
      </c>
      <c r="B809" s="122">
        <v>2004095</v>
      </c>
      <c r="C809" s="122">
        <v>102642</v>
      </c>
      <c r="D809" s="122" t="s">
        <v>740</v>
      </c>
      <c r="E809" s="122">
        <v>65</v>
      </c>
      <c r="F809" s="122" t="str">
        <f>IF(E809&lt;=20,"0-19",
IF(E809&lt;=50,"20-49",
IF(E809&lt;=80,"50-79","80+")))</f>
        <v>50-79</v>
      </c>
      <c r="G809" s="122" t="s">
        <v>49</v>
      </c>
      <c r="H809" s="122" t="s">
        <v>15</v>
      </c>
      <c r="I809" s="123" t="s">
        <v>1588</v>
      </c>
      <c r="J809" s="123" t="s">
        <v>2270</v>
      </c>
      <c r="K809" s="122" t="s">
        <v>1589</v>
      </c>
      <c r="L809" s="122" t="s">
        <v>1589</v>
      </c>
      <c r="M809" s="122" t="s">
        <v>714</v>
      </c>
      <c r="N809" s="124">
        <v>23685</v>
      </c>
      <c r="O809" s="124" t="s">
        <v>2254</v>
      </c>
      <c r="P809" s="147">
        <v>254728066319</v>
      </c>
      <c r="Q809" s="210"/>
    </row>
    <row r="810" spans="1:17" x14ac:dyDescent="0.2">
      <c r="A810" s="142" t="s">
        <v>856</v>
      </c>
      <c r="B810" s="125">
        <v>2004095</v>
      </c>
      <c r="C810" s="125">
        <v>102642</v>
      </c>
      <c r="D810" s="125" t="s">
        <v>740</v>
      </c>
      <c r="E810" s="125">
        <v>65</v>
      </c>
      <c r="F810" s="125" t="str">
        <f>IF(E810&lt;=20,"0-19",
IF(E810&lt;=50,"20-49",
IF(E810&lt;=80,"50-79","80+")))</f>
        <v>50-79</v>
      </c>
      <c r="G810" s="125" t="s">
        <v>49</v>
      </c>
      <c r="H810" s="125" t="s">
        <v>15</v>
      </c>
      <c r="I810" s="119" t="s">
        <v>1588</v>
      </c>
      <c r="J810" s="119" t="s">
        <v>2270</v>
      </c>
      <c r="K810" s="125" t="s">
        <v>1543</v>
      </c>
      <c r="L810" s="125" t="s">
        <v>1543</v>
      </c>
      <c r="M810" s="125" t="s">
        <v>714</v>
      </c>
      <c r="N810" s="126">
        <v>24062.44</v>
      </c>
      <c r="O810" s="126" t="s">
        <v>2254</v>
      </c>
      <c r="P810" s="146">
        <v>254707224884</v>
      </c>
      <c r="Q810" s="210"/>
    </row>
    <row r="811" spans="1:17" x14ac:dyDescent="0.2">
      <c r="A811" s="143" t="s">
        <v>856</v>
      </c>
      <c r="B811" s="122">
        <v>2004095</v>
      </c>
      <c r="C811" s="122">
        <v>102642</v>
      </c>
      <c r="D811" s="122" t="s">
        <v>740</v>
      </c>
      <c r="E811" s="122">
        <v>65</v>
      </c>
      <c r="F811" s="122" t="str">
        <f>IF(E811&lt;=20,"0-19",
IF(E811&lt;=50,"20-49",
IF(E811&lt;=80,"50-79","80+")))</f>
        <v>50-79</v>
      </c>
      <c r="G811" s="122" t="s">
        <v>49</v>
      </c>
      <c r="H811" s="122" t="s">
        <v>15</v>
      </c>
      <c r="I811" s="122" t="s">
        <v>1588</v>
      </c>
      <c r="J811" s="122" t="s">
        <v>2270</v>
      </c>
      <c r="K811" s="123" t="s">
        <v>1908</v>
      </c>
      <c r="L811" s="122" t="s">
        <v>1908</v>
      </c>
      <c r="M811" s="122" t="s">
        <v>714</v>
      </c>
      <c r="N811" s="124">
        <v>17285.95</v>
      </c>
      <c r="O811" s="124" t="s">
        <v>2254</v>
      </c>
      <c r="P811" s="147">
        <v>254726918577</v>
      </c>
      <c r="Q811" s="210"/>
    </row>
    <row r="812" spans="1:17" x14ac:dyDescent="0.2">
      <c r="A812" s="155" t="s">
        <v>47</v>
      </c>
      <c r="B812" s="125">
        <v>2004095</v>
      </c>
      <c r="C812" s="125">
        <v>102642</v>
      </c>
      <c r="D812" s="125" t="s">
        <v>740</v>
      </c>
      <c r="E812" s="119">
        <v>65</v>
      </c>
      <c r="F812" s="119" t="str">
        <f>IF(E812&lt;=20,"0-19",
IF(E812&lt;=50,"20-49",
IF(E812&lt;=80,"50-79","80+")))</f>
        <v>50-79</v>
      </c>
      <c r="G812" s="125" t="s">
        <v>741</v>
      </c>
      <c r="H812" s="125" t="s">
        <v>22</v>
      </c>
      <c r="I812" s="125" t="s">
        <v>742</v>
      </c>
      <c r="J812" s="125" t="s">
        <v>2270</v>
      </c>
      <c r="K812" s="119" t="s">
        <v>193</v>
      </c>
      <c r="L812" s="119" t="s">
        <v>193</v>
      </c>
      <c r="M812" s="125" t="s">
        <v>714</v>
      </c>
      <c r="N812" s="165">
        <v>16160.17</v>
      </c>
      <c r="O812" s="125" t="s">
        <v>18</v>
      </c>
      <c r="P812" s="173"/>
      <c r="Q812" s="210"/>
    </row>
    <row r="813" spans="1:17" ht="21" x14ac:dyDescent="0.2">
      <c r="A813" s="143" t="s">
        <v>726</v>
      </c>
      <c r="B813" s="122">
        <v>2001033</v>
      </c>
      <c r="C813" s="122">
        <v>17150</v>
      </c>
      <c r="D813" s="122" t="s">
        <v>727</v>
      </c>
      <c r="E813" s="122">
        <v>86</v>
      </c>
      <c r="F813" s="122" t="str">
        <f>IF(E813&lt;=20,"0-19",
IF(E813&lt;=50,"20-49",
IF(E813&lt;=80,"50-79","80+")))</f>
        <v>80+</v>
      </c>
      <c r="G813" s="122" t="s">
        <v>60</v>
      </c>
      <c r="H813" s="122" t="s">
        <v>22</v>
      </c>
      <c r="I813" s="122" t="s">
        <v>2049</v>
      </c>
      <c r="J813" s="122" t="s">
        <v>2270</v>
      </c>
      <c r="K813" s="123" t="s">
        <v>2050</v>
      </c>
      <c r="L813" s="122" t="s">
        <v>1922</v>
      </c>
      <c r="M813" s="122" t="s">
        <v>714</v>
      </c>
      <c r="N813" s="124">
        <v>65000</v>
      </c>
      <c r="O813" s="124" t="s">
        <v>2254</v>
      </c>
      <c r="P813" s="147">
        <v>254743419124</v>
      </c>
      <c r="Q813" s="210"/>
    </row>
    <row r="814" spans="1:17" x14ac:dyDescent="0.2">
      <c r="A814" s="155" t="s">
        <v>856</v>
      </c>
      <c r="B814" s="118">
        <v>2004095</v>
      </c>
      <c r="C814" s="125">
        <v>102642</v>
      </c>
      <c r="D814" s="118" t="s">
        <v>1189</v>
      </c>
      <c r="E814" s="118">
        <v>61</v>
      </c>
      <c r="F814" s="118" t="str">
        <f>IF(E814&lt;=20,"0-19",
IF(E814&lt;=50,"20-49",
IF(E814&lt;=80,"50-79","80+")))</f>
        <v>50-79</v>
      </c>
      <c r="G814" s="118" t="s">
        <v>60</v>
      </c>
      <c r="H814" s="118" t="s">
        <v>22</v>
      </c>
      <c r="I814" s="118" t="s">
        <v>728</v>
      </c>
      <c r="J814" s="118" t="s">
        <v>2270</v>
      </c>
      <c r="K814" s="118" t="s">
        <v>835</v>
      </c>
      <c r="L814" s="118" t="s">
        <v>835</v>
      </c>
      <c r="M814" s="125" t="s">
        <v>714</v>
      </c>
      <c r="N814" s="160">
        <v>27452</v>
      </c>
      <c r="O814" s="125" t="s">
        <v>832</v>
      </c>
      <c r="P814" s="172"/>
      <c r="Q814" s="210"/>
    </row>
    <row r="815" spans="1:17" x14ac:dyDescent="0.2">
      <c r="A815" s="155" t="s">
        <v>856</v>
      </c>
      <c r="B815" s="125">
        <v>2004095</v>
      </c>
      <c r="C815" s="125">
        <v>102642</v>
      </c>
      <c r="D815" s="125" t="s">
        <v>740</v>
      </c>
      <c r="E815" s="125">
        <v>65</v>
      </c>
      <c r="F815" s="125" t="str">
        <f>IF(E815&lt;=20,"0-19",
IF(E815&lt;=50,"20-49",
IF(E815&lt;=80,"50-79","80+")))</f>
        <v>50-79</v>
      </c>
      <c r="G815" s="125" t="s">
        <v>60</v>
      </c>
      <c r="H815" s="125" t="s">
        <v>22</v>
      </c>
      <c r="I815" s="119" t="s">
        <v>728</v>
      </c>
      <c r="J815" s="119" t="s">
        <v>2270</v>
      </c>
      <c r="K815" s="119" t="s">
        <v>834</v>
      </c>
      <c r="L815" s="125" t="s">
        <v>834</v>
      </c>
      <c r="M815" s="125" t="s">
        <v>714</v>
      </c>
      <c r="N815" s="162">
        <v>16783.830000000002</v>
      </c>
      <c r="O815" s="125" t="s">
        <v>832</v>
      </c>
      <c r="P815" s="173"/>
      <c r="Q815" s="210"/>
    </row>
    <row r="816" spans="1:17" x14ac:dyDescent="0.2">
      <c r="A816" s="155" t="s">
        <v>726</v>
      </c>
      <c r="B816" s="197">
        <v>2001033</v>
      </c>
      <c r="C816" s="197">
        <v>17150</v>
      </c>
      <c r="D816" s="198" t="s">
        <v>727</v>
      </c>
      <c r="E816" s="197">
        <v>85</v>
      </c>
      <c r="F816" s="197" t="str">
        <f>IF(E816&lt;=20,"0-19",
IF(E816&lt;=50,"20-49",
IF(E816&lt;=80,"50-79","80+")))</f>
        <v>80+</v>
      </c>
      <c r="G816" s="197" t="s">
        <v>60</v>
      </c>
      <c r="H816" s="197" t="s">
        <v>22</v>
      </c>
      <c r="I816" s="198" t="s">
        <v>728</v>
      </c>
      <c r="J816" s="198" t="s">
        <v>2270</v>
      </c>
      <c r="K816" s="198" t="s">
        <v>36</v>
      </c>
      <c r="L816" s="197" t="s">
        <v>36</v>
      </c>
      <c r="M816" s="198" t="s">
        <v>714</v>
      </c>
      <c r="N816" s="202">
        <v>319900</v>
      </c>
      <c r="O816" s="122" t="s">
        <v>18</v>
      </c>
      <c r="P816" s="172"/>
      <c r="Q816" s="210"/>
    </row>
    <row r="817" spans="1:17" x14ac:dyDescent="0.2">
      <c r="A817" s="143" t="s">
        <v>856</v>
      </c>
      <c r="B817" s="122">
        <v>2001095</v>
      </c>
      <c r="C817" s="122">
        <v>102642</v>
      </c>
      <c r="D817" s="122" t="s">
        <v>740</v>
      </c>
      <c r="E817" s="122">
        <v>65</v>
      </c>
      <c r="F817" s="122" t="str">
        <f>IF(E817&lt;=20,"0-19",
IF(E817&lt;=50,"20-49",
IF(E817&lt;=80,"50-79","80+")))</f>
        <v>50-79</v>
      </c>
      <c r="G817" s="122" t="s">
        <v>60</v>
      </c>
      <c r="H817" s="122" t="s">
        <v>22</v>
      </c>
      <c r="I817" s="123" t="s">
        <v>728</v>
      </c>
      <c r="J817" s="123" t="s">
        <v>2270</v>
      </c>
      <c r="K817" s="122" t="s">
        <v>1567</v>
      </c>
      <c r="L817" s="122" t="s">
        <v>1567</v>
      </c>
      <c r="M817" s="122" t="s">
        <v>714</v>
      </c>
      <c r="N817" s="124">
        <v>36256.9</v>
      </c>
      <c r="O817" s="124" t="s">
        <v>2254</v>
      </c>
      <c r="P817" s="147">
        <v>254722928967</v>
      </c>
      <c r="Q817" s="210"/>
    </row>
    <row r="818" spans="1:17" x14ac:dyDescent="0.2">
      <c r="A818" s="143" t="s">
        <v>856</v>
      </c>
      <c r="B818" s="122">
        <v>2004095</v>
      </c>
      <c r="C818" s="122">
        <v>102642</v>
      </c>
      <c r="D818" s="122" t="s">
        <v>740</v>
      </c>
      <c r="E818" s="122">
        <v>65</v>
      </c>
      <c r="F818" s="122" t="str">
        <f>IF(E818&lt;=20,"0-19",
IF(E818&lt;=50,"20-49",
IF(E818&lt;=80,"50-79","80+")))</f>
        <v>50-79</v>
      </c>
      <c r="G818" s="122" t="s">
        <v>60</v>
      </c>
      <c r="H818" s="122" t="s">
        <v>22</v>
      </c>
      <c r="I818" s="123" t="s">
        <v>728</v>
      </c>
      <c r="J818" s="123" t="s">
        <v>2270</v>
      </c>
      <c r="K818" s="122" t="s">
        <v>1551</v>
      </c>
      <c r="L818" s="122" t="s">
        <v>1551</v>
      </c>
      <c r="M818" s="122" t="s">
        <v>714</v>
      </c>
      <c r="N818" s="124">
        <v>27143.05</v>
      </c>
      <c r="O818" s="124" t="s">
        <v>2254</v>
      </c>
      <c r="P818" s="147">
        <v>254721446037</v>
      </c>
      <c r="Q818" s="210"/>
    </row>
    <row r="819" spans="1:17" x14ac:dyDescent="0.2">
      <c r="A819" s="142" t="s">
        <v>856</v>
      </c>
      <c r="B819" s="118">
        <v>2004095</v>
      </c>
      <c r="C819" s="125">
        <v>102042</v>
      </c>
      <c r="D819" s="119" t="s">
        <v>1953</v>
      </c>
      <c r="E819" s="119">
        <v>65</v>
      </c>
      <c r="F819" s="119" t="str">
        <f>IF(E819&lt;=20,"0-19",
IF(E819&lt;=50,"20-49",
IF(E819&lt;=80,"50-79","80+")))</f>
        <v>50-79</v>
      </c>
      <c r="G819" s="119" t="s">
        <v>60</v>
      </c>
      <c r="H819" s="119" t="s">
        <v>22</v>
      </c>
      <c r="I819" s="119" t="s">
        <v>728</v>
      </c>
      <c r="J819" s="119" t="s">
        <v>2270</v>
      </c>
      <c r="K819" s="119" t="s">
        <v>1911</v>
      </c>
      <c r="L819" s="119" t="s">
        <v>1911</v>
      </c>
      <c r="M819" s="125" t="s">
        <v>714</v>
      </c>
      <c r="N819" s="120">
        <v>25891.32</v>
      </c>
      <c r="O819" s="120" t="s">
        <v>2254</v>
      </c>
      <c r="P819" s="146">
        <v>254722645149</v>
      </c>
      <c r="Q819" s="210"/>
    </row>
    <row r="820" spans="1:17" x14ac:dyDescent="0.2">
      <c r="A820" s="155" t="s">
        <v>47</v>
      </c>
      <c r="B820" s="122">
        <v>2004095</v>
      </c>
      <c r="C820" s="122">
        <v>102642</v>
      </c>
      <c r="D820" s="122" t="s">
        <v>738</v>
      </c>
      <c r="E820" s="123">
        <v>65</v>
      </c>
      <c r="F820" s="123" t="str">
        <f>IF(E820&lt;=20,"0-19",
IF(E820&lt;=50,"20-49",
IF(E820&lt;=80,"50-79","80+")))</f>
        <v>50-79</v>
      </c>
      <c r="G820" s="122" t="s">
        <v>60</v>
      </c>
      <c r="H820" s="122" t="s">
        <v>22</v>
      </c>
      <c r="I820" s="122" t="s">
        <v>728</v>
      </c>
      <c r="J820" s="122" t="s">
        <v>2270</v>
      </c>
      <c r="K820" s="123" t="s">
        <v>31</v>
      </c>
      <c r="L820" s="123" t="s">
        <v>739</v>
      </c>
      <c r="M820" s="122" t="s">
        <v>714</v>
      </c>
      <c r="N820" s="157">
        <v>27194.5</v>
      </c>
      <c r="O820" s="122" t="s">
        <v>18</v>
      </c>
      <c r="P820" s="172"/>
      <c r="Q820" s="210"/>
    </row>
    <row r="821" spans="1:17" x14ac:dyDescent="0.2">
      <c r="A821" s="155" t="s">
        <v>47</v>
      </c>
      <c r="B821" s="125">
        <v>2004095</v>
      </c>
      <c r="C821" s="125">
        <v>102642</v>
      </c>
      <c r="D821" s="125" t="s">
        <v>740</v>
      </c>
      <c r="E821" s="119">
        <v>65</v>
      </c>
      <c r="F821" s="119" t="str">
        <f>IF(E821&lt;=20,"0-19",
IF(E821&lt;=50,"20-49",
IF(E821&lt;=80,"50-79","80+")))</f>
        <v>50-79</v>
      </c>
      <c r="G821" s="125" t="s">
        <v>60</v>
      </c>
      <c r="H821" s="125" t="s">
        <v>22</v>
      </c>
      <c r="I821" s="125" t="s">
        <v>728</v>
      </c>
      <c r="J821" s="125" t="s">
        <v>2270</v>
      </c>
      <c r="K821" s="119" t="s">
        <v>108</v>
      </c>
      <c r="L821" s="119" t="s">
        <v>108</v>
      </c>
      <c r="M821" s="125" t="s">
        <v>714</v>
      </c>
      <c r="N821" s="165">
        <v>22091.11</v>
      </c>
      <c r="O821" s="125" t="s">
        <v>18</v>
      </c>
      <c r="P821" s="173"/>
      <c r="Q821" s="210"/>
    </row>
    <row r="822" spans="1:17" x14ac:dyDescent="0.2">
      <c r="A822" s="155" t="s">
        <v>47</v>
      </c>
      <c r="B822" s="122">
        <v>2004095</v>
      </c>
      <c r="C822" s="122">
        <v>102642</v>
      </c>
      <c r="D822" s="122" t="s">
        <v>740</v>
      </c>
      <c r="E822" s="123">
        <v>65</v>
      </c>
      <c r="F822" s="123" t="str">
        <f>IF(E822&lt;=20,"0-19",
IF(E822&lt;=50,"20-49",
IF(E822&lt;=80,"50-79","80+")))</f>
        <v>50-79</v>
      </c>
      <c r="G822" s="122" t="s">
        <v>60</v>
      </c>
      <c r="H822" s="122" t="s">
        <v>22</v>
      </c>
      <c r="I822" s="122" t="s">
        <v>728</v>
      </c>
      <c r="J822" s="122" t="s">
        <v>2270</v>
      </c>
      <c r="K822" s="123" t="s">
        <v>85</v>
      </c>
      <c r="L822" s="123" t="s">
        <v>85</v>
      </c>
      <c r="M822" s="122" t="s">
        <v>714</v>
      </c>
      <c r="N822" s="157">
        <v>23435.67</v>
      </c>
      <c r="O822" s="122" t="s">
        <v>18</v>
      </c>
      <c r="P822" s="172"/>
      <c r="Q822" s="210"/>
    </row>
    <row r="823" spans="1:17" x14ac:dyDescent="0.2">
      <c r="A823" s="177" t="s">
        <v>618</v>
      </c>
      <c r="B823" s="178">
        <v>2004095</v>
      </c>
      <c r="C823" s="178">
        <v>102642</v>
      </c>
      <c r="D823" s="178" t="s">
        <v>740</v>
      </c>
      <c r="E823" s="178">
        <v>65</v>
      </c>
      <c r="F823" s="178" t="str">
        <f>IF(E823&lt;=20,"0-19",
IF(E823&lt;=50,"20-49",
IF(E823&lt;=80,"50-79","80+")))</f>
        <v>50-79</v>
      </c>
      <c r="G823" s="179" t="s">
        <v>60</v>
      </c>
      <c r="H823" s="179" t="s">
        <v>22</v>
      </c>
      <c r="I823" s="179" t="s">
        <v>728</v>
      </c>
      <c r="J823" s="179" t="s">
        <v>2270</v>
      </c>
      <c r="K823" s="179" t="s">
        <v>289</v>
      </c>
      <c r="L823" s="178" t="s">
        <v>289</v>
      </c>
      <c r="M823" s="123" t="s">
        <v>714</v>
      </c>
      <c r="N823" s="158">
        <v>17673.64</v>
      </c>
      <c r="O823" s="122" t="s">
        <v>18</v>
      </c>
      <c r="P823" s="172"/>
      <c r="Q823" s="210"/>
    </row>
    <row r="824" spans="1:17" x14ac:dyDescent="0.2">
      <c r="A824" s="155" t="s">
        <v>1237</v>
      </c>
      <c r="B824" s="125">
        <v>2014720</v>
      </c>
      <c r="C824" s="125">
        <v>37099</v>
      </c>
      <c r="D824" s="125" t="s">
        <v>719</v>
      </c>
      <c r="E824" s="125">
        <v>67</v>
      </c>
      <c r="F824" s="125" t="str">
        <f>IF(E824&lt;=20,"0-19",
IF(E824&lt;=50,"20-49",
IF(E824&lt;=80,"50-79","80+")))</f>
        <v>50-79</v>
      </c>
      <c r="G824" s="125" t="s">
        <v>49</v>
      </c>
      <c r="H824" s="125" t="s">
        <v>15</v>
      </c>
      <c r="I824" s="119" t="s">
        <v>722</v>
      </c>
      <c r="J824" s="119" t="s">
        <v>2270</v>
      </c>
      <c r="K824" s="119" t="s">
        <v>71</v>
      </c>
      <c r="L824" s="125" t="s">
        <v>855</v>
      </c>
      <c r="M824" s="125" t="s">
        <v>714</v>
      </c>
      <c r="N824" s="162">
        <v>41219.040000000001</v>
      </c>
      <c r="O824" s="125" t="s">
        <v>832</v>
      </c>
      <c r="P824" s="172"/>
      <c r="Q824" s="210"/>
    </row>
    <row r="825" spans="1:17" x14ac:dyDescent="0.2">
      <c r="A825" s="156" t="s">
        <v>309</v>
      </c>
      <c r="B825" s="122">
        <v>2014720</v>
      </c>
      <c r="C825" s="122">
        <v>37099</v>
      </c>
      <c r="D825" s="122" t="s">
        <v>719</v>
      </c>
      <c r="E825" s="123">
        <v>67</v>
      </c>
      <c r="F825" s="123" t="str">
        <f>IF(E825&lt;=20,"0-19",
IF(E825&lt;=50,"20-49",
IF(E825&lt;=80,"50-79","80+")))</f>
        <v>50-79</v>
      </c>
      <c r="G825" s="122" t="s">
        <v>49</v>
      </c>
      <c r="H825" s="122" t="s">
        <v>15</v>
      </c>
      <c r="I825" s="122" t="s">
        <v>722</v>
      </c>
      <c r="J825" s="122" t="s">
        <v>2270</v>
      </c>
      <c r="K825" s="123" t="s">
        <v>95</v>
      </c>
      <c r="L825" s="123" t="s">
        <v>95</v>
      </c>
      <c r="M825" s="122" t="s">
        <v>714</v>
      </c>
      <c r="N825" s="157">
        <v>49029.56</v>
      </c>
      <c r="O825" s="122" t="s">
        <v>18</v>
      </c>
      <c r="P825" s="172"/>
      <c r="Q825" s="210"/>
    </row>
    <row r="826" spans="1:17" x14ac:dyDescent="0.2">
      <c r="A826" s="143" t="s">
        <v>1653</v>
      </c>
      <c r="B826" s="123">
        <v>2014720</v>
      </c>
      <c r="C826" s="122">
        <v>37099</v>
      </c>
      <c r="D826" s="123" t="s">
        <v>717</v>
      </c>
      <c r="E826" s="123">
        <v>67</v>
      </c>
      <c r="F826" s="123" t="str">
        <f>IF(E826&lt;=20,"0-19",
IF(E826&lt;=50,"20-49",
IF(E826&lt;=80,"50-79","80+")))</f>
        <v>50-79</v>
      </c>
      <c r="G826" s="121" t="s">
        <v>14</v>
      </c>
      <c r="H826" s="121" t="s">
        <v>706</v>
      </c>
      <c r="I826" s="123" t="s">
        <v>730</v>
      </c>
      <c r="J826" s="123" t="s">
        <v>2270</v>
      </c>
      <c r="K826" s="123" t="s">
        <v>1542</v>
      </c>
      <c r="L826" s="123" t="s">
        <v>1542</v>
      </c>
      <c r="M826" s="122" t="s">
        <v>714</v>
      </c>
      <c r="N826" s="128">
        <v>61042.82</v>
      </c>
      <c r="O826" s="128" t="s">
        <v>2254</v>
      </c>
      <c r="P826" s="147">
        <v>254715209779</v>
      </c>
      <c r="Q826" s="210"/>
    </row>
    <row r="827" spans="1:17" x14ac:dyDescent="0.2">
      <c r="A827" s="155" t="s">
        <v>522</v>
      </c>
      <c r="B827" s="197">
        <v>2013015</v>
      </c>
      <c r="C827" s="197">
        <v>18692</v>
      </c>
      <c r="D827" s="198" t="s">
        <v>759</v>
      </c>
      <c r="E827" s="197">
        <v>66</v>
      </c>
      <c r="F827" s="197" t="str">
        <f>IF(E827&lt;=20,"0-19",
IF(E827&lt;=50,"20-49",
IF(E827&lt;=80,"50-79","80+")))</f>
        <v>50-79</v>
      </c>
      <c r="G827" s="197" t="s">
        <v>49</v>
      </c>
      <c r="H827" s="197" t="s">
        <v>15</v>
      </c>
      <c r="I827" s="198" t="s">
        <v>730</v>
      </c>
      <c r="J827" s="198" t="s">
        <v>2270</v>
      </c>
      <c r="K827" s="198" t="s">
        <v>57</v>
      </c>
      <c r="L827" s="197" t="s">
        <v>57</v>
      </c>
      <c r="M827" s="198" t="s">
        <v>714</v>
      </c>
      <c r="N827" s="202">
        <v>102252.07</v>
      </c>
      <c r="O827" s="125" t="s">
        <v>18</v>
      </c>
      <c r="P827" s="173"/>
      <c r="Q827" s="210"/>
    </row>
    <row r="828" spans="1:17" x14ac:dyDescent="0.2">
      <c r="A828" s="142" t="s">
        <v>53</v>
      </c>
      <c r="B828" s="125">
        <v>2011016</v>
      </c>
      <c r="C828" s="125">
        <v>18256</v>
      </c>
      <c r="D828" s="125" t="s">
        <v>745</v>
      </c>
      <c r="E828" s="125">
        <v>65</v>
      </c>
      <c r="F828" s="125" t="str">
        <f>IF(E828&lt;=20,"0-19",
IF(E828&lt;=50,"20-49",
IF(E828&lt;=80,"50-79","80+")))</f>
        <v>50-79</v>
      </c>
      <c r="G828" s="125" t="s">
        <v>49</v>
      </c>
      <c r="H828" s="125" t="s">
        <v>15</v>
      </c>
      <c r="I828" s="119" t="s">
        <v>720</v>
      </c>
      <c r="J828" s="119" t="s">
        <v>2270</v>
      </c>
      <c r="K828" s="125" t="s">
        <v>1543</v>
      </c>
      <c r="L828" s="125" t="s">
        <v>1543</v>
      </c>
      <c r="M828" s="125" t="s">
        <v>714</v>
      </c>
      <c r="N828" s="126">
        <v>133497.69</v>
      </c>
      <c r="O828" s="126" t="s">
        <v>2254</v>
      </c>
      <c r="P828" s="146">
        <v>254724779335</v>
      </c>
      <c r="Q828" s="210"/>
    </row>
    <row r="829" spans="1:17" x14ac:dyDescent="0.2">
      <c r="A829" s="142" t="s">
        <v>1653</v>
      </c>
      <c r="B829" s="125">
        <v>2014720</v>
      </c>
      <c r="C829" s="125">
        <v>37099</v>
      </c>
      <c r="D829" s="125" t="s">
        <v>719</v>
      </c>
      <c r="E829" s="125">
        <v>67</v>
      </c>
      <c r="F829" s="125" t="str">
        <f>IF(E829&lt;=20,"0-19",
IF(E829&lt;=50,"20-49",
IF(E829&lt;=80,"50-79","80+")))</f>
        <v>50-79</v>
      </c>
      <c r="G829" s="125" t="s">
        <v>14</v>
      </c>
      <c r="H829" s="125" t="s">
        <v>15</v>
      </c>
      <c r="I829" s="119" t="s">
        <v>720</v>
      </c>
      <c r="J829" s="119" t="s">
        <v>2270</v>
      </c>
      <c r="K829" s="125" t="s">
        <v>1543</v>
      </c>
      <c r="L829" s="125" t="s">
        <v>1543</v>
      </c>
      <c r="M829" s="125" t="s">
        <v>714</v>
      </c>
      <c r="N829" s="126">
        <v>57905.31</v>
      </c>
      <c r="O829" s="126" t="s">
        <v>2254</v>
      </c>
      <c r="P829" s="146">
        <v>254798188015</v>
      </c>
      <c r="Q829" s="210"/>
    </row>
    <row r="830" spans="1:17" x14ac:dyDescent="0.2">
      <c r="A830" s="143" t="s">
        <v>1708</v>
      </c>
      <c r="B830" s="122">
        <v>2013015</v>
      </c>
      <c r="C830" s="122">
        <v>18692</v>
      </c>
      <c r="D830" s="122" t="s">
        <v>759</v>
      </c>
      <c r="E830" s="122">
        <v>67</v>
      </c>
      <c r="F830" s="122" t="str">
        <f>IF(E830&lt;=20,"0-19",
IF(E830&lt;=50,"20-49",
IF(E830&lt;=80,"50-79","80+")))</f>
        <v>50-79</v>
      </c>
      <c r="G830" s="122" t="s">
        <v>49</v>
      </c>
      <c r="H830" s="122" t="s">
        <v>15</v>
      </c>
      <c r="I830" s="123" t="s">
        <v>720</v>
      </c>
      <c r="J830" s="123" t="s">
        <v>2270</v>
      </c>
      <c r="K830" s="122" t="s">
        <v>1567</v>
      </c>
      <c r="L830" s="122" t="s">
        <v>1567</v>
      </c>
      <c r="M830" s="122" t="s">
        <v>714</v>
      </c>
      <c r="N830" s="124">
        <v>93792.61</v>
      </c>
      <c r="O830" s="124" t="s">
        <v>2254</v>
      </c>
      <c r="P830" s="147">
        <v>254722282030</v>
      </c>
      <c r="Q830" s="210"/>
    </row>
    <row r="831" spans="1:17" x14ac:dyDescent="0.2">
      <c r="A831" s="156" t="s">
        <v>309</v>
      </c>
      <c r="B831" s="197">
        <v>2014720</v>
      </c>
      <c r="C831" s="197">
        <v>37099</v>
      </c>
      <c r="D831" s="198" t="s">
        <v>719</v>
      </c>
      <c r="E831" s="197">
        <v>67</v>
      </c>
      <c r="F831" s="197" t="str">
        <f>IF(E831&lt;=20,"0-19",
IF(E831&lt;=50,"20-49",
IF(E831&lt;=80,"50-79","80+")))</f>
        <v>50-79</v>
      </c>
      <c r="G831" s="197" t="s">
        <v>49</v>
      </c>
      <c r="H831" s="197" t="s">
        <v>15</v>
      </c>
      <c r="I831" s="198" t="s">
        <v>720</v>
      </c>
      <c r="J831" s="198" t="s">
        <v>2270</v>
      </c>
      <c r="K831" s="198" t="s">
        <v>42</v>
      </c>
      <c r="L831" s="197" t="s">
        <v>42</v>
      </c>
      <c r="M831" s="198" t="s">
        <v>714</v>
      </c>
      <c r="N831" s="202">
        <v>37583.53</v>
      </c>
      <c r="O831" s="122" t="s">
        <v>18</v>
      </c>
      <c r="P831" s="172"/>
      <c r="Q831" s="210"/>
    </row>
    <row r="832" spans="1:17" x14ac:dyDescent="0.2">
      <c r="A832" s="155" t="s">
        <v>53</v>
      </c>
      <c r="B832" s="125">
        <v>2011016</v>
      </c>
      <c r="C832" s="125">
        <v>18256</v>
      </c>
      <c r="D832" s="125" t="s">
        <v>745</v>
      </c>
      <c r="E832" s="125">
        <v>65</v>
      </c>
      <c r="F832" s="125" t="str">
        <f>IF(E832&lt;=20,"0-19",
IF(E832&lt;=50,"20-49",
IF(E832&lt;=80,"50-79","80+")))</f>
        <v>50-79</v>
      </c>
      <c r="G832" s="125" t="s">
        <v>49</v>
      </c>
      <c r="H832" s="125" t="s">
        <v>15</v>
      </c>
      <c r="I832" s="119" t="s">
        <v>730</v>
      </c>
      <c r="J832" s="119" t="s">
        <v>2270</v>
      </c>
      <c r="K832" s="119" t="s">
        <v>1238</v>
      </c>
      <c r="L832" s="119" t="s">
        <v>1238</v>
      </c>
      <c r="M832" s="125" t="s">
        <v>714</v>
      </c>
      <c r="N832" s="162">
        <v>133540</v>
      </c>
      <c r="O832" s="125" t="s">
        <v>832</v>
      </c>
      <c r="P832" s="172"/>
      <c r="Q832" s="210"/>
    </row>
    <row r="833" spans="1:17" x14ac:dyDescent="0.2">
      <c r="A833" s="155" t="s">
        <v>1237</v>
      </c>
      <c r="B833" s="119">
        <v>2014720</v>
      </c>
      <c r="C833" s="125">
        <v>37099</v>
      </c>
      <c r="D833" s="125" t="s">
        <v>719</v>
      </c>
      <c r="E833" s="119">
        <v>67</v>
      </c>
      <c r="F833" s="119" t="str">
        <f>IF(E833&lt;=20,"0-19",
IF(E833&lt;=50,"20-49",
IF(E833&lt;=80,"50-79","80+")))</f>
        <v>50-79</v>
      </c>
      <c r="G833" s="119" t="s">
        <v>49</v>
      </c>
      <c r="H833" s="119" t="s">
        <v>15</v>
      </c>
      <c r="I833" s="119" t="s">
        <v>720</v>
      </c>
      <c r="J833" s="119" t="s">
        <v>2270</v>
      </c>
      <c r="K833" s="119" t="s">
        <v>1238</v>
      </c>
      <c r="L833" s="119" t="s">
        <v>1238</v>
      </c>
      <c r="M833" s="125" t="s">
        <v>714</v>
      </c>
      <c r="N833" s="165">
        <v>35752.35</v>
      </c>
      <c r="O833" s="125" t="s">
        <v>832</v>
      </c>
      <c r="P833" s="173"/>
      <c r="Q833" s="210"/>
    </row>
    <row r="834" spans="1:17" x14ac:dyDescent="0.2">
      <c r="A834" s="155" t="s">
        <v>726</v>
      </c>
      <c r="B834" s="125">
        <v>2007072</v>
      </c>
      <c r="C834" s="125">
        <v>20611</v>
      </c>
      <c r="D834" s="125" t="s">
        <v>729</v>
      </c>
      <c r="E834" s="119">
        <v>66</v>
      </c>
      <c r="F834" s="119" t="str">
        <f>IF(E834&lt;=20,"0-19",
IF(E834&lt;=50,"20-49",
IF(E834&lt;=80,"50-79","80+")))</f>
        <v>50-79</v>
      </c>
      <c r="G834" s="125" t="s">
        <v>49</v>
      </c>
      <c r="H834" s="125" t="s">
        <v>15</v>
      </c>
      <c r="I834" s="125" t="s">
        <v>730</v>
      </c>
      <c r="J834" s="125" t="s">
        <v>2270</v>
      </c>
      <c r="K834" s="119" t="s">
        <v>94</v>
      </c>
      <c r="L834" s="119" t="s">
        <v>94</v>
      </c>
      <c r="M834" s="125" t="s">
        <v>714</v>
      </c>
      <c r="N834" s="165">
        <v>65600</v>
      </c>
      <c r="O834" s="125" t="s">
        <v>18</v>
      </c>
      <c r="P834" s="173"/>
      <c r="Q834" s="210"/>
    </row>
    <row r="835" spans="1:17" x14ac:dyDescent="0.2">
      <c r="A835" s="155" t="s">
        <v>522</v>
      </c>
      <c r="B835" s="125">
        <v>2013015</v>
      </c>
      <c r="C835" s="125">
        <v>18692</v>
      </c>
      <c r="D835" s="125" t="s">
        <v>760</v>
      </c>
      <c r="E835" s="125">
        <v>66</v>
      </c>
      <c r="F835" s="125" t="str">
        <f>IF(E835&lt;=20,"0-19",
IF(E835&lt;=50,"20-49",
IF(E835&lt;=80,"50-79","80+")))</f>
        <v>50-79</v>
      </c>
      <c r="G835" s="125" t="s">
        <v>49</v>
      </c>
      <c r="H835" s="125" t="s">
        <v>15</v>
      </c>
      <c r="I835" s="119" t="s">
        <v>720</v>
      </c>
      <c r="J835" s="119" t="s">
        <v>2270</v>
      </c>
      <c r="K835" s="119" t="s">
        <v>1241</v>
      </c>
      <c r="L835" s="119" t="s">
        <v>1241</v>
      </c>
      <c r="M835" s="125" t="s">
        <v>714</v>
      </c>
      <c r="N835" s="162">
        <v>92637</v>
      </c>
      <c r="O835" s="125" t="s">
        <v>832</v>
      </c>
      <c r="P835" s="173"/>
      <c r="Q835" s="210"/>
    </row>
    <row r="836" spans="1:17" x14ac:dyDescent="0.2">
      <c r="A836" s="142" t="s">
        <v>1653</v>
      </c>
      <c r="B836" s="125">
        <v>2014720</v>
      </c>
      <c r="C836" s="125">
        <v>37099</v>
      </c>
      <c r="D836" s="125" t="s">
        <v>719</v>
      </c>
      <c r="E836" s="125">
        <v>67</v>
      </c>
      <c r="F836" s="125" t="str">
        <f>IF(E836&lt;=20,"0-19",
IF(E836&lt;=50,"20-49",
IF(E836&lt;=80,"50-79","80+")))</f>
        <v>50-79</v>
      </c>
      <c r="G836" s="125" t="s">
        <v>2011</v>
      </c>
      <c r="H836" s="125" t="s">
        <v>15</v>
      </c>
      <c r="I836" s="125" t="s">
        <v>720</v>
      </c>
      <c r="J836" s="125" t="s">
        <v>2270</v>
      </c>
      <c r="K836" s="119" t="s">
        <v>1928</v>
      </c>
      <c r="L836" s="125" t="s">
        <v>1928</v>
      </c>
      <c r="M836" s="125" t="s">
        <v>714</v>
      </c>
      <c r="N836" s="126">
        <v>50371</v>
      </c>
      <c r="O836" s="126" t="s">
        <v>2254</v>
      </c>
      <c r="P836" s="146">
        <v>791800248</v>
      </c>
      <c r="Q836" s="210"/>
    </row>
    <row r="837" spans="1:17" x14ac:dyDescent="0.2">
      <c r="A837" s="143" t="s">
        <v>53</v>
      </c>
      <c r="B837" s="123">
        <v>2021273</v>
      </c>
      <c r="C837" s="122">
        <v>56896</v>
      </c>
      <c r="D837" s="123" t="s">
        <v>1613</v>
      </c>
      <c r="E837" s="123">
        <v>59</v>
      </c>
      <c r="F837" s="123" t="str">
        <f>IF(E837&lt;=20,"0-19",
IF(E837&lt;=50,"20-49",
IF(E837&lt;=80,"50-79","80+")))</f>
        <v>50-79</v>
      </c>
      <c r="G837" s="123" t="s">
        <v>49</v>
      </c>
      <c r="H837" s="123" t="s">
        <v>15</v>
      </c>
      <c r="I837" s="123" t="s">
        <v>730</v>
      </c>
      <c r="J837" s="123" t="s">
        <v>2270</v>
      </c>
      <c r="K837" s="123" t="s">
        <v>1923</v>
      </c>
      <c r="L837" s="121" t="s">
        <v>1923</v>
      </c>
      <c r="M837" s="122" t="s">
        <v>714</v>
      </c>
      <c r="N837" s="128">
        <v>60000</v>
      </c>
      <c r="O837" s="128" t="s">
        <v>2254</v>
      </c>
      <c r="P837" s="147">
        <v>254726386129</v>
      </c>
      <c r="Q837" s="210"/>
    </row>
    <row r="838" spans="1:17" x14ac:dyDescent="0.2">
      <c r="A838" s="156" t="s">
        <v>309</v>
      </c>
      <c r="B838" s="125">
        <v>2014720</v>
      </c>
      <c r="C838" s="125">
        <v>37099</v>
      </c>
      <c r="D838" s="125" t="s">
        <v>719</v>
      </c>
      <c r="E838" s="119">
        <v>67</v>
      </c>
      <c r="F838" s="119" t="str">
        <f>IF(E838&lt;=20,"0-19",
IF(E838&lt;=50,"20-49",
IF(E838&lt;=80,"50-79","80+")))</f>
        <v>50-79</v>
      </c>
      <c r="G838" s="125" t="s">
        <v>49</v>
      </c>
      <c r="H838" s="125" t="s">
        <v>15</v>
      </c>
      <c r="I838" s="125" t="s">
        <v>720</v>
      </c>
      <c r="J838" s="125" t="s">
        <v>2270</v>
      </c>
      <c r="K838" s="119" t="s">
        <v>85</v>
      </c>
      <c r="L838" s="119" t="s">
        <v>85</v>
      </c>
      <c r="M838" s="125" t="s">
        <v>714</v>
      </c>
      <c r="N838" s="165">
        <v>37347.040000000001</v>
      </c>
      <c r="O838" s="125" t="s">
        <v>18</v>
      </c>
      <c r="P838" s="173"/>
      <c r="Q838" s="210"/>
    </row>
    <row r="839" spans="1:17" x14ac:dyDescent="0.2">
      <c r="A839" s="155" t="s">
        <v>53</v>
      </c>
      <c r="B839" s="125">
        <v>2011016</v>
      </c>
      <c r="C839" s="125">
        <v>18256</v>
      </c>
      <c r="D839" s="125" t="s">
        <v>745</v>
      </c>
      <c r="E839" s="119">
        <v>65</v>
      </c>
      <c r="F839" s="119" t="str">
        <f>IF(E839&lt;=20,"0-19",
IF(E839&lt;=50,"20-49",
IF(E839&lt;=80,"50-79","80+")))</f>
        <v>50-79</v>
      </c>
      <c r="G839" s="125" t="s">
        <v>746</v>
      </c>
      <c r="H839" s="125" t="s">
        <v>22</v>
      </c>
      <c r="I839" s="125" t="s">
        <v>720</v>
      </c>
      <c r="J839" s="125" t="s">
        <v>2270</v>
      </c>
      <c r="K839" s="119" t="s">
        <v>193</v>
      </c>
      <c r="L839" s="119" t="s">
        <v>193</v>
      </c>
      <c r="M839" s="125" t="s">
        <v>714</v>
      </c>
      <c r="N839" s="165">
        <v>5481</v>
      </c>
      <c r="O839" s="125" t="s">
        <v>18</v>
      </c>
      <c r="P839" s="173"/>
      <c r="Q839" s="210"/>
    </row>
    <row r="840" spans="1:17" x14ac:dyDescent="0.2">
      <c r="A840" s="155" t="s">
        <v>522</v>
      </c>
      <c r="B840" s="122">
        <v>2013015</v>
      </c>
      <c r="C840" s="122">
        <v>18692</v>
      </c>
      <c r="D840" s="122" t="s">
        <v>760</v>
      </c>
      <c r="E840" s="123">
        <v>66</v>
      </c>
      <c r="F840" s="123" t="str">
        <f>IF(E840&lt;=20,"0-19",
IF(E840&lt;=50,"20-49",
IF(E840&lt;=80,"50-79","80+")))</f>
        <v>50-79</v>
      </c>
      <c r="G840" s="122" t="s">
        <v>49</v>
      </c>
      <c r="H840" s="122" t="s">
        <v>15</v>
      </c>
      <c r="I840" s="122" t="s">
        <v>720</v>
      </c>
      <c r="J840" s="122" t="s">
        <v>2270</v>
      </c>
      <c r="K840" s="123" t="s">
        <v>31</v>
      </c>
      <c r="L840" s="123" t="s">
        <v>193</v>
      </c>
      <c r="M840" s="122" t="s">
        <v>714</v>
      </c>
      <c r="N840" s="157">
        <v>103402.84</v>
      </c>
      <c r="O840" s="122" t="s">
        <v>18</v>
      </c>
      <c r="P840" s="172"/>
      <c r="Q840" s="210"/>
    </row>
    <row r="841" spans="1:17" x14ac:dyDescent="0.2">
      <c r="A841" s="182" t="s">
        <v>534</v>
      </c>
      <c r="B841" s="178">
        <v>2021273</v>
      </c>
      <c r="C841" s="178">
        <v>56896</v>
      </c>
      <c r="D841" s="178" t="s">
        <v>782</v>
      </c>
      <c r="E841" s="178">
        <v>56</v>
      </c>
      <c r="F841" s="178" t="str">
        <f>IF(E841&lt;=20,"0-19",
IF(E841&lt;=50,"20-49",
IF(E841&lt;=80,"50-79","80+")))</f>
        <v>50-79</v>
      </c>
      <c r="G841" s="178" t="s">
        <v>49</v>
      </c>
      <c r="H841" s="178" t="s">
        <v>15</v>
      </c>
      <c r="I841" s="178" t="s">
        <v>720</v>
      </c>
      <c r="J841" s="178" t="s">
        <v>2270</v>
      </c>
      <c r="K841" s="178" t="s">
        <v>190</v>
      </c>
      <c r="L841" s="178" t="s">
        <v>190</v>
      </c>
      <c r="M841" s="121" t="s">
        <v>714</v>
      </c>
      <c r="N841" s="158">
        <v>55000</v>
      </c>
      <c r="O841" s="122" t="s">
        <v>18</v>
      </c>
      <c r="P841" s="172"/>
      <c r="Q841" s="210"/>
    </row>
    <row r="842" spans="1:17" x14ac:dyDescent="0.2">
      <c r="A842" s="155" t="s">
        <v>923</v>
      </c>
      <c r="B842" s="125">
        <v>2004761</v>
      </c>
      <c r="C842" s="125">
        <v>31664</v>
      </c>
      <c r="D842" s="125" t="s">
        <v>1246</v>
      </c>
      <c r="E842" s="125">
        <v>64</v>
      </c>
      <c r="F842" s="125" t="str">
        <f>IF(E842&lt;=20,"0-19",
IF(E842&lt;=50,"20-49",
IF(E842&lt;=80,"50-79","80+")))</f>
        <v>50-79</v>
      </c>
      <c r="G842" s="125" t="s">
        <v>49</v>
      </c>
      <c r="H842" s="125" t="s">
        <v>15</v>
      </c>
      <c r="I842" s="125" t="s">
        <v>1247</v>
      </c>
      <c r="J842" s="125" t="s">
        <v>2270</v>
      </c>
      <c r="K842" s="125" t="s">
        <v>1248</v>
      </c>
      <c r="L842" s="125" t="s">
        <v>1249</v>
      </c>
      <c r="M842" s="125" t="s">
        <v>714</v>
      </c>
      <c r="N842" s="162">
        <v>25650</v>
      </c>
      <c r="O842" s="125" t="s">
        <v>832</v>
      </c>
      <c r="P842" s="173"/>
      <c r="Q842" s="210"/>
    </row>
    <row r="843" spans="1:17" x14ac:dyDescent="0.2">
      <c r="A843" s="143" t="s">
        <v>53</v>
      </c>
      <c r="B843" s="122">
        <v>2013525</v>
      </c>
      <c r="C843" s="122">
        <v>10031</v>
      </c>
      <c r="D843" s="122" t="s">
        <v>1582</v>
      </c>
      <c r="E843" s="122">
        <v>66</v>
      </c>
      <c r="F843" s="122" t="str">
        <f>IF(E843&lt;=20,"0-19",
IF(E843&lt;=50,"20-49",
IF(E843&lt;=80,"50-79","80+")))</f>
        <v>50-79</v>
      </c>
      <c r="G843" s="122" t="s">
        <v>49</v>
      </c>
      <c r="H843" s="122" t="s">
        <v>15</v>
      </c>
      <c r="I843" s="123" t="s">
        <v>1270</v>
      </c>
      <c r="J843" s="123" t="s">
        <v>2270</v>
      </c>
      <c r="K843" s="122" t="s">
        <v>1664</v>
      </c>
      <c r="L843" s="122" t="s">
        <v>1589</v>
      </c>
      <c r="M843" s="122" t="s">
        <v>714</v>
      </c>
      <c r="N843" s="124">
        <v>62100</v>
      </c>
      <c r="O843" s="124" t="s">
        <v>2254</v>
      </c>
      <c r="P843" s="147">
        <v>254722636922</v>
      </c>
      <c r="Q843" s="210"/>
    </row>
    <row r="844" spans="1:17" x14ac:dyDescent="0.2">
      <c r="A844" s="142" t="s">
        <v>354</v>
      </c>
      <c r="B844" s="125">
        <v>2013525</v>
      </c>
      <c r="C844" s="125">
        <v>10031</v>
      </c>
      <c r="D844" s="125" t="s">
        <v>1582</v>
      </c>
      <c r="E844" s="125">
        <v>66</v>
      </c>
      <c r="F844" s="125" t="str">
        <f>IF(E844&lt;=20,"0-19",
IF(E844&lt;=50,"20-49",
IF(E844&lt;=80,"50-79","80+")))</f>
        <v>50-79</v>
      </c>
      <c r="G844" s="125" t="s">
        <v>49</v>
      </c>
      <c r="H844" s="125" t="s">
        <v>15</v>
      </c>
      <c r="I844" s="119" t="s">
        <v>1270</v>
      </c>
      <c r="J844" s="119" t="s">
        <v>2270</v>
      </c>
      <c r="K844" s="125" t="s">
        <v>1567</v>
      </c>
      <c r="L844" s="125" t="s">
        <v>1567</v>
      </c>
      <c r="M844" s="125" t="s">
        <v>714</v>
      </c>
      <c r="N844" s="126">
        <v>15125.29</v>
      </c>
      <c r="O844" s="126" t="s">
        <v>2254</v>
      </c>
      <c r="P844" s="146">
        <v>254720552242</v>
      </c>
      <c r="Q844" s="210"/>
    </row>
    <row r="845" spans="1:17" x14ac:dyDescent="0.2">
      <c r="A845" s="142" t="s">
        <v>354</v>
      </c>
      <c r="B845" s="125">
        <v>2013525</v>
      </c>
      <c r="C845" s="125">
        <v>10031</v>
      </c>
      <c r="D845" s="125" t="s">
        <v>1582</v>
      </c>
      <c r="E845" s="125">
        <v>65</v>
      </c>
      <c r="F845" s="125" t="str">
        <f>IF(E845&lt;=20,"0-19",
IF(E845&lt;=50,"20-49",
IF(E845&lt;=80,"50-79","80+")))</f>
        <v>50-79</v>
      </c>
      <c r="G845" s="125" t="s">
        <v>960</v>
      </c>
      <c r="H845" s="125" t="s">
        <v>15</v>
      </c>
      <c r="I845" s="125" t="s">
        <v>1270</v>
      </c>
      <c r="J845" s="125" t="s">
        <v>2270</v>
      </c>
      <c r="K845" s="119" t="s">
        <v>1928</v>
      </c>
      <c r="L845" s="125" t="s">
        <v>1928</v>
      </c>
      <c r="M845" s="125" t="s">
        <v>714</v>
      </c>
      <c r="N845" s="126">
        <v>12577.25</v>
      </c>
      <c r="O845" s="126" t="s">
        <v>2254</v>
      </c>
      <c r="P845" s="146">
        <v>254710627717</v>
      </c>
      <c r="Q845" s="210"/>
    </row>
    <row r="846" spans="1:17" x14ac:dyDescent="0.2">
      <c r="A846" s="144" t="s">
        <v>710</v>
      </c>
      <c r="B846" s="122">
        <v>2002469</v>
      </c>
      <c r="C846" s="122">
        <v>18127</v>
      </c>
      <c r="D846" s="122" t="s">
        <v>711</v>
      </c>
      <c r="E846" s="123">
        <v>22</v>
      </c>
      <c r="F846" s="123" t="str">
        <f>IF(E846&lt;=20,"0-19",
IF(E846&lt;=50,"20-49",
IF(E846&lt;=80,"50-79","80+")))</f>
        <v>20-49</v>
      </c>
      <c r="G846" s="122" t="s">
        <v>49</v>
      </c>
      <c r="H846" s="122" t="s">
        <v>22</v>
      </c>
      <c r="I846" s="122" t="s">
        <v>712</v>
      </c>
      <c r="J846" s="122" t="s">
        <v>2270</v>
      </c>
      <c r="K846" s="123" t="s">
        <v>713</v>
      </c>
      <c r="L846" s="123" t="s">
        <v>99</v>
      </c>
      <c r="M846" s="122" t="s">
        <v>714</v>
      </c>
      <c r="N846" s="157">
        <v>79150</v>
      </c>
      <c r="O846" s="122" t="s">
        <v>18</v>
      </c>
      <c r="P846" s="172"/>
      <c r="Q846" s="210"/>
    </row>
    <row r="847" spans="1:17" x14ac:dyDescent="0.2">
      <c r="A847" s="144" t="s">
        <v>75</v>
      </c>
      <c r="B847" s="122">
        <v>2011004</v>
      </c>
      <c r="C847" s="122">
        <v>101184</v>
      </c>
      <c r="D847" s="122" t="s">
        <v>261</v>
      </c>
      <c r="E847" s="123">
        <v>64</v>
      </c>
      <c r="F847" s="123" t="str">
        <f>IF(E847&lt;=20,"0-19",
IF(E847&lt;=50,"20-49",
IF(E847&lt;=80,"50-79","80+")))</f>
        <v>50-79</v>
      </c>
      <c r="G847" s="122" t="s">
        <v>14</v>
      </c>
      <c r="H847" s="122" t="s">
        <v>15</v>
      </c>
      <c r="I847" s="122" t="s">
        <v>712</v>
      </c>
      <c r="J847" s="122" t="s">
        <v>2270</v>
      </c>
      <c r="K847" s="123" t="s">
        <v>31</v>
      </c>
      <c r="L847" s="123" t="s">
        <v>31</v>
      </c>
      <c r="M847" s="122" t="s">
        <v>714</v>
      </c>
      <c r="N847" s="157">
        <v>11400</v>
      </c>
      <c r="O847" s="122" t="s">
        <v>18</v>
      </c>
      <c r="P847" s="172"/>
      <c r="Q847" s="210"/>
    </row>
    <row r="848" spans="1:17" ht="21" x14ac:dyDescent="0.2">
      <c r="A848" s="155" t="s">
        <v>726</v>
      </c>
      <c r="B848" s="118">
        <v>2009023</v>
      </c>
      <c r="C848" s="125">
        <v>18240</v>
      </c>
      <c r="D848" s="118" t="s">
        <v>1191</v>
      </c>
      <c r="E848" s="118">
        <v>42</v>
      </c>
      <c r="F848" s="118" t="str">
        <f>IF(E848&lt;=20,"0-19",
IF(E848&lt;=50,"20-49",
IF(E848&lt;=80,"50-79","80+")))</f>
        <v>20-49</v>
      </c>
      <c r="G848" s="118" t="s">
        <v>49</v>
      </c>
      <c r="H848" s="118" t="s">
        <v>15</v>
      </c>
      <c r="I848" s="118" t="s">
        <v>1270</v>
      </c>
      <c r="J848" s="118" t="s">
        <v>2270</v>
      </c>
      <c r="K848" s="118" t="s">
        <v>1271</v>
      </c>
      <c r="L848" s="118" t="s">
        <v>1254</v>
      </c>
      <c r="M848" s="125" t="s">
        <v>714</v>
      </c>
      <c r="N848" s="160">
        <v>114000</v>
      </c>
      <c r="O848" s="125" t="s">
        <v>832</v>
      </c>
      <c r="P848" s="172"/>
      <c r="Q848" s="210"/>
    </row>
    <row r="849" spans="1:17" x14ac:dyDescent="0.2">
      <c r="A849" s="155" t="s">
        <v>373</v>
      </c>
      <c r="B849" s="118">
        <v>2020043</v>
      </c>
      <c r="C849" s="125">
        <v>18791</v>
      </c>
      <c r="D849" s="118" t="s">
        <v>1198</v>
      </c>
      <c r="E849" s="118">
        <v>67</v>
      </c>
      <c r="F849" s="118" t="str">
        <f>IF(E849&lt;=20,"0-19",
IF(E849&lt;=50,"20-49",
IF(E849&lt;=80,"50-79","80+")))</f>
        <v>50-79</v>
      </c>
      <c r="G849" s="118" t="s">
        <v>49</v>
      </c>
      <c r="H849" s="118" t="s">
        <v>15</v>
      </c>
      <c r="I849" s="118" t="s">
        <v>1199</v>
      </c>
      <c r="J849" s="118" t="s">
        <v>2270</v>
      </c>
      <c r="K849" s="118" t="s">
        <v>835</v>
      </c>
      <c r="L849" s="118" t="s">
        <v>835</v>
      </c>
      <c r="M849" s="125" t="s">
        <v>714</v>
      </c>
      <c r="N849" s="160">
        <v>27800</v>
      </c>
      <c r="O849" s="125" t="s">
        <v>832</v>
      </c>
      <c r="P849" s="172"/>
      <c r="Q849" s="210"/>
    </row>
    <row r="850" spans="1:17" ht="21" x14ac:dyDescent="0.2">
      <c r="A850" s="155" t="s">
        <v>373</v>
      </c>
      <c r="B850" s="118">
        <v>2020043</v>
      </c>
      <c r="C850" s="125">
        <v>18791</v>
      </c>
      <c r="D850" s="118" t="s">
        <v>1200</v>
      </c>
      <c r="E850" s="118">
        <v>67</v>
      </c>
      <c r="F850" s="118" t="str">
        <f>IF(E850&lt;=20,"0-19",
IF(E850&lt;=50,"20-49",
IF(E850&lt;=80,"50-79","80+")))</f>
        <v>50-79</v>
      </c>
      <c r="G850" s="118" t="s">
        <v>49</v>
      </c>
      <c r="H850" s="118" t="s">
        <v>15</v>
      </c>
      <c r="I850" s="118" t="s">
        <v>1199</v>
      </c>
      <c r="J850" s="118" t="s">
        <v>2270</v>
      </c>
      <c r="K850" s="118" t="s">
        <v>1201</v>
      </c>
      <c r="L850" s="118" t="s">
        <v>843</v>
      </c>
      <c r="M850" s="125" t="s">
        <v>714</v>
      </c>
      <c r="N850" s="160">
        <v>70000</v>
      </c>
      <c r="O850" s="125" t="s">
        <v>832</v>
      </c>
      <c r="P850" s="172"/>
      <c r="Q850" s="210"/>
    </row>
    <row r="851" spans="1:17" ht="21" x14ac:dyDescent="0.2">
      <c r="A851" s="155" t="s">
        <v>373</v>
      </c>
      <c r="B851" s="125">
        <v>2020043</v>
      </c>
      <c r="C851" s="125">
        <v>18791</v>
      </c>
      <c r="D851" s="125" t="s">
        <v>1202</v>
      </c>
      <c r="E851" s="125">
        <v>67</v>
      </c>
      <c r="F851" s="125" t="str">
        <f>IF(E851&lt;=20,"0-19",
IF(E851&lt;=50,"20-49",
IF(E851&lt;=80,"50-79","80+")))</f>
        <v>50-79</v>
      </c>
      <c r="G851" s="125" t="s">
        <v>49</v>
      </c>
      <c r="H851" s="125" t="s">
        <v>706</v>
      </c>
      <c r="I851" s="125" t="s">
        <v>1203</v>
      </c>
      <c r="J851" s="125" t="s">
        <v>2270</v>
      </c>
      <c r="K851" s="119" t="s">
        <v>1204</v>
      </c>
      <c r="L851" s="119" t="s">
        <v>859</v>
      </c>
      <c r="M851" s="125" t="s">
        <v>714</v>
      </c>
      <c r="N851" s="162">
        <v>100000</v>
      </c>
      <c r="O851" s="125" t="s">
        <v>832</v>
      </c>
      <c r="P851" s="172"/>
      <c r="Q851" s="210"/>
    </row>
    <row r="852" spans="1:17" x14ac:dyDescent="0.2">
      <c r="A852" s="155" t="s">
        <v>726</v>
      </c>
      <c r="B852" s="125">
        <v>2002668</v>
      </c>
      <c r="C852" s="125">
        <v>17920</v>
      </c>
      <c r="D852" s="125" t="s">
        <v>1265</v>
      </c>
      <c r="E852" s="125">
        <v>66</v>
      </c>
      <c r="F852" s="125" t="str">
        <f>IF(E852&lt;=20,"0-19",
IF(E852&lt;=50,"20-49",
IF(E852&lt;=80,"50-79","80+")))</f>
        <v>50-79</v>
      </c>
      <c r="G852" s="125" t="s">
        <v>60</v>
      </c>
      <c r="H852" s="125" t="s">
        <v>22</v>
      </c>
      <c r="I852" s="125" t="s">
        <v>1199</v>
      </c>
      <c r="J852" s="125" t="s">
        <v>2270</v>
      </c>
      <c r="K852" s="125" t="s">
        <v>1236</v>
      </c>
      <c r="L852" s="125" t="s">
        <v>1236</v>
      </c>
      <c r="M852" s="125" t="s">
        <v>714</v>
      </c>
      <c r="N852" s="162">
        <v>70475</v>
      </c>
      <c r="O852" s="125" t="s">
        <v>832</v>
      </c>
      <c r="P852" s="173"/>
      <c r="Q852" s="210"/>
    </row>
    <row r="853" spans="1:17" ht="21" x14ac:dyDescent="0.2">
      <c r="A853" s="155" t="s">
        <v>726</v>
      </c>
      <c r="B853" s="125">
        <v>2012481</v>
      </c>
      <c r="C853" s="125">
        <v>10103</v>
      </c>
      <c r="D853" s="125" t="s">
        <v>1267</v>
      </c>
      <c r="E853" s="125">
        <v>63</v>
      </c>
      <c r="F853" s="125" t="str">
        <f>IF(E853&lt;=20,"0-19",
IF(E853&lt;=50,"20-49",
IF(E853&lt;=80,"50-79","80+")))</f>
        <v>50-79</v>
      </c>
      <c r="G853" s="125" t="s">
        <v>60</v>
      </c>
      <c r="H853" s="125" t="s">
        <v>22</v>
      </c>
      <c r="I853" s="119" t="s">
        <v>1199</v>
      </c>
      <c r="J853" s="119" t="s">
        <v>2270</v>
      </c>
      <c r="K853" s="119" t="s">
        <v>1268</v>
      </c>
      <c r="L853" s="119" t="s">
        <v>1242</v>
      </c>
      <c r="M853" s="125" t="s">
        <v>714</v>
      </c>
      <c r="N853" s="162">
        <v>16975</v>
      </c>
      <c r="O853" s="125" t="s">
        <v>832</v>
      </c>
      <c r="P853" s="173"/>
      <c r="Q853" s="210"/>
    </row>
    <row r="854" spans="1:17" ht="31.5" x14ac:dyDescent="0.2">
      <c r="A854" s="155" t="s">
        <v>373</v>
      </c>
      <c r="B854" s="118">
        <v>2020043</v>
      </c>
      <c r="C854" s="125">
        <v>18791</v>
      </c>
      <c r="D854" s="118" t="s">
        <v>1200</v>
      </c>
      <c r="E854" s="118">
        <v>66</v>
      </c>
      <c r="F854" s="118" t="str">
        <f>IF(E854&lt;=20,"0-19",
IF(E854&lt;=50,"20-49",
IF(E854&lt;=80,"50-79","80+")))</f>
        <v>50-79</v>
      </c>
      <c r="G854" s="118" t="s">
        <v>49</v>
      </c>
      <c r="H854" s="118" t="s">
        <v>15</v>
      </c>
      <c r="I854" s="118" t="s">
        <v>1203</v>
      </c>
      <c r="J854" s="118" t="s">
        <v>2270</v>
      </c>
      <c r="K854" s="118" t="s">
        <v>1481</v>
      </c>
      <c r="L854" s="118" t="s">
        <v>1264</v>
      </c>
      <c r="M854" s="125" t="s">
        <v>714</v>
      </c>
      <c r="N854" s="160">
        <v>50000</v>
      </c>
      <c r="O854" s="125" t="s">
        <v>832</v>
      </c>
      <c r="P854" s="172"/>
      <c r="Q854" s="210"/>
    </row>
    <row r="855" spans="1:17" ht="21" x14ac:dyDescent="0.2">
      <c r="A855" s="143" t="s">
        <v>53</v>
      </c>
      <c r="B855" s="122">
        <v>2012481</v>
      </c>
      <c r="C855" s="122">
        <v>10103</v>
      </c>
      <c r="D855" s="122" t="s">
        <v>1267</v>
      </c>
      <c r="E855" s="122">
        <v>65</v>
      </c>
      <c r="F855" s="122" t="str">
        <f>IF(E855&lt;=20,"0-19",
IF(E855&lt;=50,"20-49",
IF(E855&lt;=80,"50-79","80+")))</f>
        <v>50-79</v>
      </c>
      <c r="G855" s="122" t="s">
        <v>60</v>
      </c>
      <c r="H855" s="122" t="s">
        <v>22</v>
      </c>
      <c r="I855" s="122" t="s">
        <v>2153</v>
      </c>
      <c r="J855" s="122" t="s">
        <v>2270</v>
      </c>
      <c r="K855" s="123" t="s">
        <v>2154</v>
      </c>
      <c r="L855" s="122" t="s">
        <v>1913</v>
      </c>
      <c r="M855" s="122" t="s">
        <v>714</v>
      </c>
      <c r="N855" s="124">
        <v>167380</v>
      </c>
      <c r="O855" s="124" t="s">
        <v>2254</v>
      </c>
      <c r="P855" s="147">
        <v>254714417008</v>
      </c>
      <c r="Q855" s="210"/>
    </row>
    <row r="856" spans="1:17" ht="31.5" x14ac:dyDescent="0.2">
      <c r="A856" s="140" t="s">
        <v>534</v>
      </c>
      <c r="B856" s="118">
        <v>2018734</v>
      </c>
      <c r="C856" s="118">
        <v>64401</v>
      </c>
      <c r="D856" s="118" t="s">
        <v>779</v>
      </c>
      <c r="E856" s="118">
        <v>61</v>
      </c>
      <c r="F856" s="118" t="str">
        <f>IF(E856&lt;=20,"0-19",
IF(E856&lt;=50,"20-49",
IF(E856&lt;=80,"50-79","80+")))</f>
        <v>50-79</v>
      </c>
      <c r="G856" s="118" t="s">
        <v>60</v>
      </c>
      <c r="H856" s="118" t="s">
        <v>22</v>
      </c>
      <c r="I856" s="118" t="s">
        <v>780</v>
      </c>
      <c r="J856" s="118" t="s">
        <v>2270</v>
      </c>
      <c r="K856" s="118" t="s">
        <v>781</v>
      </c>
      <c r="L856" s="118" t="s">
        <v>289</v>
      </c>
      <c r="M856" s="118" t="s">
        <v>714</v>
      </c>
      <c r="N856" s="160">
        <v>105000</v>
      </c>
      <c r="O856" s="125" t="s">
        <v>18</v>
      </c>
      <c r="P856" s="173"/>
      <c r="Q856" s="210"/>
    </row>
    <row r="857" spans="1:17" x14ac:dyDescent="0.2">
      <c r="A857" s="155" t="s">
        <v>53</v>
      </c>
      <c r="B857" s="122">
        <v>2502192</v>
      </c>
      <c r="C857" s="122">
        <v>104817</v>
      </c>
      <c r="D857" s="122" t="s">
        <v>753</v>
      </c>
      <c r="E857" s="123">
        <v>60</v>
      </c>
      <c r="F857" s="123" t="str">
        <f>IF(E857&lt;=20,"0-19",
IF(E857&lt;=50,"20-49",
IF(E857&lt;=80,"50-79","80+")))</f>
        <v>50-79</v>
      </c>
      <c r="G857" s="122" t="s">
        <v>60</v>
      </c>
      <c r="H857" s="122" t="s">
        <v>22</v>
      </c>
      <c r="I857" s="122" t="s">
        <v>754</v>
      </c>
      <c r="J857" s="122" t="s">
        <v>2270</v>
      </c>
      <c r="K857" s="123" t="s">
        <v>95</v>
      </c>
      <c r="L857" s="123" t="s">
        <v>95</v>
      </c>
      <c r="M857" s="122" t="s">
        <v>714</v>
      </c>
      <c r="N857" s="157">
        <v>46142.57</v>
      </c>
      <c r="O857" s="122" t="s">
        <v>18</v>
      </c>
      <c r="P857" s="172"/>
      <c r="Q857" s="210"/>
    </row>
    <row r="858" spans="1:17" x14ac:dyDescent="0.2">
      <c r="A858" s="155" t="s">
        <v>53</v>
      </c>
      <c r="B858" s="118">
        <v>2006996</v>
      </c>
      <c r="C858" s="125">
        <v>14842</v>
      </c>
      <c r="D858" s="118" t="s">
        <v>757</v>
      </c>
      <c r="E858" s="118">
        <v>64</v>
      </c>
      <c r="F858" s="118" t="str">
        <f>IF(E858&lt;=20,"0-19",
IF(E858&lt;=50,"20-49",
IF(E858&lt;=80,"50-79","80+")))</f>
        <v>50-79</v>
      </c>
      <c r="G858" s="118" t="s">
        <v>49</v>
      </c>
      <c r="H858" s="118" t="s">
        <v>15</v>
      </c>
      <c r="I858" s="118" t="s">
        <v>1367</v>
      </c>
      <c r="J858" s="118" t="s">
        <v>2270</v>
      </c>
      <c r="K858" s="118" t="s">
        <v>1232</v>
      </c>
      <c r="L858" s="118" t="s">
        <v>1232</v>
      </c>
      <c r="M858" s="125" t="s">
        <v>714</v>
      </c>
      <c r="N858" s="160">
        <v>28179.599999999999</v>
      </c>
      <c r="O858" s="125" t="s">
        <v>832</v>
      </c>
      <c r="P858" s="172"/>
      <c r="Q858" s="210"/>
    </row>
    <row r="859" spans="1:17" x14ac:dyDescent="0.2">
      <c r="A859" s="155" t="s">
        <v>53</v>
      </c>
      <c r="B859" s="122">
        <v>2006969</v>
      </c>
      <c r="C859" s="122">
        <v>14842</v>
      </c>
      <c r="D859" s="122" t="s">
        <v>757</v>
      </c>
      <c r="E859" s="123">
        <v>64</v>
      </c>
      <c r="F859" s="123" t="str">
        <f>IF(E859&lt;=20,"0-19",
IF(E859&lt;=50,"20-49",
IF(E859&lt;=80,"50-79","80+")))</f>
        <v>50-79</v>
      </c>
      <c r="G859" s="122" t="s">
        <v>60</v>
      </c>
      <c r="H859" s="122" t="s">
        <v>15</v>
      </c>
      <c r="I859" s="122" t="s">
        <v>758</v>
      </c>
      <c r="J859" s="122" t="s">
        <v>2270</v>
      </c>
      <c r="K859" s="123" t="s">
        <v>85</v>
      </c>
      <c r="L859" s="123" t="s">
        <v>85</v>
      </c>
      <c r="M859" s="122" t="s">
        <v>714</v>
      </c>
      <c r="N859" s="157">
        <v>28051.8</v>
      </c>
      <c r="O859" s="122" t="s">
        <v>18</v>
      </c>
      <c r="P859" s="172"/>
      <c r="Q859" s="210"/>
    </row>
    <row r="860" spans="1:17" x14ac:dyDescent="0.2">
      <c r="A860" s="142" t="s">
        <v>1033</v>
      </c>
      <c r="B860" s="125">
        <v>2505080</v>
      </c>
      <c r="C860" s="125">
        <v>100854</v>
      </c>
      <c r="D860" s="125" t="s">
        <v>1676</v>
      </c>
      <c r="E860" s="125">
        <v>69</v>
      </c>
      <c r="F860" s="125" t="str">
        <f>IF(E860&lt;=20,"0-19",
IF(E860&lt;=50,"20-49",
IF(E860&lt;=80,"50-79","80+")))</f>
        <v>50-79</v>
      </c>
      <c r="G860" s="125" t="s">
        <v>60</v>
      </c>
      <c r="H860" s="125" t="s">
        <v>22</v>
      </c>
      <c r="I860" s="119" t="s">
        <v>1677</v>
      </c>
      <c r="J860" s="119" t="s">
        <v>2270</v>
      </c>
      <c r="K860" s="125" t="s">
        <v>1678</v>
      </c>
      <c r="L860" s="125" t="s">
        <v>1549</v>
      </c>
      <c r="M860" s="125" t="s">
        <v>714</v>
      </c>
      <c r="N860" s="126">
        <v>65800</v>
      </c>
      <c r="O860" s="126" t="s">
        <v>2254</v>
      </c>
      <c r="P860" s="146">
        <v>254726869962</v>
      </c>
      <c r="Q860" s="210"/>
    </row>
    <row r="861" spans="1:17" x14ac:dyDescent="0.2">
      <c r="A861" s="155" t="s">
        <v>856</v>
      </c>
      <c r="B861" s="118">
        <v>2018734</v>
      </c>
      <c r="C861" s="125">
        <v>64401</v>
      </c>
      <c r="D861" s="118" t="s">
        <v>1343</v>
      </c>
      <c r="E861" s="118">
        <v>61</v>
      </c>
      <c r="F861" s="118" t="str">
        <f>IF(E861&lt;=20,"0-19",
IF(E861&lt;=50,"20-49",
IF(E861&lt;=80,"50-79","80+")))</f>
        <v>50-79</v>
      </c>
      <c r="G861" s="118" t="s">
        <v>60</v>
      </c>
      <c r="H861" s="118" t="s">
        <v>22</v>
      </c>
      <c r="I861" s="118" t="s">
        <v>1344</v>
      </c>
      <c r="J861" s="118" t="s">
        <v>2270</v>
      </c>
      <c r="K861" s="118" t="s">
        <v>1260</v>
      </c>
      <c r="L861" s="118" t="s">
        <v>1260</v>
      </c>
      <c r="M861" s="125" t="s">
        <v>714</v>
      </c>
      <c r="N861" s="160">
        <v>90000</v>
      </c>
      <c r="O861" s="125" t="s">
        <v>832</v>
      </c>
      <c r="P861" s="173"/>
      <c r="Q861" s="210"/>
    </row>
    <row r="862" spans="1:17" x14ac:dyDescent="0.2">
      <c r="A862" s="143" t="s">
        <v>53</v>
      </c>
      <c r="B862" s="122">
        <v>2004365</v>
      </c>
      <c r="C862" s="122">
        <v>11679</v>
      </c>
      <c r="D862" s="122" t="s">
        <v>1679</v>
      </c>
      <c r="E862" s="122">
        <v>67</v>
      </c>
      <c r="F862" s="122" t="str">
        <f>IF(E862&lt;=20,"0-19",
IF(E862&lt;=50,"20-49",
IF(E862&lt;=80,"50-79","80+")))</f>
        <v>50-79</v>
      </c>
      <c r="G862" s="122" t="s">
        <v>60</v>
      </c>
      <c r="H862" s="122" t="s">
        <v>22</v>
      </c>
      <c r="I862" s="123" t="s">
        <v>1680</v>
      </c>
      <c r="J862" s="123" t="s">
        <v>2270</v>
      </c>
      <c r="K862" s="122" t="s">
        <v>1551</v>
      </c>
      <c r="L862" s="122" t="s">
        <v>1551</v>
      </c>
      <c r="M862" s="122" t="s">
        <v>714</v>
      </c>
      <c r="N862" s="124">
        <v>70000</v>
      </c>
      <c r="O862" s="124" t="s">
        <v>2254</v>
      </c>
      <c r="P862" s="147">
        <v>254727416341</v>
      </c>
      <c r="Q862" s="210"/>
    </row>
    <row r="863" spans="1:17" x14ac:dyDescent="0.2">
      <c r="A863" s="155" t="s">
        <v>38</v>
      </c>
      <c r="B863" s="125">
        <v>2002006</v>
      </c>
      <c r="C863" s="125">
        <v>14768</v>
      </c>
      <c r="D863" s="125" t="s">
        <v>735</v>
      </c>
      <c r="E863" s="125">
        <v>68</v>
      </c>
      <c r="F863" s="125" t="str">
        <f>IF(E863&lt;=20,"0-19",
IF(E863&lt;=50,"20-49",
IF(E863&lt;=80,"50-79","80+")))</f>
        <v>50-79</v>
      </c>
      <c r="G863" s="125" t="s">
        <v>60</v>
      </c>
      <c r="H863" s="125" t="s">
        <v>22</v>
      </c>
      <c r="I863" s="119" t="s">
        <v>1298</v>
      </c>
      <c r="J863" s="119" t="s">
        <v>2270</v>
      </c>
      <c r="K863" s="119" t="s">
        <v>1242</v>
      </c>
      <c r="L863" s="119" t="s">
        <v>1242</v>
      </c>
      <c r="M863" s="125" t="s">
        <v>714</v>
      </c>
      <c r="N863" s="162">
        <v>131319</v>
      </c>
      <c r="O863" s="125" t="s">
        <v>832</v>
      </c>
      <c r="P863" s="173"/>
      <c r="Q863" s="210"/>
    </row>
    <row r="864" spans="1:17" x14ac:dyDescent="0.2">
      <c r="A864" s="155" t="s">
        <v>373</v>
      </c>
      <c r="B864" s="125">
        <v>2001653</v>
      </c>
      <c r="C864" s="125">
        <v>14695</v>
      </c>
      <c r="D864" s="125" t="s">
        <v>1184</v>
      </c>
      <c r="E864" s="125">
        <v>74</v>
      </c>
      <c r="F864" s="125" t="str">
        <f>IF(E864&lt;=20,"0-19",
IF(E864&lt;=50,"20-49",
IF(E864&lt;=80,"50-79","80+")))</f>
        <v>50-79</v>
      </c>
      <c r="G864" s="125" t="s">
        <v>60</v>
      </c>
      <c r="H864" s="125" t="s">
        <v>22</v>
      </c>
      <c r="I864" s="119" t="s">
        <v>445</v>
      </c>
      <c r="J864" s="119" t="s">
        <v>2270</v>
      </c>
      <c r="K864" s="119" t="s">
        <v>834</v>
      </c>
      <c r="L864" s="125" t="s">
        <v>834</v>
      </c>
      <c r="M864" s="125" t="s">
        <v>714</v>
      </c>
      <c r="N864" s="162">
        <v>114997.64</v>
      </c>
      <c r="O864" s="125" t="s">
        <v>832</v>
      </c>
      <c r="P864" s="173"/>
      <c r="Q864" s="210"/>
    </row>
    <row r="865" spans="1:17" x14ac:dyDescent="0.2">
      <c r="A865" s="155" t="s">
        <v>1237</v>
      </c>
      <c r="B865" s="125">
        <v>2410079</v>
      </c>
      <c r="C865" s="125">
        <v>53742</v>
      </c>
      <c r="D865" s="125" t="s">
        <v>721</v>
      </c>
      <c r="E865" s="125">
        <v>64</v>
      </c>
      <c r="F865" s="125" t="str">
        <f>IF(E865&lt;=20,"0-19",
IF(E865&lt;=50,"20-49",
IF(E865&lt;=80,"50-79","80+")))</f>
        <v>50-79</v>
      </c>
      <c r="G865" s="125" t="s">
        <v>60</v>
      </c>
      <c r="H865" s="125" t="s">
        <v>22</v>
      </c>
      <c r="I865" s="119" t="s">
        <v>445</v>
      </c>
      <c r="J865" s="92" t="s">
        <v>2270</v>
      </c>
      <c r="K865" s="119" t="s">
        <v>834</v>
      </c>
      <c r="L865" s="125" t="s">
        <v>834</v>
      </c>
      <c r="M865" s="125" t="s">
        <v>714</v>
      </c>
      <c r="N865" s="162">
        <v>48162.92</v>
      </c>
      <c r="O865" s="125" t="s">
        <v>832</v>
      </c>
      <c r="P865" s="173"/>
      <c r="Q865" s="210"/>
    </row>
    <row r="866" spans="1:17" x14ac:dyDescent="0.2">
      <c r="A866" s="155" t="s">
        <v>726</v>
      </c>
      <c r="B866" s="125">
        <v>2018773</v>
      </c>
      <c r="C866" s="125">
        <v>21046</v>
      </c>
      <c r="D866" s="125" t="s">
        <v>1197</v>
      </c>
      <c r="E866" s="125">
        <v>58</v>
      </c>
      <c r="F866" s="125" t="str">
        <f>IF(E866&lt;=20,"0-19",
IF(E866&lt;=50,"20-49",
IF(E866&lt;=80,"50-79","80+")))</f>
        <v>50-79</v>
      </c>
      <c r="G866" s="125" t="s">
        <v>126</v>
      </c>
      <c r="H866" s="125" t="s">
        <v>22</v>
      </c>
      <c r="I866" s="119" t="s">
        <v>445</v>
      </c>
      <c r="J866" s="92" t="s">
        <v>2270</v>
      </c>
      <c r="K866" s="119" t="s">
        <v>831</v>
      </c>
      <c r="L866" s="125" t="s">
        <v>831</v>
      </c>
      <c r="M866" s="125" t="s">
        <v>714</v>
      </c>
      <c r="N866" s="162">
        <v>63416</v>
      </c>
      <c r="O866" s="125" t="s">
        <v>832</v>
      </c>
      <c r="P866" s="173"/>
      <c r="Q866" s="210"/>
    </row>
    <row r="867" spans="1:17" x14ac:dyDescent="0.2">
      <c r="A867" s="142" t="s">
        <v>726</v>
      </c>
      <c r="B867" s="125">
        <v>2010446</v>
      </c>
      <c r="C867" s="125">
        <v>100598</v>
      </c>
      <c r="D867" s="125" t="s">
        <v>1611</v>
      </c>
      <c r="E867" s="125">
        <v>69</v>
      </c>
      <c r="F867" s="125" t="str">
        <f>IF(E867&lt;=20,"0-19",
IF(E867&lt;=50,"20-49",
IF(E867&lt;=80,"50-79","80+")))</f>
        <v>50-79</v>
      </c>
      <c r="G867" s="125" t="s">
        <v>60</v>
      </c>
      <c r="H867" s="125" t="s">
        <v>22</v>
      </c>
      <c r="I867" s="119" t="s">
        <v>445</v>
      </c>
      <c r="J867" s="92" t="s">
        <v>2270</v>
      </c>
      <c r="K867" s="125" t="s">
        <v>1549</v>
      </c>
      <c r="L867" s="125" t="s">
        <v>1549</v>
      </c>
      <c r="M867" s="125" t="s">
        <v>714</v>
      </c>
      <c r="N867" s="126">
        <v>31133</v>
      </c>
      <c r="O867" s="126" t="s">
        <v>2254</v>
      </c>
      <c r="P867" s="146">
        <v>254722341101</v>
      </c>
      <c r="Q867" s="210"/>
    </row>
    <row r="868" spans="1:17" x14ac:dyDescent="0.2">
      <c r="A868" s="143" t="s">
        <v>72</v>
      </c>
      <c r="B868" s="197">
        <v>2001028</v>
      </c>
      <c r="C868" s="197">
        <v>18492</v>
      </c>
      <c r="D868" s="198" t="s">
        <v>767</v>
      </c>
      <c r="E868" s="197">
        <v>64</v>
      </c>
      <c r="F868" s="197" t="str">
        <f>IF(E868&lt;=20,"0-19",
IF(E868&lt;=50,"20-49",
IF(E868&lt;=80,"50-79","80+")))</f>
        <v>50-79</v>
      </c>
      <c r="G868" s="197" t="s">
        <v>60</v>
      </c>
      <c r="H868" s="197" t="s">
        <v>22</v>
      </c>
      <c r="I868" s="198" t="s">
        <v>445</v>
      </c>
      <c r="J868" s="114" t="s">
        <v>2270</v>
      </c>
      <c r="K868" s="198" t="s">
        <v>25</v>
      </c>
      <c r="L868" s="197" t="s">
        <v>25</v>
      </c>
      <c r="M868" s="198" t="s">
        <v>714</v>
      </c>
      <c r="N868" s="202">
        <v>68283</v>
      </c>
      <c r="O868" s="122" t="s">
        <v>18</v>
      </c>
      <c r="P868" s="172"/>
      <c r="Q868" s="210"/>
    </row>
    <row r="869" spans="1:17" ht="21" x14ac:dyDescent="0.2">
      <c r="A869" s="155" t="s">
        <v>86</v>
      </c>
      <c r="B869" s="197">
        <v>2022237</v>
      </c>
      <c r="C869" s="197">
        <v>56585</v>
      </c>
      <c r="D869" s="198" t="s">
        <v>715</v>
      </c>
      <c r="E869" s="197">
        <v>62</v>
      </c>
      <c r="F869" s="197" t="str">
        <f>IF(E869&lt;=20,"0-19",
IF(E869&lt;=50,"20-49",
IF(E869&lt;=80,"50-79","80+")))</f>
        <v>50-79</v>
      </c>
      <c r="G869" s="197" t="s">
        <v>126</v>
      </c>
      <c r="H869" s="197" t="s">
        <v>22</v>
      </c>
      <c r="I869" s="198" t="s">
        <v>445</v>
      </c>
      <c r="J869" s="114" t="s">
        <v>2270</v>
      </c>
      <c r="K869" s="198" t="s">
        <v>25</v>
      </c>
      <c r="L869" s="197" t="s">
        <v>25</v>
      </c>
      <c r="M869" s="198" t="s">
        <v>714</v>
      </c>
      <c r="N869" s="202">
        <v>77419.8</v>
      </c>
      <c r="O869" s="125" t="s">
        <v>18</v>
      </c>
      <c r="P869" s="173"/>
      <c r="Q869" s="210"/>
    </row>
    <row r="870" spans="1:17" ht="21" x14ac:dyDescent="0.2">
      <c r="A870" s="155" t="s">
        <v>63</v>
      </c>
      <c r="B870" s="197">
        <v>2001843</v>
      </c>
      <c r="C870" s="197">
        <v>14127</v>
      </c>
      <c r="D870" s="198" t="s">
        <v>761</v>
      </c>
      <c r="E870" s="197">
        <v>66</v>
      </c>
      <c r="F870" s="197" t="str">
        <f>IF(E870&lt;=20,"0-19",
IF(E870&lt;=50,"20-49",
IF(E870&lt;=80,"50-79","80+")))</f>
        <v>50-79</v>
      </c>
      <c r="G870" s="197" t="s">
        <v>60</v>
      </c>
      <c r="H870" s="197" t="s">
        <v>22</v>
      </c>
      <c r="I870" s="198" t="s">
        <v>445</v>
      </c>
      <c r="J870" s="114" t="s">
        <v>2270</v>
      </c>
      <c r="K870" s="198" t="s">
        <v>762</v>
      </c>
      <c r="L870" s="197" t="s">
        <v>57</v>
      </c>
      <c r="M870" s="198" t="s">
        <v>714</v>
      </c>
      <c r="N870" s="202">
        <v>89210</v>
      </c>
      <c r="O870" s="125" t="s">
        <v>18</v>
      </c>
      <c r="P870" s="173"/>
      <c r="Q870" s="210"/>
    </row>
    <row r="871" spans="1:17" x14ac:dyDescent="0.2">
      <c r="A871" s="155" t="s">
        <v>53</v>
      </c>
      <c r="B871" s="125">
        <v>2015348</v>
      </c>
      <c r="C871" s="125">
        <v>103549</v>
      </c>
      <c r="D871" s="125" t="s">
        <v>1196</v>
      </c>
      <c r="E871" s="125">
        <v>64</v>
      </c>
      <c r="F871" s="125" t="str">
        <f>IF(E871&lt;=20,"0-19",
IF(E871&lt;=50,"20-49",
IF(E871&lt;=80,"50-79","80+")))</f>
        <v>50-79</v>
      </c>
      <c r="G871" s="125" t="s">
        <v>60</v>
      </c>
      <c r="H871" s="125" t="s">
        <v>22</v>
      </c>
      <c r="I871" s="119" t="s">
        <v>445</v>
      </c>
      <c r="J871" s="92" t="s">
        <v>2270</v>
      </c>
      <c r="K871" s="119" t="s">
        <v>901</v>
      </c>
      <c r="L871" s="125" t="s">
        <v>901</v>
      </c>
      <c r="M871" s="125" t="s">
        <v>714</v>
      </c>
      <c r="N871" s="162">
        <v>45308.23</v>
      </c>
      <c r="O871" s="125" t="s">
        <v>832</v>
      </c>
      <c r="P871" s="173"/>
      <c r="Q871" s="210"/>
    </row>
    <row r="872" spans="1:17" x14ac:dyDescent="0.2">
      <c r="A872" s="155" t="s">
        <v>373</v>
      </c>
      <c r="B872" s="125">
        <v>2019637</v>
      </c>
      <c r="C872" s="125">
        <v>10170</v>
      </c>
      <c r="D872" s="125" t="s">
        <v>774</v>
      </c>
      <c r="E872" s="125">
        <v>64</v>
      </c>
      <c r="F872" s="125" t="str">
        <f>IF(E872&lt;=20,"0-19",
IF(E872&lt;=50,"20-49",
IF(E872&lt;=80,"50-79","80+")))</f>
        <v>50-79</v>
      </c>
      <c r="G872" s="125" t="s">
        <v>60</v>
      </c>
      <c r="H872" s="125" t="s">
        <v>22</v>
      </c>
      <c r="I872" s="119" t="s">
        <v>737</v>
      </c>
      <c r="J872" s="92" t="s">
        <v>2270</v>
      </c>
      <c r="K872" s="119" t="s">
        <v>851</v>
      </c>
      <c r="L872" s="125" t="s">
        <v>851</v>
      </c>
      <c r="M872" s="125" t="s">
        <v>714</v>
      </c>
      <c r="N872" s="162">
        <v>6900</v>
      </c>
      <c r="O872" s="125" t="s">
        <v>832</v>
      </c>
      <c r="P872" s="173"/>
      <c r="Q872" s="210"/>
    </row>
    <row r="873" spans="1:17" x14ac:dyDescent="0.2">
      <c r="A873" s="155" t="s">
        <v>847</v>
      </c>
      <c r="B873" s="125">
        <v>2002401</v>
      </c>
      <c r="C873" s="125">
        <v>15577</v>
      </c>
      <c r="D873" s="125" t="s">
        <v>1186</v>
      </c>
      <c r="E873" s="125">
        <v>66</v>
      </c>
      <c r="F873" s="125" t="str">
        <f>IF(E873&lt;=20,"0-19",
IF(E873&lt;=50,"20-49",
IF(E873&lt;=80,"50-79","80+")))</f>
        <v>50-79</v>
      </c>
      <c r="G873" s="125" t="s">
        <v>60</v>
      </c>
      <c r="H873" s="125" t="s">
        <v>22</v>
      </c>
      <c r="I873" s="119" t="s">
        <v>445</v>
      </c>
      <c r="J873" s="92" t="s">
        <v>2270</v>
      </c>
      <c r="K873" s="119" t="s">
        <v>851</v>
      </c>
      <c r="L873" s="125" t="s">
        <v>851</v>
      </c>
      <c r="M873" s="125" t="s">
        <v>714</v>
      </c>
      <c r="N873" s="162">
        <v>119774</v>
      </c>
      <c r="O873" s="125" t="s">
        <v>832</v>
      </c>
      <c r="P873" s="172"/>
      <c r="Q873" s="210"/>
    </row>
    <row r="874" spans="1:17" x14ac:dyDescent="0.2">
      <c r="A874" s="143" t="s">
        <v>19</v>
      </c>
      <c r="B874" s="122">
        <v>2001971</v>
      </c>
      <c r="C874" s="122">
        <v>12324</v>
      </c>
      <c r="D874" s="122" t="s">
        <v>20</v>
      </c>
      <c r="E874" s="122">
        <v>65</v>
      </c>
      <c r="F874" s="122" t="str">
        <f>IF(E874&lt;=20,"0-19",
IF(E874&lt;=50,"20-49",
IF(E874&lt;=80,"50-79","80+")))</f>
        <v>50-79</v>
      </c>
      <c r="G874" s="122" t="s">
        <v>60</v>
      </c>
      <c r="H874" s="122" t="s">
        <v>22</v>
      </c>
      <c r="I874" s="123" t="s">
        <v>737</v>
      </c>
      <c r="J874" s="86" t="s">
        <v>2270</v>
      </c>
      <c r="K874" s="122" t="s">
        <v>1543</v>
      </c>
      <c r="L874" s="122" t="s">
        <v>1543</v>
      </c>
      <c r="M874" s="122" t="s">
        <v>714</v>
      </c>
      <c r="N874" s="124">
        <v>96439</v>
      </c>
      <c r="O874" s="124" t="s">
        <v>2254</v>
      </c>
      <c r="P874" s="147">
        <v>254726350459</v>
      </c>
      <c r="Q874" s="210"/>
    </row>
    <row r="875" spans="1:17" x14ac:dyDescent="0.2">
      <c r="A875" s="143" t="s">
        <v>274</v>
      </c>
      <c r="B875" s="122">
        <v>2003970</v>
      </c>
      <c r="C875" s="122">
        <v>20764</v>
      </c>
      <c r="D875" s="122" t="s">
        <v>1612</v>
      </c>
      <c r="E875" s="122">
        <v>68</v>
      </c>
      <c r="F875" s="122" t="str">
        <f>IF(E875&lt;=20,"0-19",
IF(E875&lt;=50,"20-49",
IF(E875&lt;=80,"50-79","80+")))</f>
        <v>50-79</v>
      </c>
      <c r="G875" s="122" t="s">
        <v>60</v>
      </c>
      <c r="H875" s="122" t="s">
        <v>22</v>
      </c>
      <c r="I875" s="123" t="s">
        <v>445</v>
      </c>
      <c r="J875" s="86" t="s">
        <v>2270</v>
      </c>
      <c r="K875" s="122" t="s">
        <v>1543</v>
      </c>
      <c r="L875" s="122" t="s">
        <v>1543</v>
      </c>
      <c r="M875" s="122" t="s">
        <v>714</v>
      </c>
      <c r="N875" s="124">
        <v>31893</v>
      </c>
      <c r="O875" s="124" t="s">
        <v>2254</v>
      </c>
      <c r="P875" s="147">
        <v>254722341101</v>
      </c>
      <c r="Q875" s="210"/>
    </row>
    <row r="876" spans="1:17" x14ac:dyDescent="0.2">
      <c r="A876" s="155" t="s">
        <v>38</v>
      </c>
      <c r="B876" s="197">
        <v>2003647</v>
      </c>
      <c r="C876" s="197">
        <v>14902</v>
      </c>
      <c r="D876" s="198" t="s">
        <v>736</v>
      </c>
      <c r="E876" s="197">
        <v>65</v>
      </c>
      <c r="F876" s="197" t="str">
        <f>IF(E876&lt;=20,"0-19",
IF(E876&lt;=50,"20-49",
IF(E876&lt;=80,"50-79","80+")))</f>
        <v>50-79</v>
      </c>
      <c r="G876" s="197" t="s">
        <v>60</v>
      </c>
      <c r="H876" s="197" t="s">
        <v>22</v>
      </c>
      <c r="I876" s="198" t="s">
        <v>737</v>
      </c>
      <c r="J876" s="114" t="s">
        <v>2270</v>
      </c>
      <c r="K876" s="198" t="s">
        <v>36</v>
      </c>
      <c r="L876" s="197" t="s">
        <v>36</v>
      </c>
      <c r="M876" s="198" t="s">
        <v>714</v>
      </c>
      <c r="N876" s="202">
        <v>90856</v>
      </c>
      <c r="O876" s="125" t="s">
        <v>18</v>
      </c>
      <c r="P876" s="173"/>
      <c r="Q876" s="210"/>
    </row>
    <row r="877" spans="1:17" x14ac:dyDescent="0.2">
      <c r="A877" s="142" t="s">
        <v>1690</v>
      </c>
      <c r="B877" s="125">
        <v>2022237</v>
      </c>
      <c r="C877" s="125">
        <v>56585</v>
      </c>
      <c r="D877" s="125" t="s">
        <v>1205</v>
      </c>
      <c r="E877" s="125">
        <v>62</v>
      </c>
      <c r="F877" s="125" t="str">
        <f>IF(E877&lt;=20,"0-19",
IF(E877&lt;=50,"20-49",
IF(E877&lt;=80,"50-79","80+")))</f>
        <v>50-79</v>
      </c>
      <c r="G877" s="125" t="s">
        <v>60</v>
      </c>
      <c r="H877" s="125" t="s">
        <v>22</v>
      </c>
      <c r="I877" s="119" t="s">
        <v>737</v>
      </c>
      <c r="J877" s="92" t="s">
        <v>2270</v>
      </c>
      <c r="K877" s="125" t="s">
        <v>1567</v>
      </c>
      <c r="L877" s="125" t="s">
        <v>1567</v>
      </c>
      <c r="M877" s="125" t="s">
        <v>714</v>
      </c>
      <c r="N877" s="126">
        <v>102862</v>
      </c>
      <c r="O877" s="126" t="s">
        <v>2254</v>
      </c>
      <c r="P877" s="146">
        <v>254720223134</v>
      </c>
      <c r="Q877" s="210"/>
    </row>
    <row r="878" spans="1:17" x14ac:dyDescent="0.2">
      <c r="A878" s="156" t="s">
        <v>309</v>
      </c>
      <c r="B878" s="197">
        <v>2410079</v>
      </c>
      <c r="C878" s="197">
        <v>53742</v>
      </c>
      <c r="D878" s="198" t="s">
        <v>721</v>
      </c>
      <c r="E878" s="197">
        <v>64</v>
      </c>
      <c r="F878" s="197" t="str">
        <f>IF(E878&lt;=20,"0-19",
IF(E878&lt;=50,"20-49",
IF(E878&lt;=80,"50-79","80+")))</f>
        <v>50-79</v>
      </c>
      <c r="G878" s="197" t="s">
        <v>60</v>
      </c>
      <c r="H878" s="197" t="s">
        <v>22</v>
      </c>
      <c r="I878" s="198" t="s">
        <v>445</v>
      </c>
      <c r="J878" s="114" t="s">
        <v>2270</v>
      </c>
      <c r="K878" s="198" t="s">
        <v>37</v>
      </c>
      <c r="L878" s="197" t="s">
        <v>37</v>
      </c>
      <c r="M878" s="198" t="s">
        <v>714</v>
      </c>
      <c r="N878" s="202">
        <v>81382.73</v>
      </c>
      <c r="O878" s="125" t="s">
        <v>18</v>
      </c>
      <c r="P878" s="173"/>
      <c r="Q878" s="210"/>
    </row>
    <row r="879" spans="1:17" ht="21" x14ac:dyDescent="0.2">
      <c r="A879" s="144" t="s">
        <v>75</v>
      </c>
      <c r="B879" s="197">
        <v>2003295</v>
      </c>
      <c r="C879" s="197">
        <v>101391</v>
      </c>
      <c r="D879" s="198" t="s">
        <v>806</v>
      </c>
      <c r="E879" s="197">
        <v>59</v>
      </c>
      <c r="F879" s="197" t="str">
        <f>IF(E879&lt;=20,"0-19",
IF(E879&lt;=50,"20-49",
IF(E879&lt;=80,"50-79","80+")))</f>
        <v>50-79</v>
      </c>
      <c r="G879" s="197" t="s">
        <v>60</v>
      </c>
      <c r="H879" s="197" t="s">
        <v>22</v>
      </c>
      <c r="I879" s="198" t="s">
        <v>445</v>
      </c>
      <c r="J879" s="114" t="s">
        <v>2270</v>
      </c>
      <c r="K879" s="198" t="s">
        <v>807</v>
      </c>
      <c r="L879" s="197" t="s">
        <v>37</v>
      </c>
      <c r="M879" s="198" t="s">
        <v>714</v>
      </c>
      <c r="N879" s="202">
        <v>68901</v>
      </c>
      <c r="O879" s="122" t="s">
        <v>18</v>
      </c>
      <c r="P879" s="172"/>
      <c r="Q879" s="210"/>
    </row>
    <row r="880" spans="1:17" x14ac:dyDescent="0.2">
      <c r="A880" s="143" t="s">
        <v>72</v>
      </c>
      <c r="B880" s="122">
        <v>2503065</v>
      </c>
      <c r="C880" s="122">
        <v>59127</v>
      </c>
      <c r="D880" s="122" t="s">
        <v>1746</v>
      </c>
      <c r="E880" s="122">
        <v>59</v>
      </c>
      <c r="F880" s="122" t="str">
        <f>IF(E880&lt;=20,"0-19",
IF(E880&lt;=50,"20-49",
IF(E880&lt;=80,"50-79","80+")))</f>
        <v>50-79</v>
      </c>
      <c r="G880" s="122" t="s">
        <v>60</v>
      </c>
      <c r="H880" s="122" t="s">
        <v>22</v>
      </c>
      <c r="I880" s="123" t="s">
        <v>737</v>
      </c>
      <c r="J880" s="86" t="s">
        <v>2270</v>
      </c>
      <c r="K880" s="122" t="s">
        <v>1551</v>
      </c>
      <c r="L880" s="122" t="s">
        <v>1551</v>
      </c>
      <c r="M880" s="122" t="s">
        <v>714</v>
      </c>
      <c r="N880" s="124">
        <v>137313</v>
      </c>
      <c r="O880" s="124" t="s">
        <v>2254</v>
      </c>
      <c r="P880" s="147">
        <v>254724779335</v>
      </c>
      <c r="Q880" s="210"/>
    </row>
    <row r="881" spans="1:17" x14ac:dyDescent="0.2">
      <c r="A881" s="155" t="s">
        <v>726</v>
      </c>
      <c r="B881" s="122">
        <v>2018773</v>
      </c>
      <c r="C881" s="122">
        <v>21046</v>
      </c>
      <c r="D881" s="122" t="s">
        <v>731</v>
      </c>
      <c r="E881" s="123">
        <v>58</v>
      </c>
      <c r="F881" s="123" t="str">
        <f>IF(E881&lt;=20,"0-19",
IF(E881&lt;=50,"20-49",
IF(E881&lt;=80,"50-79","80+")))</f>
        <v>50-79</v>
      </c>
      <c r="G881" s="122" t="s">
        <v>60</v>
      </c>
      <c r="H881" s="122" t="s">
        <v>22</v>
      </c>
      <c r="I881" s="122" t="s">
        <v>445</v>
      </c>
      <c r="J881" s="87" t="s">
        <v>2270</v>
      </c>
      <c r="K881" s="123" t="s">
        <v>79</v>
      </c>
      <c r="L881" s="123" t="s">
        <v>79</v>
      </c>
      <c r="M881" s="122" t="s">
        <v>714</v>
      </c>
      <c r="N881" s="157">
        <v>52177</v>
      </c>
      <c r="O881" s="122" t="s">
        <v>18</v>
      </c>
      <c r="P881" s="172"/>
      <c r="Q881" s="210"/>
    </row>
    <row r="882" spans="1:17" x14ac:dyDescent="0.2">
      <c r="A882" s="155" t="s">
        <v>373</v>
      </c>
      <c r="B882" s="125">
        <v>2000181</v>
      </c>
      <c r="C882" s="125">
        <v>18032</v>
      </c>
      <c r="D882" s="125" t="s">
        <v>769</v>
      </c>
      <c r="E882" s="125">
        <v>69</v>
      </c>
      <c r="F882" s="125" t="str">
        <f>IF(E882&lt;=20,"0-19",
IF(E882&lt;=50,"20-49",
IF(E882&lt;=80,"50-79","80+")))</f>
        <v>50-79</v>
      </c>
      <c r="G882" s="125" t="s">
        <v>60</v>
      </c>
      <c r="H882" s="125" t="s">
        <v>22</v>
      </c>
      <c r="I882" s="125" t="s">
        <v>445</v>
      </c>
      <c r="J882" s="82" t="s">
        <v>2270</v>
      </c>
      <c r="K882" s="125" t="s">
        <v>1470</v>
      </c>
      <c r="L882" s="125" t="s">
        <v>1236</v>
      </c>
      <c r="M882" s="125" t="s">
        <v>714</v>
      </c>
      <c r="N882" s="162">
        <v>68133</v>
      </c>
      <c r="O882" s="125" t="s">
        <v>832</v>
      </c>
      <c r="P882" s="172"/>
      <c r="Q882" s="210"/>
    </row>
    <row r="883" spans="1:17" x14ac:dyDescent="0.2">
      <c r="A883" s="155" t="s">
        <v>19</v>
      </c>
      <c r="B883" s="125">
        <v>2001971</v>
      </c>
      <c r="C883" s="125">
        <v>12324</v>
      </c>
      <c r="D883" s="125" t="s">
        <v>20</v>
      </c>
      <c r="E883" s="125">
        <v>65</v>
      </c>
      <c r="F883" s="125" t="str">
        <f>IF(E883&lt;=20,"0-19",
IF(E883&lt;=50,"20-49",
IF(E883&lt;=80,"50-79","80+")))</f>
        <v>50-79</v>
      </c>
      <c r="G883" s="125" t="s">
        <v>60</v>
      </c>
      <c r="H883" s="125" t="s">
        <v>22</v>
      </c>
      <c r="I883" s="119" t="s">
        <v>445</v>
      </c>
      <c r="J883" s="92" t="s">
        <v>2270</v>
      </c>
      <c r="K883" s="119" t="s">
        <v>1238</v>
      </c>
      <c r="L883" s="119" t="s">
        <v>1238</v>
      </c>
      <c r="M883" s="125" t="s">
        <v>714</v>
      </c>
      <c r="N883" s="162">
        <v>128079.9</v>
      </c>
      <c r="O883" s="125" t="s">
        <v>832</v>
      </c>
      <c r="P883" s="172"/>
      <c r="Q883" s="210"/>
    </row>
    <row r="884" spans="1:17" x14ac:dyDescent="0.2">
      <c r="A884" s="155" t="s">
        <v>1503</v>
      </c>
      <c r="B884" s="125">
        <v>20160001</v>
      </c>
      <c r="C884" s="125">
        <v>14119</v>
      </c>
      <c r="D884" s="125" t="s">
        <v>1527</v>
      </c>
      <c r="E884" s="125">
        <v>64</v>
      </c>
      <c r="F884" s="125" t="str">
        <f>IF(E884&lt;=20,"0-19",
IF(E884&lt;=50,"20-49",
IF(E884&lt;=80,"50-79","80+")))</f>
        <v>50-79</v>
      </c>
      <c r="G884" s="125" t="s">
        <v>60</v>
      </c>
      <c r="H884" s="125" t="s">
        <v>22</v>
      </c>
      <c r="I884" s="119" t="s">
        <v>445</v>
      </c>
      <c r="J884" s="92" t="s">
        <v>2270</v>
      </c>
      <c r="K884" s="119" t="s">
        <v>1238</v>
      </c>
      <c r="L884" s="119" t="s">
        <v>1238</v>
      </c>
      <c r="M884" s="125" t="s">
        <v>714</v>
      </c>
      <c r="N884" s="162">
        <v>130692</v>
      </c>
      <c r="O884" s="125" t="s">
        <v>832</v>
      </c>
      <c r="P884" s="173"/>
      <c r="Q884" s="210"/>
    </row>
    <row r="885" spans="1:17" ht="21" x14ac:dyDescent="0.2">
      <c r="A885" s="143" t="s">
        <v>373</v>
      </c>
      <c r="B885" s="122">
        <v>2000181</v>
      </c>
      <c r="C885" s="122">
        <v>18032</v>
      </c>
      <c r="D885" s="122" t="s">
        <v>769</v>
      </c>
      <c r="E885" s="122">
        <v>67</v>
      </c>
      <c r="F885" s="122" t="str">
        <f>IF(E885&lt;=20,"0-19",
IF(E885&lt;=50,"20-49",
IF(E885&lt;=80,"50-79","80+")))</f>
        <v>50-79</v>
      </c>
      <c r="G885" s="122" t="s">
        <v>60</v>
      </c>
      <c r="H885" s="122" t="s">
        <v>22</v>
      </c>
      <c r="I885" s="122" t="s">
        <v>737</v>
      </c>
      <c r="J885" s="87" t="s">
        <v>2270</v>
      </c>
      <c r="K885" s="123" t="s">
        <v>2006</v>
      </c>
      <c r="L885" s="122" t="s">
        <v>1895</v>
      </c>
      <c r="M885" s="122" t="s">
        <v>714</v>
      </c>
      <c r="N885" s="124">
        <v>45841.2</v>
      </c>
      <c r="O885" s="124" t="s">
        <v>2254</v>
      </c>
      <c r="P885" s="147">
        <v>254723227442</v>
      </c>
      <c r="Q885" s="210"/>
    </row>
    <row r="886" spans="1:17" ht="31.5" x14ac:dyDescent="0.2">
      <c r="A886" s="155" t="s">
        <v>373</v>
      </c>
      <c r="B886" s="125">
        <v>2019637</v>
      </c>
      <c r="C886" s="125">
        <v>10170</v>
      </c>
      <c r="D886" s="125" t="s">
        <v>774</v>
      </c>
      <c r="E886" s="119">
        <v>64</v>
      </c>
      <c r="F886" s="119" t="str">
        <f>IF(E886&lt;=20,"0-19",
IF(E886&lt;=50,"20-49",
IF(E886&lt;=80,"50-79","80+")))</f>
        <v>50-79</v>
      </c>
      <c r="G886" s="125" t="s">
        <v>60</v>
      </c>
      <c r="H886" s="125" t="s">
        <v>22</v>
      </c>
      <c r="I886" s="125" t="s">
        <v>445</v>
      </c>
      <c r="J886" s="82" t="s">
        <v>2270</v>
      </c>
      <c r="K886" s="119" t="s">
        <v>775</v>
      </c>
      <c r="L886" s="119" t="s">
        <v>94</v>
      </c>
      <c r="M886" s="125" t="s">
        <v>714</v>
      </c>
      <c r="N886" s="165">
        <v>72100</v>
      </c>
      <c r="O886" s="125" t="s">
        <v>18</v>
      </c>
      <c r="P886" s="173"/>
      <c r="Q886" s="210"/>
    </row>
    <row r="887" spans="1:17" x14ac:dyDescent="0.2">
      <c r="A887" s="155" t="s">
        <v>38</v>
      </c>
      <c r="B887" s="122">
        <v>2002006</v>
      </c>
      <c r="C887" s="122">
        <v>14768</v>
      </c>
      <c r="D887" s="122" t="s">
        <v>735</v>
      </c>
      <c r="E887" s="123">
        <v>68</v>
      </c>
      <c r="F887" s="123" t="str">
        <f>IF(E887&lt;=20,"0-19",
IF(E887&lt;=50,"20-49",
IF(E887&lt;=80,"50-79","80+")))</f>
        <v>50-79</v>
      </c>
      <c r="G887" s="122" t="s">
        <v>60</v>
      </c>
      <c r="H887" s="122" t="s">
        <v>22</v>
      </c>
      <c r="I887" s="122" t="s">
        <v>445</v>
      </c>
      <c r="J887" s="87" t="s">
        <v>2270</v>
      </c>
      <c r="K887" s="123" t="s">
        <v>94</v>
      </c>
      <c r="L887" s="123" t="s">
        <v>94</v>
      </c>
      <c r="M887" s="122" t="s">
        <v>714</v>
      </c>
      <c r="N887" s="157">
        <v>97857</v>
      </c>
      <c r="O887" s="122" t="s">
        <v>18</v>
      </c>
      <c r="P887" s="172"/>
      <c r="Q887" s="210"/>
    </row>
    <row r="888" spans="1:17" x14ac:dyDescent="0.2">
      <c r="A888" s="155" t="s">
        <v>373</v>
      </c>
      <c r="B888" s="125">
        <v>2002838</v>
      </c>
      <c r="C888" s="125">
        <v>101225</v>
      </c>
      <c r="D888" s="125" t="s">
        <v>771</v>
      </c>
      <c r="E888" s="119">
        <v>69</v>
      </c>
      <c r="F888" s="119" t="str">
        <f>IF(E888&lt;=20,"0-19",
IF(E888&lt;=50,"20-49",
IF(E888&lt;=80,"50-79","80+")))</f>
        <v>50-79</v>
      </c>
      <c r="G888" s="125" t="s">
        <v>60</v>
      </c>
      <c r="H888" s="125" t="s">
        <v>22</v>
      </c>
      <c r="I888" s="125" t="s">
        <v>445</v>
      </c>
      <c r="J888" s="82" t="s">
        <v>2270</v>
      </c>
      <c r="K888" s="119" t="s">
        <v>94</v>
      </c>
      <c r="L888" s="119" t="s">
        <v>94</v>
      </c>
      <c r="M888" s="125" t="s">
        <v>714</v>
      </c>
      <c r="N888" s="165">
        <v>89728</v>
      </c>
      <c r="O888" s="125" t="s">
        <v>18</v>
      </c>
      <c r="P888" s="173"/>
      <c r="Q888" s="210"/>
    </row>
    <row r="889" spans="1:17" x14ac:dyDescent="0.2">
      <c r="A889" s="143" t="s">
        <v>422</v>
      </c>
      <c r="B889" s="122">
        <v>2002424</v>
      </c>
      <c r="C889" s="122">
        <v>11091</v>
      </c>
      <c r="D889" s="122" t="s">
        <v>2163</v>
      </c>
      <c r="E889" s="122">
        <v>69</v>
      </c>
      <c r="F889" s="122" t="str">
        <f>IF(E889&lt;=20,"0-19",
IF(E889&lt;=50,"20-49",
IF(E889&lt;=80,"50-79","80+")))</f>
        <v>50-79</v>
      </c>
      <c r="G889" s="122" t="s">
        <v>2164</v>
      </c>
      <c r="H889" s="122" t="s">
        <v>22</v>
      </c>
      <c r="I889" s="122" t="s">
        <v>737</v>
      </c>
      <c r="J889" s="87" t="s">
        <v>2270</v>
      </c>
      <c r="K889" s="123" t="s">
        <v>1928</v>
      </c>
      <c r="L889" s="122" t="s">
        <v>1928</v>
      </c>
      <c r="M889" s="122" t="s">
        <v>714</v>
      </c>
      <c r="N889" s="124">
        <v>179591</v>
      </c>
      <c r="O889" s="124" t="s">
        <v>2254</v>
      </c>
      <c r="P889" s="147">
        <v>254712372982</v>
      </c>
      <c r="Q889" s="210"/>
    </row>
    <row r="890" spans="1:17" x14ac:dyDescent="0.2">
      <c r="A890" s="155" t="s">
        <v>38</v>
      </c>
      <c r="B890" s="125">
        <v>2003647</v>
      </c>
      <c r="C890" s="125">
        <v>14902</v>
      </c>
      <c r="D890" s="125" t="s">
        <v>736</v>
      </c>
      <c r="E890" s="125">
        <v>66</v>
      </c>
      <c r="F890" s="125" t="str">
        <f>IF(E890&lt;=20,"0-19",
IF(E890&lt;=50,"20-49",
IF(E890&lt;=80,"50-79","80+")))</f>
        <v>50-79</v>
      </c>
      <c r="G890" s="125" t="s">
        <v>60</v>
      </c>
      <c r="H890" s="125" t="s">
        <v>22</v>
      </c>
      <c r="I890" s="125" t="s">
        <v>445</v>
      </c>
      <c r="J890" s="82" t="s">
        <v>2270</v>
      </c>
      <c r="K890" s="125" t="s">
        <v>1231</v>
      </c>
      <c r="L890" s="125" t="s">
        <v>1231</v>
      </c>
      <c r="M890" s="125" t="s">
        <v>714</v>
      </c>
      <c r="N890" s="162">
        <v>57540</v>
      </c>
      <c r="O890" s="125" t="s">
        <v>832</v>
      </c>
      <c r="P890" s="172"/>
      <c r="Q890" s="210"/>
    </row>
    <row r="891" spans="1:17" x14ac:dyDescent="0.2">
      <c r="A891" s="143" t="s">
        <v>53</v>
      </c>
      <c r="B891" s="123">
        <v>2506022</v>
      </c>
      <c r="C891" s="122">
        <v>58697</v>
      </c>
      <c r="D891" s="123" t="s">
        <v>2023</v>
      </c>
      <c r="E891" s="123">
        <v>60</v>
      </c>
      <c r="F891" s="123" t="str">
        <f>IF(E891&lt;=20,"0-19",
IF(E891&lt;=50,"20-49",
IF(E891&lt;=80,"50-79","80+")))</f>
        <v>50-79</v>
      </c>
      <c r="G891" s="123" t="s">
        <v>60</v>
      </c>
      <c r="H891" s="123" t="s">
        <v>22</v>
      </c>
      <c r="I891" s="123" t="s">
        <v>737</v>
      </c>
      <c r="J891" s="86" t="s">
        <v>2270</v>
      </c>
      <c r="K891" s="123" t="s">
        <v>1923</v>
      </c>
      <c r="L891" s="121" t="s">
        <v>1923</v>
      </c>
      <c r="M891" s="122" t="s">
        <v>714</v>
      </c>
      <c r="N891" s="128">
        <v>54000</v>
      </c>
      <c r="O891" s="128" t="s">
        <v>2254</v>
      </c>
      <c r="P891" s="147">
        <v>254728323604</v>
      </c>
      <c r="Q891" s="210"/>
    </row>
    <row r="892" spans="1:17" x14ac:dyDescent="0.2">
      <c r="A892" s="155" t="s">
        <v>1237</v>
      </c>
      <c r="B892" s="125">
        <v>2410079</v>
      </c>
      <c r="C892" s="125">
        <v>53742</v>
      </c>
      <c r="D892" s="125" t="s">
        <v>721</v>
      </c>
      <c r="E892" s="125">
        <v>64</v>
      </c>
      <c r="F892" s="125" t="str">
        <f>IF(E892&lt;=20,"0-19",
IF(E892&lt;=50,"20-49",
IF(E892&lt;=80,"50-79","80+")))</f>
        <v>50-79</v>
      </c>
      <c r="G892" s="125" t="s">
        <v>60</v>
      </c>
      <c r="H892" s="125" t="s">
        <v>22</v>
      </c>
      <c r="I892" s="119" t="s">
        <v>445</v>
      </c>
      <c r="J892" s="92" t="s">
        <v>2270</v>
      </c>
      <c r="K892" s="119" t="s">
        <v>1242</v>
      </c>
      <c r="L892" s="119" t="s">
        <v>1242</v>
      </c>
      <c r="M892" s="125" t="s">
        <v>714</v>
      </c>
      <c r="N892" s="162">
        <v>50512.85</v>
      </c>
      <c r="O892" s="125" t="s">
        <v>832</v>
      </c>
      <c r="P892" s="173"/>
      <c r="Q892" s="210"/>
    </row>
    <row r="893" spans="1:17" x14ac:dyDescent="0.2">
      <c r="A893" s="143" t="s">
        <v>1768</v>
      </c>
      <c r="B893" s="123">
        <v>201102</v>
      </c>
      <c r="C893" s="122">
        <v>636</v>
      </c>
      <c r="D893" s="123" t="s">
        <v>1968</v>
      </c>
      <c r="E893" s="123">
        <v>62</v>
      </c>
      <c r="F893" s="123" t="str">
        <f>IF(E893&lt;=20,"0-19",
IF(E893&lt;=50,"20-49",
IF(E893&lt;=80,"50-79","80+")))</f>
        <v>50-79</v>
      </c>
      <c r="G893" s="121" t="s">
        <v>126</v>
      </c>
      <c r="H893" s="121" t="s">
        <v>22</v>
      </c>
      <c r="I893" s="123" t="s">
        <v>445</v>
      </c>
      <c r="J893" s="86" t="s">
        <v>2270</v>
      </c>
      <c r="K893" s="121" t="s">
        <v>1918</v>
      </c>
      <c r="L893" s="121" t="s">
        <v>1918</v>
      </c>
      <c r="M893" s="122" t="s">
        <v>714</v>
      </c>
      <c r="N893" s="127">
        <v>31290</v>
      </c>
      <c r="O893" s="127" t="s">
        <v>2254</v>
      </c>
      <c r="P893" s="147">
        <v>254721565523</v>
      </c>
      <c r="Q893" s="210"/>
    </row>
    <row r="894" spans="1:17" x14ac:dyDescent="0.2">
      <c r="A894" s="142" t="s">
        <v>72</v>
      </c>
      <c r="B894" s="119">
        <v>2015079</v>
      </c>
      <c r="C894" s="125">
        <v>14150</v>
      </c>
      <c r="D894" s="119" t="s">
        <v>2190</v>
      </c>
      <c r="E894" s="119">
        <v>68</v>
      </c>
      <c r="F894" s="119" t="str">
        <f>IF(E894&lt;=20,"0-19",
IF(E894&lt;=50,"20-49",
IF(E894&lt;=80,"50-79","80+")))</f>
        <v>50-79</v>
      </c>
      <c r="G894" s="118" t="s">
        <v>126</v>
      </c>
      <c r="H894" s="118" t="s">
        <v>22</v>
      </c>
      <c r="I894" s="119" t="s">
        <v>445</v>
      </c>
      <c r="J894" s="92" t="s">
        <v>2270</v>
      </c>
      <c r="K894" s="118" t="s">
        <v>1918</v>
      </c>
      <c r="L894" s="118" t="s">
        <v>1918</v>
      </c>
      <c r="M894" s="125" t="s">
        <v>714</v>
      </c>
      <c r="N894" s="120">
        <v>224296</v>
      </c>
      <c r="O894" s="120" t="s">
        <v>2254</v>
      </c>
      <c r="P894" s="146">
        <v>254722946435</v>
      </c>
      <c r="Q894" s="210"/>
    </row>
    <row r="895" spans="1:17" x14ac:dyDescent="0.2">
      <c r="A895" s="143" t="s">
        <v>373</v>
      </c>
      <c r="B895" s="123">
        <v>2002838</v>
      </c>
      <c r="C895" s="122">
        <v>101225</v>
      </c>
      <c r="D895" s="123" t="s">
        <v>2098</v>
      </c>
      <c r="E895" s="123">
        <v>70</v>
      </c>
      <c r="F895" s="123" t="str">
        <f>IF(E895&lt;=20,"0-19",
IF(E895&lt;=50,"20-49",
IF(E895&lt;=80,"50-79","80+")))</f>
        <v>50-79</v>
      </c>
      <c r="G895" s="121" t="s">
        <v>126</v>
      </c>
      <c r="H895" s="121" t="s">
        <v>22</v>
      </c>
      <c r="I895" s="123" t="s">
        <v>445</v>
      </c>
      <c r="J895" s="86" t="s">
        <v>2270</v>
      </c>
      <c r="K895" s="121" t="s">
        <v>1918</v>
      </c>
      <c r="L895" s="121" t="s">
        <v>1918</v>
      </c>
      <c r="M895" s="122" t="s">
        <v>714</v>
      </c>
      <c r="N895" s="127">
        <v>89751</v>
      </c>
      <c r="O895" s="127" t="s">
        <v>2254</v>
      </c>
      <c r="P895" s="147">
        <v>254711301243</v>
      </c>
      <c r="Q895" s="210"/>
    </row>
    <row r="896" spans="1:17" x14ac:dyDescent="0.2">
      <c r="A896" s="155" t="s">
        <v>836</v>
      </c>
      <c r="B896" s="118">
        <v>2001028</v>
      </c>
      <c r="C896" s="125">
        <v>18492</v>
      </c>
      <c r="D896" s="118" t="s">
        <v>1448</v>
      </c>
      <c r="E896" s="118">
        <v>64</v>
      </c>
      <c r="F896" s="118" t="str">
        <f>IF(E896&lt;=20,"0-19",
IF(E896&lt;=50,"20-49",
IF(E896&lt;=80,"50-79","80+")))</f>
        <v>50-79</v>
      </c>
      <c r="G896" s="118" t="s">
        <v>60</v>
      </c>
      <c r="H896" s="118" t="s">
        <v>22</v>
      </c>
      <c r="I896" s="118" t="s">
        <v>445</v>
      </c>
      <c r="J896" s="93" t="s">
        <v>2270</v>
      </c>
      <c r="K896" s="118" t="s">
        <v>1232</v>
      </c>
      <c r="L896" s="118" t="s">
        <v>1232</v>
      </c>
      <c r="M896" s="125" t="s">
        <v>714</v>
      </c>
      <c r="N896" s="160">
        <v>105000</v>
      </c>
      <c r="O896" s="125" t="s">
        <v>832</v>
      </c>
      <c r="P896" s="173"/>
      <c r="Q896" s="210"/>
    </row>
    <row r="897" spans="1:17" x14ac:dyDescent="0.2">
      <c r="A897" s="155" t="s">
        <v>86</v>
      </c>
      <c r="B897" s="122">
        <v>2001788</v>
      </c>
      <c r="C897" s="122">
        <v>18367</v>
      </c>
      <c r="D897" s="122" t="s">
        <v>716</v>
      </c>
      <c r="E897" s="123">
        <v>66</v>
      </c>
      <c r="F897" s="123" t="str">
        <f>IF(E897&lt;=20,"0-19",
IF(E897&lt;=50,"20-49",
IF(E897&lt;=80,"50-79","80+")))</f>
        <v>50-79</v>
      </c>
      <c r="G897" s="122" t="s">
        <v>60</v>
      </c>
      <c r="H897" s="122" t="s">
        <v>22</v>
      </c>
      <c r="I897" s="122" t="s">
        <v>445</v>
      </c>
      <c r="J897" s="87" t="s">
        <v>2270</v>
      </c>
      <c r="K897" s="123" t="s">
        <v>31</v>
      </c>
      <c r="L897" s="123" t="s">
        <v>31</v>
      </c>
      <c r="M897" s="122" t="s">
        <v>714</v>
      </c>
      <c r="N897" s="157">
        <v>231101</v>
      </c>
      <c r="O897" s="122" t="s">
        <v>18</v>
      </c>
      <c r="P897" s="172"/>
      <c r="Q897" s="210"/>
    </row>
    <row r="898" spans="1:17" x14ac:dyDescent="0.2">
      <c r="A898" s="155" t="s">
        <v>373</v>
      </c>
      <c r="B898" s="125">
        <v>2019637</v>
      </c>
      <c r="C898" s="125">
        <v>10170</v>
      </c>
      <c r="D898" s="125" t="s">
        <v>1476</v>
      </c>
      <c r="E898" s="125">
        <v>64</v>
      </c>
      <c r="F898" s="125" t="str">
        <f>IF(E898&lt;=20,"0-19",
IF(E898&lt;=50,"20-49",
IF(E898&lt;=80,"50-79","80+")))</f>
        <v>50-79</v>
      </c>
      <c r="G898" s="125" t="s">
        <v>22</v>
      </c>
      <c r="H898" s="125" t="s">
        <v>22</v>
      </c>
      <c r="I898" s="125" t="s">
        <v>445</v>
      </c>
      <c r="J898" s="82" t="s">
        <v>2270</v>
      </c>
      <c r="K898" s="125" t="s">
        <v>1477</v>
      </c>
      <c r="L898" s="125" t="s">
        <v>1225</v>
      </c>
      <c r="M898" s="125" t="s">
        <v>714</v>
      </c>
      <c r="N898" s="162">
        <v>46200</v>
      </c>
      <c r="O898" s="125" t="s">
        <v>832</v>
      </c>
      <c r="P898" s="173"/>
      <c r="Q898" s="210"/>
    </row>
    <row r="899" spans="1:17" x14ac:dyDescent="0.2">
      <c r="A899" s="155" t="s">
        <v>726</v>
      </c>
      <c r="B899" s="118">
        <v>2000236</v>
      </c>
      <c r="C899" s="125">
        <v>20756</v>
      </c>
      <c r="D899" s="118" t="s">
        <v>1269</v>
      </c>
      <c r="E899" s="118">
        <v>69</v>
      </c>
      <c r="F899" s="118" t="str">
        <f>IF(E899&lt;=20,"0-19",
IF(E899&lt;=50,"20-49",
IF(E899&lt;=80,"50-79","80+")))</f>
        <v>50-79</v>
      </c>
      <c r="G899" s="118" t="s">
        <v>60</v>
      </c>
      <c r="H899" s="118" t="s">
        <v>22</v>
      </c>
      <c r="I899" s="118" t="s">
        <v>445</v>
      </c>
      <c r="J899" s="93" t="s">
        <v>2270</v>
      </c>
      <c r="K899" s="118" t="s">
        <v>1264</v>
      </c>
      <c r="L899" s="118" t="s">
        <v>1264</v>
      </c>
      <c r="M899" s="125" t="s">
        <v>714</v>
      </c>
      <c r="N899" s="160">
        <v>43033</v>
      </c>
      <c r="O899" s="125" t="s">
        <v>832</v>
      </c>
      <c r="P899" s="173"/>
      <c r="Q899" s="210"/>
    </row>
    <row r="900" spans="1:17" x14ac:dyDescent="0.2">
      <c r="A900" s="155" t="s">
        <v>726</v>
      </c>
      <c r="B900" s="118">
        <v>2018773</v>
      </c>
      <c r="C900" s="125">
        <v>21046</v>
      </c>
      <c r="D900" s="118" t="s">
        <v>731</v>
      </c>
      <c r="E900" s="118">
        <v>59</v>
      </c>
      <c r="F900" s="118" t="str">
        <f>IF(E900&lt;=20,"0-19",
IF(E900&lt;=50,"20-49",
IF(E900&lt;=80,"50-79","80+")))</f>
        <v>50-79</v>
      </c>
      <c r="G900" s="118" t="s">
        <v>60</v>
      </c>
      <c r="H900" s="118" t="s">
        <v>22</v>
      </c>
      <c r="I900" s="118" t="s">
        <v>445</v>
      </c>
      <c r="J900" s="93" t="s">
        <v>2270</v>
      </c>
      <c r="K900" s="118" t="s">
        <v>1264</v>
      </c>
      <c r="L900" s="118" t="s">
        <v>1264</v>
      </c>
      <c r="M900" s="125" t="s">
        <v>714</v>
      </c>
      <c r="N900" s="160">
        <v>49477</v>
      </c>
      <c r="O900" s="125" t="s">
        <v>832</v>
      </c>
      <c r="P900" s="172"/>
      <c r="Q900" s="210"/>
    </row>
    <row r="901" spans="1:17" x14ac:dyDescent="0.2">
      <c r="A901" s="155" t="s">
        <v>212</v>
      </c>
      <c r="B901" s="119">
        <v>2504092</v>
      </c>
      <c r="C901" s="125">
        <v>62534</v>
      </c>
      <c r="D901" s="119" t="s">
        <v>1281</v>
      </c>
      <c r="E901" s="119">
        <v>58</v>
      </c>
      <c r="F901" s="119" t="str">
        <f>IF(E901&lt;=20,"0-19",
IF(E901&lt;=50,"20-49",
IF(E901&lt;=80,"50-79","80+")))</f>
        <v>50-79</v>
      </c>
      <c r="G901" s="119" t="s">
        <v>60</v>
      </c>
      <c r="H901" s="119" t="s">
        <v>22</v>
      </c>
      <c r="I901" s="119" t="s">
        <v>445</v>
      </c>
      <c r="J901" s="92" t="s">
        <v>2270</v>
      </c>
      <c r="K901" s="119" t="s">
        <v>1264</v>
      </c>
      <c r="L901" s="119" t="s">
        <v>1264</v>
      </c>
      <c r="M901" s="125" t="s">
        <v>714</v>
      </c>
      <c r="N901" s="165">
        <v>51486</v>
      </c>
      <c r="O901" s="125" t="s">
        <v>832</v>
      </c>
      <c r="P901" s="172"/>
      <c r="Q901" s="210"/>
    </row>
    <row r="902" spans="1:17" x14ac:dyDescent="0.2">
      <c r="A902" s="143" t="s">
        <v>63</v>
      </c>
      <c r="B902" s="122">
        <v>2017389</v>
      </c>
      <c r="C902" s="122">
        <v>31860</v>
      </c>
      <c r="D902" s="122" t="s">
        <v>1993</v>
      </c>
      <c r="E902" s="122"/>
      <c r="F902" s="122" t="str">
        <f>IF(E902&lt;=20,"0-19",
IF(E902&lt;=50,"20-49",
IF(E902&lt;=80,"50-79","80+")))</f>
        <v>0-19</v>
      </c>
      <c r="G902" s="122" t="s">
        <v>60</v>
      </c>
      <c r="H902" s="122" t="s">
        <v>22</v>
      </c>
      <c r="I902" s="122" t="s">
        <v>737</v>
      </c>
      <c r="J902" s="87" t="s">
        <v>2270</v>
      </c>
      <c r="K902" s="123" t="s">
        <v>1921</v>
      </c>
      <c r="L902" s="122" t="s">
        <v>1921</v>
      </c>
      <c r="M902" s="122" t="s">
        <v>714</v>
      </c>
      <c r="N902" s="124">
        <v>41690</v>
      </c>
      <c r="O902" s="124" t="s">
        <v>2254</v>
      </c>
      <c r="P902" s="147">
        <v>254724016624</v>
      </c>
      <c r="Q902" s="210"/>
    </row>
    <row r="903" spans="1:17" x14ac:dyDescent="0.2">
      <c r="A903" s="155" t="s">
        <v>19</v>
      </c>
      <c r="B903" s="125">
        <v>2001971</v>
      </c>
      <c r="C903" s="125">
        <v>12324</v>
      </c>
      <c r="D903" s="125" t="s">
        <v>725</v>
      </c>
      <c r="E903" s="119"/>
      <c r="F903" s="119" t="str">
        <f>IF(E903&lt;=20,"0-19",
IF(E903&lt;=50,"20-49",
IF(E903&lt;=80,"50-79","80+")))</f>
        <v>0-19</v>
      </c>
      <c r="G903" s="125" t="s">
        <v>60</v>
      </c>
      <c r="H903" s="125" t="s">
        <v>22</v>
      </c>
      <c r="I903" s="125" t="s">
        <v>445</v>
      </c>
      <c r="J903" s="82" t="s">
        <v>2270</v>
      </c>
      <c r="K903" s="119" t="s">
        <v>85</v>
      </c>
      <c r="L903" s="119" t="s">
        <v>85</v>
      </c>
      <c r="M903" s="125" t="s">
        <v>714</v>
      </c>
      <c r="N903" s="165">
        <v>93029.3</v>
      </c>
      <c r="O903" s="125" t="s">
        <v>18</v>
      </c>
      <c r="P903" s="173"/>
      <c r="Q903" s="210"/>
    </row>
    <row r="904" spans="1:17" ht="21" x14ac:dyDescent="0.2">
      <c r="A904" s="145" t="s">
        <v>732</v>
      </c>
      <c r="B904" s="125">
        <v>2001247</v>
      </c>
      <c r="C904" s="125">
        <v>102797</v>
      </c>
      <c r="D904" s="125" t="s">
        <v>733</v>
      </c>
      <c r="E904" s="119">
        <v>66</v>
      </c>
      <c r="F904" s="119" t="str">
        <f>IF(E904&lt;=20,"0-19",
IF(E904&lt;=50,"20-49",
IF(E904&lt;=80,"50-79","80+")))</f>
        <v>50-79</v>
      </c>
      <c r="G904" s="125" t="s">
        <v>60</v>
      </c>
      <c r="H904" s="125" t="s">
        <v>22</v>
      </c>
      <c r="I904" s="125" t="s">
        <v>445</v>
      </c>
      <c r="J904" s="82" t="s">
        <v>2270</v>
      </c>
      <c r="K904" s="119" t="s">
        <v>734</v>
      </c>
      <c r="L904" s="119" t="s">
        <v>85</v>
      </c>
      <c r="M904" s="125" t="s">
        <v>714</v>
      </c>
      <c r="N904" s="165">
        <v>37000</v>
      </c>
      <c r="O904" s="125" t="s">
        <v>18</v>
      </c>
      <c r="P904" s="173"/>
      <c r="Q904" s="210"/>
    </row>
    <row r="905" spans="1:17" x14ac:dyDescent="0.2">
      <c r="A905" s="143" t="s">
        <v>1768</v>
      </c>
      <c r="B905" s="122">
        <v>2003647</v>
      </c>
      <c r="C905" s="122">
        <v>14902</v>
      </c>
      <c r="D905" s="122" t="s">
        <v>2032</v>
      </c>
      <c r="E905" s="122">
        <v>65</v>
      </c>
      <c r="F905" s="122" t="str">
        <f>IF(E905&lt;=20,"0-19",
IF(E905&lt;=50,"20-49",
IF(E905&lt;=80,"50-79","80+")))</f>
        <v>50-79</v>
      </c>
      <c r="G905" s="122" t="s">
        <v>60</v>
      </c>
      <c r="H905" s="122" t="s">
        <v>22</v>
      </c>
      <c r="I905" s="122" t="s">
        <v>445</v>
      </c>
      <c r="J905" s="87" t="s">
        <v>2270</v>
      </c>
      <c r="K905" s="123" t="s">
        <v>2016</v>
      </c>
      <c r="L905" s="122" t="s">
        <v>2016</v>
      </c>
      <c r="M905" s="122" t="s">
        <v>714</v>
      </c>
      <c r="N905" s="124">
        <v>57390</v>
      </c>
      <c r="O905" s="124" t="s">
        <v>2254</v>
      </c>
      <c r="P905" s="147">
        <v>254722691221</v>
      </c>
      <c r="Q905" s="210"/>
    </row>
    <row r="906" spans="1:17" x14ac:dyDescent="0.2">
      <c r="A906" s="174" t="s">
        <v>777</v>
      </c>
      <c r="B906" s="175">
        <v>2001102</v>
      </c>
      <c r="C906" s="175">
        <v>636</v>
      </c>
      <c r="D906" s="175" t="s">
        <v>778</v>
      </c>
      <c r="E906" s="175">
        <v>81</v>
      </c>
      <c r="F906" s="175" t="str">
        <f>IF(E906&lt;=20,"0-19",
IF(E906&lt;=50,"20-49",
IF(E906&lt;=80,"50-79","80+")))</f>
        <v>80+</v>
      </c>
      <c r="G906" s="175" t="s">
        <v>60</v>
      </c>
      <c r="H906" s="175" t="s">
        <v>22</v>
      </c>
      <c r="I906" s="175" t="s">
        <v>737</v>
      </c>
      <c r="J906" s="189" t="s">
        <v>2270</v>
      </c>
      <c r="K906" s="175" t="s">
        <v>289</v>
      </c>
      <c r="L906" s="176" t="s">
        <v>289</v>
      </c>
      <c r="M906" s="119" t="s">
        <v>714</v>
      </c>
      <c r="N906" s="167">
        <v>70150</v>
      </c>
      <c r="O906" s="125" t="s">
        <v>18</v>
      </c>
      <c r="P906" s="173"/>
      <c r="Q906" s="210"/>
    </row>
    <row r="907" spans="1:17" x14ac:dyDescent="0.2">
      <c r="A907" s="142" t="s">
        <v>63</v>
      </c>
      <c r="B907" s="125">
        <v>2001843</v>
      </c>
      <c r="C907" s="125">
        <v>14127</v>
      </c>
      <c r="D907" s="125" t="s">
        <v>761</v>
      </c>
      <c r="E907" s="125">
        <v>66</v>
      </c>
      <c r="F907" s="125" t="str">
        <f>IF(E907&lt;=20,"0-19",
IF(E907&lt;=50,"20-49",
IF(E907&lt;=80,"50-79","80+")))</f>
        <v>50-79</v>
      </c>
      <c r="G907" s="125" t="s">
        <v>2099</v>
      </c>
      <c r="H907" s="125" t="s">
        <v>22</v>
      </c>
      <c r="I907" s="125" t="s">
        <v>737</v>
      </c>
      <c r="J907" s="82" t="s">
        <v>2270</v>
      </c>
      <c r="K907" s="119" t="s">
        <v>1922</v>
      </c>
      <c r="L907" s="125" t="s">
        <v>1922</v>
      </c>
      <c r="M907" s="125" t="s">
        <v>714</v>
      </c>
      <c r="N907" s="126">
        <v>91370</v>
      </c>
      <c r="O907" s="126" t="s">
        <v>2254</v>
      </c>
      <c r="P907" s="146">
        <v>254720453324</v>
      </c>
      <c r="Q907" s="210"/>
    </row>
    <row r="908" spans="1:17" x14ac:dyDescent="0.2">
      <c r="A908" s="155" t="s">
        <v>1503</v>
      </c>
      <c r="B908" s="125">
        <v>2000086</v>
      </c>
      <c r="C908" s="125">
        <v>17770</v>
      </c>
      <c r="D908" s="125" t="s">
        <v>551</v>
      </c>
      <c r="E908" s="125">
        <v>72</v>
      </c>
      <c r="F908" s="125" t="str">
        <f>IF(E908&lt;=20,"0-19",
IF(E908&lt;=50,"20-49",
IF(E908&lt;=80,"50-79","80+")))</f>
        <v>50-79</v>
      </c>
      <c r="G908" s="125" t="s">
        <v>60</v>
      </c>
      <c r="H908" s="125" t="s">
        <v>22</v>
      </c>
      <c r="I908" s="119" t="s">
        <v>1528</v>
      </c>
      <c r="J908" s="92" t="s">
        <v>2270</v>
      </c>
      <c r="K908" s="119" t="s">
        <v>1238</v>
      </c>
      <c r="L908" s="119" t="s">
        <v>1238</v>
      </c>
      <c r="M908" s="125" t="s">
        <v>714</v>
      </c>
      <c r="N908" s="162">
        <v>120268</v>
      </c>
      <c r="O908" s="125" t="s">
        <v>832</v>
      </c>
      <c r="P908" s="172"/>
      <c r="Q908" s="210"/>
    </row>
    <row r="909" spans="1:17" ht="21" x14ac:dyDescent="0.2">
      <c r="A909" s="142" t="s">
        <v>354</v>
      </c>
      <c r="B909" s="125">
        <v>2506022</v>
      </c>
      <c r="C909" s="125">
        <v>58697</v>
      </c>
      <c r="D909" s="125" t="s">
        <v>1990</v>
      </c>
      <c r="E909" s="125">
        <v>60</v>
      </c>
      <c r="F909" s="125" t="str">
        <f>IF(E909&lt;=20,"0-19",
IF(E909&lt;=50,"20-49",
IF(E909&lt;=80,"50-79","80+")))</f>
        <v>50-79</v>
      </c>
      <c r="G909" s="125" t="s">
        <v>60</v>
      </c>
      <c r="H909" s="125" t="s">
        <v>22</v>
      </c>
      <c r="I909" s="125" t="s">
        <v>1991</v>
      </c>
      <c r="J909" s="82" t="s">
        <v>2270</v>
      </c>
      <c r="K909" s="119" t="s">
        <v>1992</v>
      </c>
      <c r="L909" s="125" t="s">
        <v>1922</v>
      </c>
      <c r="M909" s="125" t="s">
        <v>714</v>
      </c>
      <c r="N909" s="126">
        <v>37190</v>
      </c>
      <c r="O909" s="126" t="s">
        <v>2254</v>
      </c>
      <c r="P909" s="146">
        <v>254729861927</v>
      </c>
      <c r="Q909" s="210"/>
    </row>
    <row r="910" spans="1:17" ht="21" x14ac:dyDescent="0.2">
      <c r="A910" s="142" t="s">
        <v>354</v>
      </c>
      <c r="B910" s="125">
        <v>2001146</v>
      </c>
      <c r="C910" s="125">
        <v>100300</v>
      </c>
      <c r="D910" s="125" t="s">
        <v>2033</v>
      </c>
      <c r="E910" s="125">
        <v>74</v>
      </c>
      <c r="F910" s="125" t="str">
        <f>IF(E910&lt;=20,"0-19",
IF(E910&lt;=50,"20-49",
IF(E910&lt;=80,"50-79","80+")))</f>
        <v>50-79</v>
      </c>
      <c r="G910" s="125" t="s">
        <v>60</v>
      </c>
      <c r="H910" s="125" t="s">
        <v>22</v>
      </c>
      <c r="I910" s="125" t="s">
        <v>1991</v>
      </c>
      <c r="J910" s="82" t="s">
        <v>2270</v>
      </c>
      <c r="K910" s="119" t="s">
        <v>1992</v>
      </c>
      <c r="L910" s="125" t="s">
        <v>1922</v>
      </c>
      <c r="M910" s="125" t="s">
        <v>714</v>
      </c>
      <c r="N910" s="126">
        <v>57522.400000000001</v>
      </c>
      <c r="O910" s="126" t="s">
        <v>2254</v>
      </c>
      <c r="P910" s="146">
        <v>254726386129</v>
      </c>
      <c r="Q910" s="210"/>
    </row>
    <row r="911" spans="1:17" x14ac:dyDescent="0.2">
      <c r="A911" s="155" t="s">
        <v>373</v>
      </c>
      <c r="B911" s="122">
        <v>2000181</v>
      </c>
      <c r="C911" s="122">
        <v>18032</v>
      </c>
      <c r="D911" s="122" t="s">
        <v>769</v>
      </c>
      <c r="E911" s="123">
        <v>67</v>
      </c>
      <c r="F911" s="123" t="str">
        <f>IF(E911&lt;=20,"0-19",
IF(E911&lt;=50,"20-49",
IF(E911&lt;=80,"50-79","80+")))</f>
        <v>50-79</v>
      </c>
      <c r="G911" s="122" t="s">
        <v>60</v>
      </c>
      <c r="H911" s="122" t="s">
        <v>22</v>
      </c>
      <c r="I911" s="122" t="s">
        <v>770</v>
      </c>
      <c r="J911" s="87" t="s">
        <v>2270</v>
      </c>
      <c r="K911" s="123" t="s">
        <v>79</v>
      </c>
      <c r="L911" s="123" t="s">
        <v>79</v>
      </c>
      <c r="M911" s="122" t="s">
        <v>714</v>
      </c>
      <c r="N911" s="157">
        <v>48261</v>
      </c>
      <c r="O911" s="122" t="s">
        <v>18</v>
      </c>
      <c r="P911" s="172"/>
      <c r="Q911" s="210"/>
    </row>
    <row r="912" spans="1:17" x14ac:dyDescent="0.2">
      <c r="A912" s="155" t="s">
        <v>19</v>
      </c>
      <c r="B912" s="121">
        <v>2017825</v>
      </c>
      <c r="C912" s="122">
        <v>54844</v>
      </c>
      <c r="D912" s="121" t="s">
        <v>723</v>
      </c>
      <c r="E912" s="121">
        <v>66</v>
      </c>
      <c r="F912" s="121" t="str">
        <f>IF(E912&lt;=20,"0-19",
IF(E912&lt;=50,"20-49",
IF(E912&lt;=80,"50-79","80+")))</f>
        <v>50-79</v>
      </c>
      <c r="G912" s="121" t="s">
        <v>60</v>
      </c>
      <c r="H912" s="121" t="s">
        <v>22</v>
      </c>
      <c r="I912" s="121" t="s">
        <v>724</v>
      </c>
      <c r="J912" s="88" t="s">
        <v>2270</v>
      </c>
      <c r="K912" s="121" t="s">
        <v>78</v>
      </c>
      <c r="L912" s="121" t="s">
        <v>78</v>
      </c>
      <c r="M912" s="198" t="s">
        <v>714</v>
      </c>
      <c r="N912" s="191">
        <v>140578.70000000001</v>
      </c>
      <c r="O912" s="122" t="s">
        <v>18</v>
      </c>
      <c r="P912" s="172"/>
      <c r="Q912" s="210"/>
    </row>
    <row r="913" spans="1:17" x14ac:dyDescent="0.2">
      <c r="A913" s="155" t="s">
        <v>422</v>
      </c>
      <c r="B913" s="197">
        <v>2001006</v>
      </c>
      <c r="C913" s="197">
        <v>18347</v>
      </c>
      <c r="D913" s="198" t="s">
        <v>607</v>
      </c>
      <c r="E913" s="197">
        <v>69</v>
      </c>
      <c r="F913" s="197" t="str">
        <f>IF(E913&lt;=20,"0-19",
IF(E913&lt;=50,"20-49",
IF(E913&lt;=80,"50-79","80+")))</f>
        <v>50-79</v>
      </c>
      <c r="G913" s="197" t="s">
        <v>60</v>
      </c>
      <c r="H913" s="197" t="s">
        <v>22</v>
      </c>
      <c r="I913" s="198" t="s">
        <v>768</v>
      </c>
      <c r="J913" s="114" t="s">
        <v>2270</v>
      </c>
      <c r="K913" s="198" t="s">
        <v>37</v>
      </c>
      <c r="L913" s="197" t="s">
        <v>37</v>
      </c>
      <c r="M913" s="198" t="s">
        <v>714</v>
      </c>
      <c r="N913" s="202">
        <v>22000</v>
      </c>
      <c r="O913" s="125" t="s">
        <v>18</v>
      </c>
      <c r="P913" s="173"/>
      <c r="Q913" s="210"/>
    </row>
    <row r="914" spans="1:17" x14ac:dyDescent="0.2">
      <c r="A914" s="142" t="s">
        <v>53</v>
      </c>
      <c r="B914" s="119">
        <v>2006996</v>
      </c>
      <c r="C914" s="125">
        <v>14842</v>
      </c>
      <c r="D914" s="119" t="s">
        <v>1961</v>
      </c>
      <c r="E914" s="119">
        <v>62</v>
      </c>
      <c r="F914" s="119" t="str">
        <f>IF(E914&lt;=20,"0-19",
IF(E914&lt;=50,"20-49",
IF(E914&lt;=80,"50-79","80+")))</f>
        <v>50-79</v>
      </c>
      <c r="G914" s="119" t="s">
        <v>14</v>
      </c>
      <c r="H914" s="119" t="s">
        <v>15</v>
      </c>
      <c r="I914" s="119" t="s">
        <v>1962</v>
      </c>
      <c r="J914" s="92" t="s">
        <v>2270</v>
      </c>
      <c r="K914" s="118" t="s">
        <v>1898</v>
      </c>
      <c r="L914" s="118" t="s">
        <v>1898</v>
      </c>
      <c r="M914" s="119" t="s">
        <v>714</v>
      </c>
      <c r="N914" s="129">
        <v>28859.4</v>
      </c>
      <c r="O914" s="129" t="s">
        <v>2254</v>
      </c>
      <c r="P914" s="146">
        <v>254722961245</v>
      </c>
      <c r="Q914" s="210"/>
    </row>
    <row r="915" spans="1:17" x14ac:dyDescent="0.2">
      <c r="A915" s="142" t="s">
        <v>53</v>
      </c>
      <c r="B915" s="119">
        <v>2010960</v>
      </c>
      <c r="C915" s="125">
        <v>64149</v>
      </c>
      <c r="D915" s="119" t="s">
        <v>2024</v>
      </c>
      <c r="E915" s="119">
        <v>57</v>
      </c>
      <c r="F915" s="119" t="str">
        <f>IF(E915&lt;=20,"0-19",
IF(E915&lt;=50,"20-49",
IF(E915&lt;=80,"50-79","80+")))</f>
        <v>50-79</v>
      </c>
      <c r="G915" s="119" t="s">
        <v>49</v>
      </c>
      <c r="H915" s="119" t="s">
        <v>15</v>
      </c>
      <c r="I915" s="119" t="s">
        <v>2025</v>
      </c>
      <c r="J915" s="92" t="s">
        <v>2270</v>
      </c>
      <c r="K915" s="119" t="s">
        <v>1923</v>
      </c>
      <c r="L915" s="118" t="s">
        <v>1923</v>
      </c>
      <c r="M915" s="125" t="s">
        <v>714</v>
      </c>
      <c r="N915" s="129">
        <v>55000</v>
      </c>
      <c r="O915" s="129" t="s">
        <v>2254</v>
      </c>
      <c r="P915" s="146">
        <v>254728323604</v>
      </c>
      <c r="Q915" s="210"/>
    </row>
    <row r="916" spans="1:17" x14ac:dyDescent="0.2">
      <c r="A916" s="143" t="s">
        <v>373</v>
      </c>
      <c r="B916" s="122">
        <v>2012299</v>
      </c>
      <c r="C916" s="122">
        <v>16739</v>
      </c>
      <c r="D916" s="122" t="s">
        <v>2207</v>
      </c>
      <c r="E916" s="122">
        <v>65</v>
      </c>
      <c r="F916" s="122" t="str">
        <f>IF(E916&lt;=20,"0-19",
IF(E916&lt;=50,"20-49",
IF(E916&lt;=80,"50-79","80+")))</f>
        <v>50-79</v>
      </c>
      <c r="G916" s="122" t="s">
        <v>60</v>
      </c>
      <c r="H916" s="122" t="s">
        <v>22</v>
      </c>
      <c r="I916" s="122" t="s">
        <v>2208</v>
      </c>
      <c r="J916" s="87" t="s">
        <v>2270</v>
      </c>
      <c r="K916" s="123" t="s">
        <v>1913</v>
      </c>
      <c r="L916" s="122" t="s">
        <v>1913</v>
      </c>
      <c r="M916" s="122" t="s">
        <v>714</v>
      </c>
      <c r="N916" s="124">
        <v>300655.8</v>
      </c>
      <c r="O916" s="124" t="s">
        <v>2254</v>
      </c>
      <c r="P916" s="147">
        <v>254704150060</v>
      </c>
      <c r="Q916" s="210"/>
    </row>
    <row r="917" spans="1:17" x14ac:dyDescent="0.2">
      <c r="A917" s="142" t="s">
        <v>212</v>
      </c>
      <c r="B917" s="125">
        <v>2504092</v>
      </c>
      <c r="C917" s="125">
        <v>62534</v>
      </c>
      <c r="D917" s="125" t="s">
        <v>1281</v>
      </c>
      <c r="E917" s="125">
        <v>58</v>
      </c>
      <c r="F917" s="125" t="str">
        <f>IF(E917&lt;=20,"0-19",
IF(E917&lt;=50,"20-49",
IF(E917&lt;=80,"50-79","80+")))</f>
        <v>50-79</v>
      </c>
      <c r="G917" s="125" t="s">
        <v>1946</v>
      </c>
      <c r="H917" s="125" t="s">
        <v>22</v>
      </c>
      <c r="I917" s="125" t="s">
        <v>1947</v>
      </c>
      <c r="J917" s="82" t="s">
        <v>2270</v>
      </c>
      <c r="K917" s="119" t="s">
        <v>1916</v>
      </c>
      <c r="L917" s="125" t="s">
        <v>1916</v>
      </c>
      <c r="M917" s="125" t="s">
        <v>714</v>
      </c>
      <c r="N917" s="126">
        <v>22909</v>
      </c>
      <c r="O917" s="126" t="s">
        <v>2254</v>
      </c>
      <c r="P917" s="146">
        <v>254721715581</v>
      </c>
      <c r="Q917" s="210"/>
    </row>
    <row r="918" spans="1:17" x14ac:dyDescent="0.2">
      <c r="A918" s="155" t="s">
        <v>726</v>
      </c>
      <c r="B918" s="125">
        <v>2017384</v>
      </c>
      <c r="C918" s="125">
        <v>53142</v>
      </c>
      <c r="D918" s="125" t="s">
        <v>1147</v>
      </c>
      <c r="E918" s="125">
        <v>63</v>
      </c>
      <c r="F918" s="125" t="str">
        <f>IF(E918&lt;=20,"0-19",
IF(E918&lt;=50,"20-49",
IF(E918&lt;=80,"50-79","80+")))</f>
        <v>50-79</v>
      </c>
      <c r="G918" s="125" t="s">
        <v>60</v>
      </c>
      <c r="H918" s="125" t="s">
        <v>22</v>
      </c>
      <c r="I918" s="119" t="s">
        <v>1266</v>
      </c>
      <c r="J918" s="92" t="s">
        <v>2270</v>
      </c>
      <c r="K918" s="119" t="s">
        <v>1241</v>
      </c>
      <c r="L918" s="119" t="s">
        <v>1241</v>
      </c>
      <c r="M918" s="125" t="s">
        <v>714</v>
      </c>
      <c r="N918" s="162">
        <v>75850</v>
      </c>
      <c r="O918" s="125" t="s">
        <v>832</v>
      </c>
      <c r="P918" s="172"/>
      <c r="Q918" s="210"/>
    </row>
    <row r="919" spans="1:17" x14ac:dyDescent="0.2">
      <c r="A919" s="155" t="s">
        <v>53</v>
      </c>
      <c r="B919" s="197">
        <v>2008867</v>
      </c>
      <c r="C919" s="197">
        <v>101493</v>
      </c>
      <c r="D919" s="198" t="s">
        <v>743</v>
      </c>
      <c r="E919" s="197">
        <v>62</v>
      </c>
      <c r="F919" s="197" t="str">
        <f>IF(E919&lt;=20,"0-19",
IF(E919&lt;=50,"20-49",
IF(E919&lt;=80,"50-79","80+")))</f>
        <v>50-79</v>
      </c>
      <c r="G919" s="197" t="s">
        <v>49</v>
      </c>
      <c r="H919" s="197" t="s">
        <v>15</v>
      </c>
      <c r="I919" s="198" t="s">
        <v>744</v>
      </c>
      <c r="J919" s="114" t="s">
        <v>2270</v>
      </c>
      <c r="K919" s="198" t="s">
        <v>57</v>
      </c>
      <c r="L919" s="197" t="s">
        <v>57</v>
      </c>
      <c r="M919" s="198" t="s">
        <v>714</v>
      </c>
      <c r="N919" s="202">
        <v>364643</v>
      </c>
      <c r="O919" s="122" t="s">
        <v>18</v>
      </c>
      <c r="P919" s="172"/>
      <c r="Q919" s="210"/>
    </row>
    <row r="920" spans="1:17" x14ac:dyDescent="0.2">
      <c r="A920" s="155" t="s">
        <v>53</v>
      </c>
      <c r="B920" s="122">
        <v>2008867</v>
      </c>
      <c r="C920" s="122">
        <v>101493</v>
      </c>
      <c r="D920" s="122" t="s">
        <v>743</v>
      </c>
      <c r="E920" s="123">
        <v>62</v>
      </c>
      <c r="F920" s="123" t="str">
        <f>IF(E920&lt;=20,"0-19",
IF(E920&lt;=50,"20-49",
IF(E920&lt;=80,"50-79","80+")))</f>
        <v>50-79</v>
      </c>
      <c r="G920" s="122" t="s">
        <v>49</v>
      </c>
      <c r="H920" s="122" t="s">
        <v>15</v>
      </c>
      <c r="I920" s="122" t="s">
        <v>744</v>
      </c>
      <c r="J920" s="87" t="s">
        <v>2270</v>
      </c>
      <c r="K920" s="123" t="s">
        <v>193</v>
      </c>
      <c r="L920" s="123" t="s">
        <v>193</v>
      </c>
      <c r="M920" s="122" t="s">
        <v>714</v>
      </c>
      <c r="N920" s="157">
        <v>24526.6</v>
      </c>
      <c r="O920" s="122" t="s">
        <v>18</v>
      </c>
      <c r="P920" s="172"/>
      <c r="Q920" s="210"/>
    </row>
    <row r="921" spans="1:17" x14ac:dyDescent="0.2">
      <c r="A921" s="155" t="s">
        <v>373</v>
      </c>
      <c r="B921" s="125">
        <v>2012118</v>
      </c>
      <c r="C921" s="125">
        <v>18259</v>
      </c>
      <c r="D921" s="125" t="s">
        <v>619</v>
      </c>
      <c r="E921" s="125">
        <v>69</v>
      </c>
      <c r="F921" s="125" t="str">
        <f>IF(E921&lt;=20,"0-19",
IF(E921&lt;=50,"20-49",
IF(E921&lt;=80,"50-79","80+")))</f>
        <v>50-79</v>
      </c>
      <c r="G921" s="125" t="s">
        <v>49</v>
      </c>
      <c r="H921" s="125" t="s">
        <v>15</v>
      </c>
      <c r="I921" s="125" t="s">
        <v>1478</v>
      </c>
      <c r="J921" s="82" t="s">
        <v>2270</v>
      </c>
      <c r="K921" s="125" t="s">
        <v>1479</v>
      </c>
      <c r="L921" s="125" t="s">
        <v>1225</v>
      </c>
      <c r="M921" s="125" t="s">
        <v>714</v>
      </c>
      <c r="N921" s="162">
        <v>122</v>
      </c>
      <c r="O921" s="125" t="s">
        <v>832</v>
      </c>
      <c r="P921" s="172"/>
      <c r="Q921" s="210"/>
    </row>
    <row r="922" spans="1:17" x14ac:dyDescent="0.2">
      <c r="A922" s="155" t="s">
        <v>53</v>
      </c>
      <c r="B922" s="125">
        <v>2007795</v>
      </c>
      <c r="C922" s="125">
        <v>15404</v>
      </c>
      <c r="D922" s="125" t="s">
        <v>749</v>
      </c>
      <c r="E922" s="125">
        <v>63</v>
      </c>
      <c r="F922" s="125" t="str">
        <f>IF(E922&lt;=20,"0-19",
IF(E922&lt;=50,"20-49",
IF(E922&lt;=80,"50-79","80+")))</f>
        <v>50-79</v>
      </c>
      <c r="G922" s="125" t="s">
        <v>49</v>
      </c>
      <c r="H922" s="125" t="s">
        <v>15</v>
      </c>
      <c r="I922" s="119" t="s">
        <v>1190</v>
      </c>
      <c r="J922" s="92" t="s">
        <v>2270</v>
      </c>
      <c r="K922" s="119" t="s">
        <v>855</v>
      </c>
      <c r="L922" s="125" t="s">
        <v>855</v>
      </c>
      <c r="M922" s="125" t="s">
        <v>714</v>
      </c>
      <c r="N922" s="162">
        <v>471646.92</v>
      </c>
      <c r="O922" s="125" t="s">
        <v>832</v>
      </c>
      <c r="P922" s="172"/>
      <c r="Q922" s="210"/>
    </row>
    <row r="923" spans="1:17" x14ac:dyDescent="0.2">
      <c r="A923" s="142" t="s">
        <v>1690</v>
      </c>
      <c r="B923" s="125">
        <v>2002401</v>
      </c>
      <c r="C923" s="125">
        <v>15577</v>
      </c>
      <c r="D923" s="125" t="s">
        <v>1186</v>
      </c>
      <c r="E923" s="125">
        <v>66</v>
      </c>
      <c r="F923" s="125" t="str">
        <f>IF(E923&lt;=20,"0-19",
IF(E923&lt;=50,"20-49",
IF(E923&lt;=80,"50-79","80+")))</f>
        <v>50-79</v>
      </c>
      <c r="G923" s="125" t="s">
        <v>60</v>
      </c>
      <c r="H923" s="125" t="s">
        <v>22</v>
      </c>
      <c r="I923" s="119" t="s">
        <v>1691</v>
      </c>
      <c r="J923" s="92" t="s">
        <v>2270</v>
      </c>
      <c r="K923" s="125" t="s">
        <v>1589</v>
      </c>
      <c r="L923" s="125" t="s">
        <v>1589</v>
      </c>
      <c r="M923" s="125" t="s">
        <v>714</v>
      </c>
      <c r="N923" s="126">
        <v>80490</v>
      </c>
      <c r="O923" s="126" t="s">
        <v>2254</v>
      </c>
      <c r="P923" s="146">
        <v>254722874333</v>
      </c>
      <c r="Q923" s="210"/>
    </row>
    <row r="924" spans="1:17" x14ac:dyDescent="0.2">
      <c r="A924" s="142" t="s">
        <v>1619</v>
      </c>
      <c r="B924" s="125">
        <v>2001244</v>
      </c>
      <c r="C924" s="125">
        <v>3692</v>
      </c>
      <c r="D924" s="125" t="s">
        <v>1620</v>
      </c>
      <c r="E924" s="125">
        <v>77</v>
      </c>
      <c r="F924" s="125" t="str">
        <f>IF(E924&lt;=20,"0-19",
IF(E924&lt;=50,"20-49",
IF(E924&lt;=80,"50-79","80+")))</f>
        <v>50-79</v>
      </c>
      <c r="G924" s="125" t="s">
        <v>60</v>
      </c>
      <c r="H924" s="125" t="s">
        <v>22</v>
      </c>
      <c r="I924" s="119" t="s">
        <v>1621</v>
      </c>
      <c r="J924" s="92" t="s">
        <v>2270</v>
      </c>
      <c r="K924" s="125" t="s">
        <v>1566</v>
      </c>
      <c r="L924" s="125" t="s">
        <v>1567</v>
      </c>
      <c r="M924" s="125" t="s">
        <v>714</v>
      </c>
      <c r="N924" s="126">
        <v>35954</v>
      </c>
      <c r="O924" s="126" t="s">
        <v>2254</v>
      </c>
      <c r="P924" s="146">
        <v>254722694758</v>
      </c>
      <c r="Q924" s="210"/>
    </row>
    <row r="925" spans="1:17" x14ac:dyDescent="0.2">
      <c r="A925" s="155" t="s">
        <v>63</v>
      </c>
      <c r="B925" s="125">
        <v>2001843</v>
      </c>
      <c r="C925" s="125">
        <v>14127</v>
      </c>
      <c r="D925" s="125" t="s">
        <v>761</v>
      </c>
      <c r="E925" s="125">
        <v>68</v>
      </c>
      <c r="F925" s="125" t="str">
        <f>IF(E925&lt;=20,"0-19",
IF(E925&lt;=50,"20-49",
IF(E925&lt;=80,"50-79","80+")))</f>
        <v>50-79</v>
      </c>
      <c r="G925" s="125" t="s">
        <v>60</v>
      </c>
      <c r="H925" s="125" t="s">
        <v>22</v>
      </c>
      <c r="I925" s="119" t="s">
        <v>1185</v>
      </c>
      <c r="J925" s="119" t="s">
        <v>2270</v>
      </c>
      <c r="K925" s="119" t="s">
        <v>851</v>
      </c>
      <c r="L925" s="125" t="s">
        <v>851</v>
      </c>
      <c r="M925" s="125" t="s">
        <v>714</v>
      </c>
      <c r="N925" s="162">
        <v>46620</v>
      </c>
      <c r="O925" s="125" t="s">
        <v>832</v>
      </c>
      <c r="P925" s="173"/>
      <c r="Q925" s="210"/>
    </row>
    <row r="926" spans="1:17" x14ac:dyDescent="0.2">
      <c r="A926" s="143" t="s">
        <v>373</v>
      </c>
      <c r="B926" s="122">
        <v>2015319</v>
      </c>
      <c r="C926" s="122">
        <v>18635</v>
      </c>
      <c r="D926" s="122" t="s">
        <v>2126</v>
      </c>
      <c r="E926" s="122">
        <v>63</v>
      </c>
      <c r="F926" s="122" t="str">
        <f>IF(E926&lt;=20,"0-19",
IF(E926&lt;=50,"20-49",
IF(E926&lt;=80,"50-79","80+")))</f>
        <v>50-79</v>
      </c>
      <c r="G926" s="122" t="s">
        <v>60</v>
      </c>
      <c r="H926" s="122" t="s">
        <v>22</v>
      </c>
      <c r="I926" s="122" t="s">
        <v>2127</v>
      </c>
      <c r="J926" s="122" t="s">
        <v>2270</v>
      </c>
      <c r="K926" s="123" t="s">
        <v>1895</v>
      </c>
      <c r="L926" s="122" t="s">
        <v>1895</v>
      </c>
      <c r="M926" s="122" t="s">
        <v>714</v>
      </c>
      <c r="N926" s="124">
        <v>122824.43</v>
      </c>
      <c r="O926" s="124" t="s">
        <v>2254</v>
      </c>
      <c r="P926" s="147">
        <v>254707475757</v>
      </c>
      <c r="Q926" s="210"/>
    </row>
    <row r="927" spans="1:17" x14ac:dyDescent="0.2">
      <c r="A927" s="155" t="s">
        <v>373</v>
      </c>
      <c r="B927" s="122">
        <v>2011874</v>
      </c>
      <c r="C927" s="122">
        <v>18209</v>
      </c>
      <c r="D927" s="122" t="s">
        <v>772</v>
      </c>
      <c r="E927" s="123">
        <v>59</v>
      </c>
      <c r="F927" s="123" t="str">
        <f>IF(E927&lt;=20,"0-19",
IF(E927&lt;=50,"20-49",
IF(E927&lt;=80,"50-79","80+")))</f>
        <v>50-79</v>
      </c>
      <c r="G927" s="122" t="s">
        <v>49</v>
      </c>
      <c r="H927" s="122" t="s">
        <v>15</v>
      </c>
      <c r="I927" s="122" t="s">
        <v>773</v>
      </c>
      <c r="J927" s="122" t="s">
        <v>2270</v>
      </c>
      <c r="K927" s="123" t="s">
        <v>95</v>
      </c>
      <c r="L927" s="123" t="s">
        <v>95</v>
      </c>
      <c r="M927" s="122" t="s">
        <v>714</v>
      </c>
      <c r="N927" s="157">
        <v>55825</v>
      </c>
      <c r="O927" s="122" t="s">
        <v>18</v>
      </c>
      <c r="P927" s="172"/>
      <c r="Q927" s="210"/>
    </row>
    <row r="928" spans="1:17" ht="21" x14ac:dyDescent="0.2">
      <c r="A928" s="143" t="s">
        <v>373</v>
      </c>
      <c r="B928" s="122">
        <v>2012118</v>
      </c>
      <c r="C928" s="122">
        <v>18259</v>
      </c>
      <c r="D928" s="122" t="s">
        <v>1924</v>
      </c>
      <c r="E928" s="122">
        <v>63</v>
      </c>
      <c r="F928" s="122" t="str">
        <f>IF(E928&lt;=20,"0-19",
IF(E928&lt;=50,"20-49",
IF(E928&lt;=80,"50-79","80+")))</f>
        <v>50-79</v>
      </c>
      <c r="G928" s="122" t="s">
        <v>1925</v>
      </c>
      <c r="H928" s="122" t="s">
        <v>15</v>
      </c>
      <c r="I928" s="122" t="s">
        <v>1926</v>
      </c>
      <c r="J928" s="122" t="s">
        <v>2270</v>
      </c>
      <c r="K928" s="123" t="s">
        <v>1927</v>
      </c>
      <c r="L928" s="122" t="s">
        <v>1928</v>
      </c>
      <c r="M928" s="122" t="s">
        <v>714</v>
      </c>
      <c r="N928" s="124">
        <v>12000</v>
      </c>
      <c r="O928" s="124" t="s">
        <v>2254</v>
      </c>
      <c r="P928" s="147">
        <v>254721743748</v>
      </c>
      <c r="Q928" s="210"/>
    </row>
    <row r="929" spans="1:17" x14ac:dyDescent="0.2">
      <c r="A929" s="155" t="s">
        <v>373</v>
      </c>
      <c r="B929" s="118">
        <v>2012118</v>
      </c>
      <c r="C929" s="125">
        <v>18259</v>
      </c>
      <c r="D929" s="118" t="s">
        <v>619</v>
      </c>
      <c r="E929" s="118">
        <v>63</v>
      </c>
      <c r="F929" s="118" t="str">
        <f>IF(E929&lt;=20,"0-19",
IF(E929&lt;=50,"20-49",
IF(E929&lt;=80,"50-79","80+")))</f>
        <v>50-79</v>
      </c>
      <c r="G929" s="118" t="s">
        <v>49</v>
      </c>
      <c r="H929" s="118" t="s">
        <v>15</v>
      </c>
      <c r="I929" s="118" t="s">
        <v>1480</v>
      </c>
      <c r="J929" s="118" t="s">
        <v>2270</v>
      </c>
      <c r="K929" s="118" t="s">
        <v>1264</v>
      </c>
      <c r="L929" s="118" t="s">
        <v>1264</v>
      </c>
      <c r="M929" s="125" t="s">
        <v>714</v>
      </c>
      <c r="N929" s="160">
        <v>51566</v>
      </c>
      <c r="O929" s="125" t="s">
        <v>832</v>
      </c>
      <c r="P929" s="173"/>
      <c r="Q929" s="210"/>
    </row>
    <row r="930" spans="1:17" x14ac:dyDescent="0.2">
      <c r="A930" s="155" t="s">
        <v>373</v>
      </c>
      <c r="B930" s="197">
        <v>2012118</v>
      </c>
      <c r="C930" s="197">
        <v>18259</v>
      </c>
      <c r="D930" s="198" t="s">
        <v>619</v>
      </c>
      <c r="E930" s="197">
        <v>63</v>
      </c>
      <c r="F930" s="197" t="str">
        <f>IF(E930&lt;=20,"0-19",
IF(E930&lt;=50,"20-49",
IF(E930&lt;=80,"50-79","80+")))</f>
        <v>50-79</v>
      </c>
      <c r="G930" s="197" t="s">
        <v>49</v>
      </c>
      <c r="H930" s="197" t="s">
        <v>15</v>
      </c>
      <c r="I930" s="198" t="s">
        <v>776</v>
      </c>
      <c r="J930" s="198" t="s">
        <v>2270</v>
      </c>
      <c r="K930" s="198" t="s">
        <v>57</v>
      </c>
      <c r="L930" s="197" t="s">
        <v>57</v>
      </c>
      <c r="M930" s="198" t="s">
        <v>714</v>
      </c>
      <c r="N930" s="202">
        <v>12000</v>
      </c>
      <c r="O930" s="122" t="s">
        <v>18</v>
      </c>
      <c r="P930" s="172"/>
      <c r="Q930" s="210"/>
    </row>
    <row r="931" spans="1:17" ht="21" x14ac:dyDescent="0.2">
      <c r="A931" s="142" t="s">
        <v>726</v>
      </c>
      <c r="B931" s="119">
        <v>2010446</v>
      </c>
      <c r="C931" s="125">
        <v>100598</v>
      </c>
      <c r="D931" s="119" t="s">
        <v>2007</v>
      </c>
      <c r="E931" s="119">
        <v>68</v>
      </c>
      <c r="F931" s="119" t="str">
        <f>IF(E931&lt;=20,"0-19",
IF(E931&lt;=50,"20-49",
IF(E931&lt;=80,"50-79","80+")))</f>
        <v>50-79</v>
      </c>
      <c r="G931" s="118" t="s">
        <v>60</v>
      </c>
      <c r="H931" s="118" t="s">
        <v>22</v>
      </c>
      <c r="I931" s="119" t="s">
        <v>2008</v>
      </c>
      <c r="J931" s="119" t="s">
        <v>2270</v>
      </c>
      <c r="K931" s="119" t="s">
        <v>2264</v>
      </c>
      <c r="L931" s="119" t="s">
        <v>1911</v>
      </c>
      <c r="M931" s="125" t="s">
        <v>714</v>
      </c>
      <c r="N931" s="129">
        <v>46600</v>
      </c>
      <c r="O931" s="129" t="s">
        <v>2254</v>
      </c>
      <c r="P931" s="146">
        <v>254722432463</v>
      </c>
      <c r="Q931" s="210"/>
    </row>
    <row r="932" spans="1:17" x14ac:dyDescent="0.2">
      <c r="A932" s="143" t="s">
        <v>72</v>
      </c>
      <c r="B932" s="122">
        <v>2001028</v>
      </c>
      <c r="C932" s="122">
        <v>18492</v>
      </c>
      <c r="D932" s="122" t="s">
        <v>763</v>
      </c>
      <c r="E932" s="123">
        <v>64</v>
      </c>
      <c r="F932" s="123" t="str">
        <f>IF(E932&lt;=20,"0-19",
IF(E932&lt;=50,"20-49",
IF(E932&lt;=80,"50-79","80+")))</f>
        <v>50-79</v>
      </c>
      <c r="G932" s="122" t="s">
        <v>126</v>
      </c>
      <c r="H932" s="122" t="s">
        <v>664</v>
      </c>
      <c r="I932" s="122" t="s">
        <v>764</v>
      </c>
      <c r="J932" s="122" t="s">
        <v>2270</v>
      </c>
      <c r="K932" s="123" t="s">
        <v>95</v>
      </c>
      <c r="L932" s="123" t="s">
        <v>95</v>
      </c>
      <c r="M932" s="122" t="s">
        <v>714</v>
      </c>
      <c r="N932" s="157">
        <v>150000</v>
      </c>
      <c r="O932" s="122" t="s">
        <v>18</v>
      </c>
      <c r="P932" s="172"/>
      <c r="Q932" s="210"/>
    </row>
    <row r="933" spans="1:17" ht="21" x14ac:dyDescent="0.2">
      <c r="A933" s="155" t="s">
        <v>1482</v>
      </c>
      <c r="B933" s="125">
        <v>2003191</v>
      </c>
      <c r="C933" s="125">
        <v>54549</v>
      </c>
      <c r="D933" s="125" t="s">
        <v>994</v>
      </c>
      <c r="E933" s="125">
        <v>65</v>
      </c>
      <c r="F933" s="125" t="str">
        <f>IF(E933&lt;=20,"0-19",
IF(E933&lt;=50,"20-49",
IF(E933&lt;=80,"50-79","80+")))</f>
        <v>50-79</v>
      </c>
      <c r="G933" s="125" t="s">
        <v>60</v>
      </c>
      <c r="H933" s="125" t="s">
        <v>22</v>
      </c>
      <c r="I933" s="119" t="s">
        <v>1187</v>
      </c>
      <c r="J933" s="119" t="s">
        <v>2270</v>
      </c>
      <c r="K933" s="119" t="s">
        <v>1188</v>
      </c>
      <c r="L933" s="125" t="s">
        <v>834</v>
      </c>
      <c r="M933" s="125" t="s">
        <v>714</v>
      </c>
      <c r="N933" s="162">
        <v>139182.6</v>
      </c>
      <c r="O933" s="125" t="s">
        <v>832</v>
      </c>
      <c r="P933" s="173"/>
      <c r="Q933" s="210"/>
    </row>
    <row r="934" spans="1:17" x14ac:dyDescent="0.2">
      <c r="A934" s="145" t="s">
        <v>75</v>
      </c>
      <c r="B934" s="125">
        <v>2018374</v>
      </c>
      <c r="C934" s="125">
        <v>64248</v>
      </c>
      <c r="D934" s="125" t="s">
        <v>811</v>
      </c>
      <c r="E934" s="119">
        <v>55</v>
      </c>
      <c r="F934" s="119" t="str">
        <f>IF(E934&lt;=20,"0-19",
IF(E934&lt;=50,"20-49",
IF(E934&lt;=80,"50-79","80+")))</f>
        <v>50-79</v>
      </c>
      <c r="G934" s="125" t="s">
        <v>49</v>
      </c>
      <c r="H934" s="125" t="s">
        <v>15</v>
      </c>
      <c r="I934" s="125" t="s">
        <v>812</v>
      </c>
      <c r="J934" s="125" t="s">
        <v>2270</v>
      </c>
      <c r="K934" s="119" t="s">
        <v>66</v>
      </c>
      <c r="L934" s="119" t="s">
        <v>66</v>
      </c>
      <c r="M934" s="125" t="s">
        <v>714</v>
      </c>
      <c r="N934" s="165">
        <v>40416.43</v>
      </c>
      <c r="O934" s="125" t="s">
        <v>18</v>
      </c>
      <c r="P934" s="173"/>
      <c r="Q934" s="210"/>
    </row>
    <row r="935" spans="1:17" x14ac:dyDescent="0.2">
      <c r="A935" s="155" t="s">
        <v>53</v>
      </c>
      <c r="B935" s="125">
        <v>2007795</v>
      </c>
      <c r="C935" s="125">
        <v>15404</v>
      </c>
      <c r="D935" s="125" t="s">
        <v>749</v>
      </c>
      <c r="E935" s="119">
        <v>63</v>
      </c>
      <c r="F935" s="119" t="str">
        <f>IF(E935&lt;=20,"0-19",
IF(E935&lt;=50,"20-49",
IF(E935&lt;=80,"50-79","80+")))</f>
        <v>50-79</v>
      </c>
      <c r="G935" s="125" t="s">
        <v>49</v>
      </c>
      <c r="H935" s="125" t="s">
        <v>15</v>
      </c>
      <c r="I935" s="125" t="s">
        <v>750</v>
      </c>
      <c r="J935" s="125" t="s">
        <v>2270</v>
      </c>
      <c r="K935" s="119" t="s">
        <v>95</v>
      </c>
      <c r="L935" s="119" t="s">
        <v>95</v>
      </c>
      <c r="M935" s="125" t="s">
        <v>714</v>
      </c>
      <c r="N935" s="165">
        <v>486113.12</v>
      </c>
      <c r="O935" s="125" t="s">
        <v>18</v>
      </c>
      <c r="P935" s="173"/>
      <c r="Q935" s="210"/>
    </row>
    <row r="936" spans="1:17" x14ac:dyDescent="0.2">
      <c r="A936" s="155" t="s">
        <v>726</v>
      </c>
      <c r="B936" s="125">
        <v>2009023</v>
      </c>
      <c r="C936" s="125">
        <v>18240</v>
      </c>
      <c r="D936" s="125" t="s">
        <v>1191</v>
      </c>
      <c r="E936" s="125">
        <v>42</v>
      </c>
      <c r="F936" s="125" t="str">
        <f>IF(E936&lt;=20,"0-19",
IF(E936&lt;=50,"20-49",
IF(E936&lt;=80,"50-79","80+")))</f>
        <v>20-49</v>
      </c>
      <c r="G936" s="125" t="s">
        <v>49</v>
      </c>
      <c r="H936" s="125" t="s">
        <v>15</v>
      </c>
      <c r="I936" s="119" t="s">
        <v>1192</v>
      </c>
      <c r="J936" s="119" t="s">
        <v>2270</v>
      </c>
      <c r="K936" s="119" t="s">
        <v>855</v>
      </c>
      <c r="L936" s="125" t="s">
        <v>855</v>
      </c>
      <c r="M936" s="125" t="s">
        <v>714</v>
      </c>
      <c r="N936" s="162">
        <v>75850</v>
      </c>
      <c r="O936" s="125" t="s">
        <v>832</v>
      </c>
      <c r="P936" s="172"/>
      <c r="Q936" s="210"/>
    </row>
    <row r="937" spans="1:17" x14ac:dyDescent="0.2">
      <c r="A937" s="156" t="s">
        <v>309</v>
      </c>
      <c r="B937" s="196">
        <v>2014720</v>
      </c>
      <c r="C937" s="196">
        <v>37099</v>
      </c>
      <c r="D937" s="196" t="s">
        <v>717</v>
      </c>
      <c r="E937" s="196">
        <v>67</v>
      </c>
      <c r="F937" s="196" t="str">
        <f>IF(E937&lt;=20,"0-19",
IF(E937&lt;=50,"20-49",
IF(E937&lt;=80,"50-79","80+")))</f>
        <v>50-79</v>
      </c>
      <c r="G937" s="196" t="s">
        <v>14</v>
      </c>
      <c r="H937" s="196" t="s">
        <v>15</v>
      </c>
      <c r="I937" s="196" t="s">
        <v>718</v>
      </c>
      <c r="J937" s="196" t="s">
        <v>2270</v>
      </c>
      <c r="K937" s="196" t="s">
        <v>121</v>
      </c>
      <c r="L937" s="196" t="s">
        <v>121</v>
      </c>
      <c r="M937" s="198" t="s">
        <v>714</v>
      </c>
      <c r="N937" s="201">
        <v>50527.98</v>
      </c>
      <c r="O937" s="125" t="s">
        <v>18</v>
      </c>
      <c r="P937" s="173"/>
      <c r="Q937" s="210"/>
    </row>
    <row r="938" spans="1:17" x14ac:dyDescent="0.2">
      <c r="A938" s="143" t="s">
        <v>726</v>
      </c>
      <c r="B938" s="123">
        <v>2009023</v>
      </c>
      <c r="C938" s="122">
        <v>18240</v>
      </c>
      <c r="D938" s="123" t="s">
        <v>1191</v>
      </c>
      <c r="E938" s="123">
        <v>42</v>
      </c>
      <c r="F938" s="123" t="str">
        <f>IF(E938&lt;=20,"0-19",
IF(E938&lt;=50,"20-49",
IF(E938&lt;=80,"50-79","80+")))</f>
        <v>20-49</v>
      </c>
      <c r="G938" s="123" t="s">
        <v>14</v>
      </c>
      <c r="H938" s="123" t="s">
        <v>15</v>
      </c>
      <c r="I938" s="123" t="s">
        <v>2137</v>
      </c>
      <c r="J938" s="196" t="s">
        <v>2270</v>
      </c>
      <c r="K938" s="123" t="s">
        <v>1911</v>
      </c>
      <c r="L938" s="123" t="s">
        <v>1911</v>
      </c>
      <c r="M938" s="122" t="s">
        <v>714</v>
      </c>
      <c r="N938" s="127">
        <v>154500</v>
      </c>
      <c r="O938" s="127" t="s">
        <v>2254</v>
      </c>
      <c r="P938" s="147">
        <v>254724074168</v>
      </c>
      <c r="Q938" s="210"/>
    </row>
    <row r="939" spans="1:17" ht="21" x14ac:dyDescent="0.2">
      <c r="A939" s="155" t="s">
        <v>1033</v>
      </c>
      <c r="B939" s="125">
        <v>2016144</v>
      </c>
      <c r="C939" s="125">
        <v>57112</v>
      </c>
      <c r="D939" s="125" t="s">
        <v>1299</v>
      </c>
      <c r="E939" s="125">
        <v>58</v>
      </c>
      <c r="F939" s="125" t="str">
        <f>IF(E939&lt;=20,"0-19",
IF(E939&lt;=50,"20-49",
IF(E939&lt;=80,"50-79","80+")))</f>
        <v>50-79</v>
      </c>
      <c r="G939" s="125" t="s">
        <v>14</v>
      </c>
      <c r="H939" s="125" t="s">
        <v>706</v>
      </c>
      <c r="I939" s="119" t="s">
        <v>1300</v>
      </c>
      <c r="J939" s="196" t="s">
        <v>2270</v>
      </c>
      <c r="K939" s="119" t="s">
        <v>1301</v>
      </c>
      <c r="L939" s="119" t="s">
        <v>1238</v>
      </c>
      <c r="M939" s="125" t="s">
        <v>714</v>
      </c>
      <c r="N939" s="162">
        <v>68500</v>
      </c>
      <c r="O939" s="125" t="s">
        <v>832</v>
      </c>
      <c r="P939" s="172"/>
      <c r="Q939" s="210"/>
    </row>
    <row r="940" spans="1:17" x14ac:dyDescent="0.2">
      <c r="A940" s="155" t="s">
        <v>53</v>
      </c>
      <c r="B940" s="198">
        <v>2502192</v>
      </c>
      <c r="C940" s="197">
        <v>104817</v>
      </c>
      <c r="D940" s="198" t="s">
        <v>751</v>
      </c>
      <c r="E940" s="198">
        <v>60</v>
      </c>
      <c r="F940" s="198" t="str">
        <f>IF(E940&lt;=20,"0-19",
IF(E940&lt;=50,"20-49",
IF(E940&lt;=80,"50-79","80+")))</f>
        <v>50-79</v>
      </c>
      <c r="G940" s="198" t="s">
        <v>60</v>
      </c>
      <c r="H940" s="198" t="s">
        <v>22</v>
      </c>
      <c r="I940" s="198" t="s">
        <v>752</v>
      </c>
      <c r="J940" s="196" t="s">
        <v>2270</v>
      </c>
      <c r="K940" s="196" t="s">
        <v>24</v>
      </c>
      <c r="L940" s="196" t="s">
        <v>24</v>
      </c>
      <c r="M940" s="198" t="s">
        <v>714</v>
      </c>
      <c r="N940" s="203">
        <v>47992</v>
      </c>
      <c r="O940" s="125" t="s">
        <v>18</v>
      </c>
      <c r="P940" s="173"/>
      <c r="Q940" s="210"/>
    </row>
    <row r="941" spans="1:17" x14ac:dyDescent="0.2">
      <c r="A941" s="142" t="s">
        <v>53</v>
      </c>
      <c r="B941" s="119">
        <v>2018734</v>
      </c>
      <c r="C941" s="125">
        <v>64401</v>
      </c>
      <c r="D941" s="119" t="s">
        <v>1595</v>
      </c>
      <c r="E941" s="119">
        <v>61</v>
      </c>
      <c r="F941" s="119" t="str">
        <f>IF(E941&lt;=20,"0-19",
IF(E941&lt;=50,"20-49",
IF(E941&lt;=80,"50-79","80+")))</f>
        <v>50-79</v>
      </c>
      <c r="G941" s="119" t="s">
        <v>126</v>
      </c>
      <c r="H941" s="119" t="s">
        <v>22</v>
      </c>
      <c r="I941" s="119" t="s">
        <v>1596</v>
      </c>
      <c r="J941" s="196" t="s">
        <v>2270</v>
      </c>
      <c r="K941" s="119" t="s">
        <v>1562</v>
      </c>
      <c r="L941" s="119" t="s">
        <v>1562</v>
      </c>
      <c r="M941" s="125" t="s">
        <v>714</v>
      </c>
      <c r="N941" s="120">
        <v>27000</v>
      </c>
      <c r="O941" s="120" t="s">
        <v>2254</v>
      </c>
      <c r="P941" s="146">
        <v>254718134262</v>
      </c>
      <c r="Q941" s="210"/>
    </row>
    <row r="942" spans="1:17" x14ac:dyDescent="0.2">
      <c r="A942" s="155" t="s">
        <v>836</v>
      </c>
      <c r="B942" s="118">
        <v>2015079</v>
      </c>
      <c r="C942" s="125">
        <v>14150</v>
      </c>
      <c r="D942" s="118" t="s">
        <v>1194</v>
      </c>
      <c r="E942" s="118">
        <v>68</v>
      </c>
      <c r="F942" s="118" t="str">
        <f>IF(E942&lt;=20,"0-19",
IF(E942&lt;=50,"20-49",
IF(E942&lt;=80,"50-79","80+")))</f>
        <v>50-79</v>
      </c>
      <c r="G942" s="118" t="s">
        <v>60</v>
      </c>
      <c r="H942" s="118" t="s">
        <v>22</v>
      </c>
      <c r="I942" s="118" t="s">
        <v>1195</v>
      </c>
      <c r="J942" s="196" t="s">
        <v>2270</v>
      </c>
      <c r="K942" s="118" t="s">
        <v>835</v>
      </c>
      <c r="L942" s="118" t="s">
        <v>835</v>
      </c>
      <c r="M942" s="125" t="s">
        <v>714</v>
      </c>
      <c r="N942" s="160">
        <v>161463</v>
      </c>
      <c r="O942" s="125" t="s">
        <v>832</v>
      </c>
      <c r="P942" s="172"/>
      <c r="Q942" s="210"/>
    </row>
    <row r="943" spans="1:17" x14ac:dyDescent="0.2">
      <c r="A943" s="143" t="s">
        <v>726</v>
      </c>
      <c r="B943" s="122">
        <v>2000038</v>
      </c>
      <c r="C943" s="122">
        <v>20565</v>
      </c>
      <c r="D943" s="122" t="s">
        <v>1692</v>
      </c>
      <c r="E943" s="122">
        <v>71</v>
      </c>
      <c r="F943" s="122" t="str">
        <f>IF(E943&lt;=20,"0-19",
IF(E943&lt;=50,"20-49",
IF(E943&lt;=80,"50-79","80+")))</f>
        <v>50-79</v>
      </c>
      <c r="G943" s="122" t="s">
        <v>126</v>
      </c>
      <c r="H943" s="122" t="s">
        <v>664</v>
      </c>
      <c r="I943" s="123" t="s">
        <v>1693</v>
      </c>
      <c r="J943" s="196" t="s">
        <v>2270</v>
      </c>
      <c r="K943" s="122" t="s">
        <v>1556</v>
      </c>
      <c r="L943" s="122" t="s">
        <v>1556</v>
      </c>
      <c r="M943" s="122" t="s">
        <v>714</v>
      </c>
      <c r="N943" s="124">
        <v>80625</v>
      </c>
      <c r="O943" s="124" t="s">
        <v>2254</v>
      </c>
      <c r="P943" s="147">
        <v>254722525808</v>
      </c>
      <c r="Q943" s="210"/>
    </row>
    <row r="944" spans="1:17" ht="31.5" x14ac:dyDescent="0.2">
      <c r="A944" s="155" t="s">
        <v>53</v>
      </c>
      <c r="B944" s="125">
        <v>2506022</v>
      </c>
      <c r="C944" s="125">
        <v>58697</v>
      </c>
      <c r="D944" s="125" t="s">
        <v>1212</v>
      </c>
      <c r="E944" s="125">
        <v>60</v>
      </c>
      <c r="F944" s="125" t="str">
        <f>IF(E944&lt;=20,"0-19",
IF(E944&lt;=50,"20-49",
IF(E944&lt;=80,"50-79","80+")))</f>
        <v>50-79</v>
      </c>
      <c r="G944" s="125" t="s">
        <v>60</v>
      </c>
      <c r="H944" s="125" t="s">
        <v>22</v>
      </c>
      <c r="I944" s="125" t="s">
        <v>23</v>
      </c>
      <c r="J944" s="196" t="s">
        <v>2270</v>
      </c>
      <c r="K944" s="119" t="s">
        <v>1213</v>
      </c>
      <c r="L944" s="119" t="s">
        <v>859</v>
      </c>
      <c r="M944" s="125" t="s">
        <v>714</v>
      </c>
      <c r="N944" s="162">
        <v>62100</v>
      </c>
      <c r="O944" s="125" t="s">
        <v>832</v>
      </c>
      <c r="P944" s="172"/>
      <c r="Q944" s="210"/>
    </row>
    <row r="945" spans="1:17" x14ac:dyDescent="0.2">
      <c r="A945" s="155" t="s">
        <v>836</v>
      </c>
      <c r="B945" s="125">
        <v>2503065</v>
      </c>
      <c r="C945" s="125">
        <v>59127</v>
      </c>
      <c r="D945" s="125" t="s">
        <v>1207</v>
      </c>
      <c r="E945" s="125">
        <v>59</v>
      </c>
      <c r="F945" s="125" t="str">
        <f>IF(E945&lt;=20,"0-19",
IF(E945&lt;=50,"20-49",
IF(E945&lt;=80,"50-79","80+")))</f>
        <v>50-79</v>
      </c>
      <c r="G945" s="125" t="s">
        <v>60</v>
      </c>
      <c r="H945" s="125" t="s">
        <v>22</v>
      </c>
      <c r="I945" s="125" t="s">
        <v>1208</v>
      </c>
      <c r="J945" s="196" t="s">
        <v>2270</v>
      </c>
      <c r="K945" s="119" t="s">
        <v>859</v>
      </c>
      <c r="L945" s="119" t="s">
        <v>859</v>
      </c>
      <c r="M945" s="125" t="s">
        <v>714</v>
      </c>
      <c r="N945" s="162">
        <v>147840</v>
      </c>
      <c r="O945" s="125" t="s">
        <v>832</v>
      </c>
      <c r="P945" s="173"/>
      <c r="Q945" s="210"/>
    </row>
    <row r="946" spans="1:17" x14ac:dyDescent="0.2">
      <c r="A946" s="142" t="s">
        <v>274</v>
      </c>
      <c r="B946" s="118">
        <v>2021923</v>
      </c>
      <c r="C946" s="125">
        <v>56634</v>
      </c>
      <c r="D946" s="119" t="s">
        <v>2017</v>
      </c>
      <c r="E946" s="119">
        <v>60</v>
      </c>
      <c r="F946" s="119" t="str">
        <f>IF(E946&lt;=20,"0-19",
IF(E946&lt;=50,"20-49",
IF(E946&lt;=80,"50-79","80+")))</f>
        <v>50-79</v>
      </c>
      <c r="G946" s="118" t="s">
        <v>60</v>
      </c>
      <c r="H946" s="118" t="s">
        <v>22</v>
      </c>
      <c r="I946" s="119" t="s">
        <v>23</v>
      </c>
      <c r="J946" s="196" t="s">
        <v>2270</v>
      </c>
      <c r="K946" s="119" t="s">
        <v>1911</v>
      </c>
      <c r="L946" s="119" t="s">
        <v>1911</v>
      </c>
      <c r="M946" s="125" t="s">
        <v>714</v>
      </c>
      <c r="N946" s="120">
        <v>51899.8</v>
      </c>
      <c r="O946" s="120" t="s">
        <v>2254</v>
      </c>
      <c r="P946" s="146">
        <v>254723908946</v>
      </c>
      <c r="Q946" s="210"/>
    </row>
    <row r="947" spans="1:17" x14ac:dyDescent="0.2">
      <c r="A947" s="143" t="s">
        <v>53</v>
      </c>
      <c r="B947" s="122">
        <v>2019232</v>
      </c>
      <c r="C947" s="122">
        <v>104495</v>
      </c>
      <c r="D947" s="122" t="s">
        <v>2131</v>
      </c>
      <c r="E947" s="122">
        <v>64</v>
      </c>
      <c r="F947" s="122" t="str">
        <f>IF(E947&lt;=20,"0-19",
IF(E947&lt;=50,"20-49",
IF(E947&lt;=80,"50-79","80+")))</f>
        <v>50-79</v>
      </c>
      <c r="G947" s="122" t="s">
        <v>126</v>
      </c>
      <c r="H947" s="122" t="s">
        <v>664</v>
      </c>
      <c r="I947" s="122" t="s">
        <v>2132</v>
      </c>
      <c r="J947" s="125" t="s">
        <v>2270</v>
      </c>
      <c r="K947" s="123" t="s">
        <v>1921</v>
      </c>
      <c r="L947" s="122" t="s">
        <v>1921</v>
      </c>
      <c r="M947" s="122" t="s">
        <v>2133</v>
      </c>
      <c r="N947" s="124">
        <v>144353.44</v>
      </c>
      <c r="O947" s="124" t="s">
        <v>2254</v>
      </c>
      <c r="P947" s="147">
        <v>254719250639</v>
      </c>
      <c r="Q947" s="210"/>
    </row>
    <row r="948" spans="1:17" x14ac:dyDescent="0.2">
      <c r="A948" s="143" t="s">
        <v>155</v>
      </c>
      <c r="B948" s="122">
        <v>2010327</v>
      </c>
      <c r="C948" s="122">
        <v>18565</v>
      </c>
      <c r="D948" s="122" t="s">
        <v>1982</v>
      </c>
      <c r="E948" s="122">
        <v>60</v>
      </c>
      <c r="F948" s="122" t="str">
        <f>IF(E948&lt;=20,"0-19",
IF(E948&lt;=50,"20-49",
IF(E948&lt;=80,"50-79","80+")))</f>
        <v>50-79</v>
      </c>
      <c r="G948" s="122" t="s">
        <v>49</v>
      </c>
      <c r="H948" s="122" t="s">
        <v>15</v>
      </c>
      <c r="I948" s="122" t="s">
        <v>1983</v>
      </c>
      <c r="J948" s="198" t="s">
        <v>2546</v>
      </c>
      <c r="K948" s="123" t="s">
        <v>1895</v>
      </c>
      <c r="L948" s="122" t="s">
        <v>1895</v>
      </c>
      <c r="M948" s="122" t="s">
        <v>788</v>
      </c>
      <c r="N948" s="124">
        <v>35000</v>
      </c>
      <c r="O948" s="124" t="s">
        <v>2254</v>
      </c>
      <c r="P948" s="147">
        <v>254759486095</v>
      </c>
      <c r="Q948" s="210"/>
    </row>
    <row r="949" spans="1:17" x14ac:dyDescent="0.2">
      <c r="A949" s="142" t="s">
        <v>785</v>
      </c>
      <c r="B949" s="125">
        <v>2410135</v>
      </c>
      <c r="C949" s="125">
        <v>86799</v>
      </c>
      <c r="D949" s="125" t="s">
        <v>1735</v>
      </c>
      <c r="E949" s="125">
        <v>35</v>
      </c>
      <c r="F949" s="125" t="str">
        <f>IF(E949&lt;=20,"0-19",
IF(E949&lt;=50,"20-49",
IF(E949&lt;=80,"50-79","80+")))</f>
        <v>20-49</v>
      </c>
      <c r="G949" s="125" t="s">
        <v>49</v>
      </c>
      <c r="H949" s="125" t="s">
        <v>15</v>
      </c>
      <c r="I949" s="119" t="s">
        <v>1736</v>
      </c>
      <c r="J949" s="198" t="s">
        <v>2311</v>
      </c>
      <c r="K949" s="125" t="s">
        <v>1737</v>
      </c>
      <c r="L949" s="125" t="s">
        <v>1551</v>
      </c>
      <c r="M949" s="125" t="s">
        <v>788</v>
      </c>
      <c r="N949" s="126">
        <v>120000</v>
      </c>
      <c r="O949" s="126" t="s">
        <v>2254</v>
      </c>
      <c r="P949" s="146">
        <v>254722802966</v>
      </c>
      <c r="Q949" s="210"/>
    </row>
    <row r="950" spans="1:17" x14ac:dyDescent="0.2">
      <c r="A950" s="180" t="s">
        <v>228</v>
      </c>
      <c r="B950" s="176">
        <v>2022544</v>
      </c>
      <c r="C950" s="176">
        <v>103364</v>
      </c>
      <c r="D950" s="176" t="s">
        <v>822</v>
      </c>
      <c r="E950" s="176">
        <v>60</v>
      </c>
      <c r="F950" s="176" t="str">
        <f>IF(E950&lt;=20,"0-19",
IF(E950&lt;=50,"20-49",
IF(E950&lt;=80,"50-79","80+")))</f>
        <v>50-79</v>
      </c>
      <c r="G950" s="176" t="s">
        <v>49</v>
      </c>
      <c r="H950" s="176" t="s">
        <v>15</v>
      </c>
      <c r="I950" s="176" t="s">
        <v>823</v>
      </c>
      <c r="J950" s="198" t="s">
        <v>2311</v>
      </c>
      <c r="K950" s="176" t="s">
        <v>289</v>
      </c>
      <c r="L950" s="176" t="s">
        <v>289</v>
      </c>
      <c r="M950" s="118" t="s">
        <v>788</v>
      </c>
      <c r="N950" s="167">
        <v>16048.06</v>
      </c>
      <c r="O950" s="125" t="s">
        <v>18</v>
      </c>
      <c r="P950" s="173"/>
      <c r="Q950" s="210"/>
    </row>
    <row r="951" spans="1:17" x14ac:dyDescent="0.2">
      <c r="A951" s="155" t="s">
        <v>785</v>
      </c>
      <c r="B951" s="125">
        <v>2001267</v>
      </c>
      <c r="C951" s="125">
        <v>3633</v>
      </c>
      <c r="D951" s="125" t="s">
        <v>1214</v>
      </c>
      <c r="E951" s="125">
        <v>77</v>
      </c>
      <c r="F951" s="125" t="str">
        <f>IF(E951&lt;=20,"0-19",
IF(E951&lt;=50,"20-49",
IF(E951&lt;=80,"50-79","80+")))</f>
        <v>50-79</v>
      </c>
      <c r="G951" s="125" t="s">
        <v>60</v>
      </c>
      <c r="H951" s="125" t="s">
        <v>22</v>
      </c>
      <c r="I951" s="119" t="s">
        <v>791</v>
      </c>
      <c r="J951" s="198" t="s">
        <v>2311</v>
      </c>
      <c r="K951" s="119" t="s">
        <v>831</v>
      </c>
      <c r="L951" s="125" t="s">
        <v>831</v>
      </c>
      <c r="M951" s="125" t="s">
        <v>788</v>
      </c>
      <c r="N951" s="162">
        <v>155000</v>
      </c>
      <c r="O951" s="125" t="s">
        <v>832</v>
      </c>
      <c r="P951" s="172"/>
      <c r="Q951" s="210"/>
    </row>
    <row r="952" spans="1:17" x14ac:dyDescent="0.2">
      <c r="A952" s="155" t="s">
        <v>785</v>
      </c>
      <c r="B952" s="122">
        <v>2002878</v>
      </c>
      <c r="C952" s="122">
        <v>17707</v>
      </c>
      <c r="D952" s="122" t="s">
        <v>240</v>
      </c>
      <c r="E952" s="123">
        <v>67</v>
      </c>
      <c r="F952" s="123" t="str">
        <f>IF(E952&lt;=20,"0-19",
IF(E952&lt;=50,"20-49",
IF(E952&lt;=80,"50-79","80+")))</f>
        <v>50-79</v>
      </c>
      <c r="G952" s="122" t="s">
        <v>60</v>
      </c>
      <c r="H952" s="122" t="s">
        <v>22</v>
      </c>
      <c r="I952" s="122" t="s">
        <v>791</v>
      </c>
      <c r="J952" s="198" t="s">
        <v>2311</v>
      </c>
      <c r="K952" s="123" t="s">
        <v>79</v>
      </c>
      <c r="L952" s="123" t="s">
        <v>79</v>
      </c>
      <c r="M952" s="122" t="s">
        <v>788</v>
      </c>
      <c r="N952" s="157">
        <v>160000</v>
      </c>
      <c r="O952" s="122" t="s">
        <v>18</v>
      </c>
      <c r="P952" s="172"/>
      <c r="Q952" s="210"/>
    </row>
    <row r="953" spans="1:17" ht="21" x14ac:dyDescent="0.2">
      <c r="A953" s="155" t="s">
        <v>1459</v>
      </c>
      <c r="B953" s="125">
        <v>2019633</v>
      </c>
      <c r="C953" s="125">
        <v>42684</v>
      </c>
      <c r="D953" s="125" t="s">
        <v>1460</v>
      </c>
      <c r="E953" s="125">
        <v>63</v>
      </c>
      <c r="F953" s="125" t="str">
        <f>IF(E953&lt;=20,"0-19",
IF(E953&lt;=50,"20-49",
IF(E953&lt;=80,"50-79","80+")))</f>
        <v>50-79</v>
      </c>
      <c r="G953" s="125" t="s">
        <v>49</v>
      </c>
      <c r="H953" s="125" t="s">
        <v>22</v>
      </c>
      <c r="I953" s="119" t="s">
        <v>791</v>
      </c>
      <c r="J953" s="198" t="s">
        <v>2311</v>
      </c>
      <c r="K953" s="119" t="s">
        <v>1461</v>
      </c>
      <c r="L953" s="119" t="s">
        <v>1241</v>
      </c>
      <c r="M953" s="125" t="s">
        <v>788</v>
      </c>
      <c r="N953" s="162">
        <v>60000</v>
      </c>
      <c r="O953" s="125" t="s">
        <v>832</v>
      </c>
      <c r="P953" s="172"/>
      <c r="Q953" s="210"/>
    </row>
    <row r="954" spans="1:17" x14ac:dyDescent="0.2">
      <c r="A954" s="155" t="s">
        <v>785</v>
      </c>
      <c r="B954" s="125">
        <v>2002878</v>
      </c>
      <c r="C954" s="125">
        <v>17707</v>
      </c>
      <c r="D954" s="125" t="s">
        <v>240</v>
      </c>
      <c r="E954" s="119">
        <v>68</v>
      </c>
      <c r="F954" s="119" t="str">
        <f>IF(E954&lt;=20,"0-19",
IF(E954&lt;=50,"20-49",
IF(E954&lt;=80,"50-79","80+")))</f>
        <v>50-79</v>
      </c>
      <c r="G954" s="125" t="s">
        <v>60</v>
      </c>
      <c r="H954" s="125" t="s">
        <v>22</v>
      </c>
      <c r="I954" s="125" t="s">
        <v>791</v>
      </c>
      <c r="J954" s="114" t="s">
        <v>2311</v>
      </c>
      <c r="K954" s="119" t="s">
        <v>95</v>
      </c>
      <c r="L954" s="119" t="s">
        <v>95</v>
      </c>
      <c r="M954" s="125" t="s">
        <v>788</v>
      </c>
      <c r="N954" s="165">
        <v>160000</v>
      </c>
      <c r="O954" s="125" t="s">
        <v>18</v>
      </c>
      <c r="P954" s="173"/>
      <c r="Q954" s="210"/>
    </row>
    <row r="955" spans="1:17" x14ac:dyDescent="0.2">
      <c r="A955" s="155" t="s">
        <v>808</v>
      </c>
      <c r="B955" s="125">
        <v>2002666</v>
      </c>
      <c r="C955" s="125">
        <v>50731</v>
      </c>
      <c r="D955" s="125" t="s">
        <v>1313</v>
      </c>
      <c r="E955" s="125">
        <v>59</v>
      </c>
      <c r="F955" s="125" t="str">
        <f>IF(E955&lt;=20,"0-19",
IF(E955&lt;=50,"20-49",
IF(E955&lt;=80,"50-79","80+")))</f>
        <v>50-79</v>
      </c>
      <c r="G955" s="125" t="s">
        <v>49</v>
      </c>
      <c r="H955" s="125" t="s">
        <v>22</v>
      </c>
      <c r="I955" s="125" t="s">
        <v>791</v>
      </c>
      <c r="J955" s="114" t="s">
        <v>2311</v>
      </c>
      <c r="K955" s="125" t="s">
        <v>1314</v>
      </c>
      <c r="L955" s="125" t="s">
        <v>1225</v>
      </c>
      <c r="M955" s="125" t="s">
        <v>788</v>
      </c>
      <c r="N955" s="162">
        <v>110000</v>
      </c>
      <c r="O955" s="125" t="s">
        <v>832</v>
      </c>
      <c r="P955" s="172"/>
      <c r="Q955" s="210"/>
    </row>
    <row r="956" spans="1:17" x14ac:dyDescent="0.2">
      <c r="A956" s="155" t="s">
        <v>337</v>
      </c>
      <c r="B956" s="118">
        <v>2023807</v>
      </c>
      <c r="C956" s="125">
        <v>31891</v>
      </c>
      <c r="D956" s="118" t="s">
        <v>1376</v>
      </c>
      <c r="E956" s="118">
        <v>64</v>
      </c>
      <c r="F956" s="118" t="str">
        <f>IF(E956&lt;=20,"0-19",
IF(E956&lt;=50,"20-49",
IF(E956&lt;=80,"50-79","80+")))</f>
        <v>50-79</v>
      </c>
      <c r="G956" s="118" t="s">
        <v>49</v>
      </c>
      <c r="H956" s="118" t="s">
        <v>15</v>
      </c>
      <c r="I956" s="118" t="s">
        <v>791</v>
      </c>
      <c r="J956" s="114" t="s">
        <v>2311</v>
      </c>
      <c r="K956" s="118" t="s">
        <v>1254</v>
      </c>
      <c r="L956" s="118" t="s">
        <v>1254</v>
      </c>
      <c r="M956" s="125" t="s">
        <v>788</v>
      </c>
      <c r="N956" s="160">
        <v>71143</v>
      </c>
      <c r="O956" s="125" t="s">
        <v>832</v>
      </c>
      <c r="P956" s="172"/>
      <c r="Q956" s="210"/>
    </row>
    <row r="957" spans="1:17" x14ac:dyDescent="0.2">
      <c r="A957" s="143" t="s">
        <v>808</v>
      </c>
      <c r="B957" s="122">
        <v>2007595</v>
      </c>
      <c r="C957" s="122">
        <v>17708</v>
      </c>
      <c r="D957" s="122" t="s">
        <v>2119</v>
      </c>
      <c r="E957" s="122"/>
      <c r="F957" s="122" t="str">
        <f>IF(E957&lt;=20,"0-19",
IF(E957&lt;=50,"20-49",
IF(E957&lt;=80,"50-79","80+")))</f>
        <v>0-19</v>
      </c>
      <c r="G957" s="122" t="s">
        <v>1499</v>
      </c>
      <c r="H957" s="122" t="s">
        <v>15</v>
      </c>
      <c r="I957" s="122" t="s">
        <v>791</v>
      </c>
      <c r="J957" s="114" t="s">
        <v>2311</v>
      </c>
      <c r="K957" s="123" t="s">
        <v>1922</v>
      </c>
      <c r="L957" s="122" t="s">
        <v>1922</v>
      </c>
      <c r="M957" s="122" t="s">
        <v>788</v>
      </c>
      <c r="N957" s="124">
        <v>110000</v>
      </c>
      <c r="O957" s="124" t="s">
        <v>2254</v>
      </c>
      <c r="P957" s="147">
        <v>254725200477</v>
      </c>
      <c r="Q957" s="210"/>
    </row>
    <row r="958" spans="1:17" x14ac:dyDescent="0.2">
      <c r="A958" s="143" t="s">
        <v>808</v>
      </c>
      <c r="B958" s="122">
        <v>2016005</v>
      </c>
      <c r="C958" s="122">
        <v>9390</v>
      </c>
      <c r="D958" s="122" t="s">
        <v>1726</v>
      </c>
      <c r="E958" s="122">
        <v>71</v>
      </c>
      <c r="F958" s="122" t="str">
        <f>IF(E958&lt;=20,"0-19",
IF(E958&lt;=50,"20-49",
IF(E958&lt;=80,"50-79","80+")))</f>
        <v>50-79</v>
      </c>
      <c r="G958" s="122" t="s">
        <v>60</v>
      </c>
      <c r="H958" s="122" t="s">
        <v>22</v>
      </c>
      <c r="I958" s="123" t="s">
        <v>1727</v>
      </c>
      <c r="J958" s="114" t="s">
        <v>2311</v>
      </c>
      <c r="K958" s="122" t="s">
        <v>1728</v>
      </c>
      <c r="L958" s="122" t="s">
        <v>1549</v>
      </c>
      <c r="M958" s="122" t="s">
        <v>788</v>
      </c>
      <c r="N958" s="124">
        <v>110000</v>
      </c>
      <c r="O958" s="124" t="s">
        <v>2254</v>
      </c>
      <c r="P958" s="147">
        <v>254721933124</v>
      </c>
      <c r="Q958" s="210"/>
    </row>
    <row r="959" spans="1:17" x14ac:dyDescent="0.2">
      <c r="A959" s="155" t="s">
        <v>785</v>
      </c>
      <c r="B959" s="122">
        <v>2021340</v>
      </c>
      <c r="C959" s="122">
        <v>93595</v>
      </c>
      <c r="D959" s="122" t="s">
        <v>796</v>
      </c>
      <c r="E959" s="123">
        <v>10</v>
      </c>
      <c r="F959" s="123" t="str">
        <f>IF(E959&lt;=20,"0-19",
IF(E959&lt;=50,"20-49",
IF(E959&lt;=80,"50-79","80+")))</f>
        <v>0-19</v>
      </c>
      <c r="G959" s="122" t="s">
        <v>797</v>
      </c>
      <c r="H959" s="122" t="s">
        <v>132</v>
      </c>
      <c r="I959" s="122" t="s">
        <v>798</v>
      </c>
      <c r="J959" s="114" t="s">
        <v>2311</v>
      </c>
      <c r="K959" s="123" t="s">
        <v>193</v>
      </c>
      <c r="L959" s="123" t="s">
        <v>193</v>
      </c>
      <c r="M959" s="122" t="s">
        <v>788</v>
      </c>
      <c r="N959" s="157">
        <v>250000</v>
      </c>
      <c r="O959" s="122" t="s">
        <v>18</v>
      </c>
      <c r="P959" s="172"/>
      <c r="Q959" s="210"/>
    </row>
    <row r="960" spans="1:17" x14ac:dyDescent="0.2">
      <c r="A960" s="142" t="s">
        <v>808</v>
      </c>
      <c r="B960" s="125">
        <v>2009360</v>
      </c>
      <c r="C960" s="125">
        <v>17794</v>
      </c>
      <c r="D960" s="125" t="s">
        <v>2117</v>
      </c>
      <c r="E960" s="125">
        <v>66</v>
      </c>
      <c r="F960" s="125" t="str">
        <f>IF(E960&lt;=20,"0-19",
IF(E960&lt;=50,"20-49",
IF(E960&lt;=80,"50-79","80+")))</f>
        <v>50-79</v>
      </c>
      <c r="G960" s="125" t="s">
        <v>49</v>
      </c>
      <c r="H960" s="125" t="s">
        <v>15</v>
      </c>
      <c r="I960" s="125" t="s">
        <v>2118</v>
      </c>
      <c r="J960" s="114" t="s">
        <v>2311</v>
      </c>
      <c r="K960" s="119" t="s">
        <v>1913</v>
      </c>
      <c r="L960" s="125" t="s">
        <v>1913</v>
      </c>
      <c r="M960" s="125" t="s">
        <v>788</v>
      </c>
      <c r="N960" s="126">
        <v>110000</v>
      </c>
      <c r="O960" s="126" t="s">
        <v>2254</v>
      </c>
      <c r="P960" s="146">
        <v>254724601537</v>
      </c>
      <c r="Q960" s="210"/>
    </row>
    <row r="961" spans="1:17" x14ac:dyDescent="0.2">
      <c r="A961" s="155" t="s">
        <v>785</v>
      </c>
      <c r="B961" s="121">
        <v>2003527</v>
      </c>
      <c r="C961" s="122">
        <v>15412</v>
      </c>
      <c r="D961" s="121" t="s">
        <v>792</v>
      </c>
      <c r="E961" s="121">
        <v>66</v>
      </c>
      <c r="F961" s="121" t="str">
        <f>IF(E961&lt;=20,"0-19",
IF(E961&lt;=50,"20-49",
IF(E961&lt;=80,"50-79","80+")))</f>
        <v>50-79</v>
      </c>
      <c r="G961" s="121" t="s">
        <v>60</v>
      </c>
      <c r="H961" s="121" t="s">
        <v>22</v>
      </c>
      <c r="I961" s="121" t="s">
        <v>793</v>
      </c>
      <c r="J961" s="114" t="s">
        <v>2311</v>
      </c>
      <c r="K961" s="121" t="s">
        <v>78</v>
      </c>
      <c r="L961" s="121" t="s">
        <v>78</v>
      </c>
      <c r="M961" s="198" t="s">
        <v>788</v>
      </c>
      <c r="N961" s="191">
        <v>160000</v>
      </c>
      <c r="O961" s="122" t="s">
        <v>18</v>
      </c>
      <c r="P961" s="172"/>
      <c r="Q961" s="210"/>
    </row>
    <row r="962" spans="1:17" x14ac:dyDescent="0.2">
      <c r="A962" s="143" t="s">
        <v>808</v>
      </c>
      <c r="B962" s="122">
        <v>2406012</v>
      </c>
      <c r="C962" s="122">
        <v>19127</v>
      </c>
      <c r="D962" s="122" t="s">
        <v>2116</v>
      </c>
      <c r="E962" s="122">
        <v>58</v>
      </c>
      <c r="F962" s="122" t="str">
        <f>IF(E962&lt;=20,"0-19",
IF(E962&lt;=50,"20-49",
IF(E962&lt;=80,"50-79","80+")))</f>
        <v>50-79</v>
      </c>
      <c r="G962" s="122" t="s">
        <v>60</v>
      </c>
      <c r="H962" s="122" t="s">
        <v>22</v>
      </c>
      <c r="I962" s="122" t="s">
        <v>793</v>
      </c>
      <c r="J962" s="198" t="s">
        <v>2311</v>
      </c>
      <c r="K962" s="123" t="s">
        <v>1895</v>
      </c>
      <c r="L962" s="122" t="s">
        <v>1895</v>
      </c>
      <c r="M962" s="122" t="s">
        <v>788</v>
      </c>
      <c r="N962" s="124">
        <v>110000</v>
      </c>
      <c r="O962" s="124" t="s">
        <v>2254</v>
      </c>
      <c r="P962" s="147">
        <v>254706490622</v>
      </c>
      <c r="Q962" s="210"/>
    </row>
    <row r="963" spans="1:17" x14ac:dyDescent="0.2">
      <c r="A963" s="155" t="s">
        <v>808</v>
      </c>
      <c r="B963" s="197">
        <v>2001198</v>
      </c>
      <c r="C963" s="197">
        <v>18587</v>
      </c>
      <c r="D963" s="198" t="s">
        <v>813</v>
      </c>
      <c r="E963" s="197">
        <v>76</v>
      </c>
      <c r="F963" s="197" t="str">
        <f>IF(E963&lt;=20,"0-19",
IF(E963&lt;=50,"20-49",
IF(E963&lt;=80,"50-79","80+")))</f>
        <v>50-79</v>
      </c>
      <c r="G963" s="197" t="s">
        <v>60</v>
      </c>
      <c r="H963" s="197" t="s">
        <v>22</v>
      </c>
      <c r="I963" s="198" t="s">
        <v>810</v>
      </c>
      <c r="J963" s="198" t="s">
        <v>2311</v>
      </c>
      <c r="K963" s="198" t="s">
        <v>37</v>
      </c>
      <c r="L963" s="197" t="s">
        <v>37</v>
      </c>
      <c r="M963" s="198" t="s">
        <v>788</v>
      </c>
      <c r="N963" s="202">
        <v>110000</v>
      </c>
      <c r="O963" s="122" t="s">
        <v>18</v>
      </c>
      <c r="P963" s="172"/>
      <c r="Q963" s="210"/>
    </row>
    <row r="964" spans="1:17" x14ac:dyDescent="0.2">
      <c r="A964" s="155" t="s">
        <v>808</v>
      </c>
      <c r="B964" s="125">
        <v>2004667</v>
      </c>
      <c r="C964" s="125">
        <v>57338</v>
      </c>
      <c r="D964" s="125" t="s">
        <v>809</v>
      </c>
      <c r="E964" s="119">
        <v>61</v>
      </c>
      <c r="F964" s="119" t="str">
        <f>IF(E964&lt;=20,"0-19",
IF(E964&lt;=50,"20-49",
IF(E964&lt;=80,"50-79","80+")))</f>
        <v>50-79</v>
      </c>
      <c r="G964" s="125" t="s">
        <v>49</v>
      </c>
      <c r="H964" s="125" t="s">
        <v>15</v>
      </c>
      <c r="I964" s="125" t="s">
        <v>810</v>
      </c>
      <c r="J964" s="198" t="s">
        <v>2311</v>
      </c>
      <c r="K964" s="119" t="s">
        <v>193</v>
      </c>
      <c r="L964" s="119" t="s">
        <v>154</v>
      </c>
      <c r="M964" s="125" t="s">
        <v>788</v>
      </c>
      <c r="N964" s="165">
        <v>110000</v>
      </c>
      <c r="O964" s="125" t="s">
        <v>18</v>
      </c>
      <c r="P964" s="173"/>
      <c r="Q964" s="210"/>
    </row>
    <row r="965" spans="1:17" x14ac:dyDescent="0.2">
      <c r="A965" s="155" t="s">
        <v>785</v>
      </c>
      <c r="B965" s="125">
        <v>2001267</v>
      </c>
      <c r="C965" s="125">
        <v>3633</v>
      </c>
      <c r="D965" s="125" t="s">
        <v>1214</v>
      </c>
      <c r="E965" s="125">
        <v>77</v>
      </c>
      <c r="F965" s="125" t="str">
        <f>IF(E965&lt;=20,"0-19",
IF(E965&lt;=50,"20-49",
IF(E965&lt;=80,"50-79","80+")))</f>
        <v>50-79</v>
      </c>
      <c r="G965" s="125" t="s">
        <v>60</v>
      </c>
      <c r="H965" s="125" t="s">
        <v>22</v>
      </c>
      <c r="I965" s="125" t="s">
        <v>810</v>
      </c>
      <c r="J965" s="198" t="s">
        <v>2311</v>
      </c>
      <c r="K965" s="125" t="s">
        <v>1249</v>
      </c>
      <c r="L965" s="125" t="s">
        <v>1249</v>
      </c>
      <c r="M965" s="125" t="s">
        <v>788</v>
      </c>
      <c r="N965" s="162">
        <v>160000</v>
      </c>
      <c r="O965" s="125" t="s">
        <v>832</v>
      </c>
      <c r="P965" s="172"/>
      <c r="Q965" s="210"/>
    </row>
    <row r="966" spans="1:17" x14ac:dyDescent="0.2">
      <c r="A966" s="155" t="s">
        <v>808</v>
      </c>
      <c r="B966" s="125">
        <v>2002911</v>
      </c>
      <c r="C966" s="125">
        <v>13903</v>
      </c>
      <c r="D966" s="125" t="s">
        <v>1216</v>
      </c>
      <c r="E966" s="125">
        <v>67</v>
      </c>
      <c r="F966" s="125" t="str">
        <f>IF(E966&lt;=20,"0-19",
IF(E966&lt;=50,"20-49",
IF(E966&lt;=80,"50-79","80+")))</f>
        <v>50-79</v>
      </c>
      <c r="G966" s="125" t="s">
        <v>60</v>
      </c>
      <c r="H966" s="125" t="s">
        <v>22</v>
      </c>
      <c r="I966" s="119" t="s">
        <v>1217</v>
      </c>
      <c r="J966" s="198" t="s">
        <v>2311</v>
      </c>
      <c r="K966" s="119" t="s">
        <v>851</v>
      </c>
      <c r="L966" s="125" t="s">
        <v>851</v>
      </c>
      <c r="M966" s="125" t="s">
        <v>788</v>
      </c>
      <c r="N966" s="162">
        <v>80000</v>
      </c>
      <c r="O966" s="125" t="s">
        <v>832</v>
      </c>
      <c r="P966" s="173"/>
      <c r="Q966" s="210"/>
    </row>
    <row r="967" spans="1:17" x14ac:dyDescent="0.2">
      <c r="A967" s="155" t="s">
        <v>808</v>
      </c>
      <c r="B967" s="125">
        <v>2001896</v>
      </c>
      <c r="C967" s="125">
        <v>7794</v>
      </c>
      <c r="D967" s="125" t="s">
        <v>1304</v>
      </c>
      <c r="E967" s="125">
        <v>70</v>
      </c>
      <c r="F967" s="125" t="str">
        <f>IF(E967&lt;=20,"0-19",
IF(E967&lt;=50,"20-49",
IF(E967&lt;=80,"50-79","80+")))</f>
        <v>50-79</v>
      </c>
      <c r="G967" s="125" t="s">
        <v>60</v>
      </c>
      <c r="H967" s="125" t="s">
        <v>22</v>
      </c>
      <c r="I967" s="119" t="s">
        <v>1305</v>
      </c>
      <c r="J967" s="198" t="s">
        <v>2311</v>
      </c>
      <c r="K967" s="119" t="s">
        <v>1241</v>
      </c>
      <c r="L967" s="119" t="s">
        <v>1241</v>
      </c>
      <c r="M967" s="125" t="s">
        <v>788</v>
      </c>
      <c r="N967" s="162">
        <v>200000</v>
      </c>
      <c r="O967" s="125" t="s">
        <v>832</v>
      </c>
      <c r="P967" s="173"/>
      <c r="Q967" s="210"/>
    </row>
    <row r="968" spans="1:17" x14ac:dyDescent="0.2">
      <c r="A968" s="141" t="s">
        <v>799</v>
      </c>
      <c r="B968" s="121">
        <v>2001510</v>
      </c>
      <c r="C968" s="122">
        <v>100023</v>
      </c>
      <c r="D968" s="121" t="s">
        <v>2059</v>
      </c>
      <c r="E968" s="121">
        <v>61</v>
      </c>
      <c r="F968" s="121" t="str">
        <f>IF(E968&lt;=20,"0-19",
IF(E968&lt;=50,"20-49",
IF(E968&lt;=80,"50-79","80+")))</f>
        <v>50-79</v>
      </c>
      <c r="G968" s="121" t="s">
        <v>60</v>
      </c>
      <c r="H968" s="121" t="s">
        <v>22</v>
      </c>
      <c r="I968" s="121" t="s">
        <v>2060</v>
      </c>
      <c r="J968" s="198" t="s">
        <v>2311</v>
      </c>
      <c r="K968" s="123" t="s">
        <v>1911</v>
      </c>
      <c r="L968" s="123" t="s">
        <v>1911</v>
      </c>
      <c r="M968" s="122" t="s">
        <v>788</v>
      </c>
      <c r="N968" s="127">
        <v>75000</v>
      </c>
      <c r="O968" s="127" t="s">
        <v>2254</v>
      </c>
      <c r="P968" s="147">
        <v>254705574637</v>
      </c>
      <c r="Q968" s="210"/>
    </row>
    <row r="969" spans="1:17" x14ac:dyDescent="0.2">
      <c r="A969" s="143" t="s">
        <v>1585</v>
      </c>
      <c r="B969" s="122">
        <v>2010502</v>
      </c>
      <c r="C969" s="122">
        <v>15710</v>
      </c>
      <c r="D969" s="122" t="s">
        <v>1640</v>
      </c>
      <c r="E969" s="122">
        <v>65</v>
      </c>
      <c r="F969" s="122" t="str">
        <f>IF(E969&lt;=20,"0-19",
IF(E969&lt;=50,"20-49",
IF(E969&lt;=80,"50-79","80+")))</f>
        <v>50-79</v>
      </c>
      <c r="G969" s="122" t="s">
        <v>126</v>
      </c>
      <c r="H969" s="122" t="s">
        <v>664</v>
      </c>
      <c r="I969" s="123" t="s">
        <v>1641</v>
      </c>
      <c r="J969" s="198" t="s">
        <v>2311</v>
      </c>
      <c r="K969" s="122" t="s">
        <v>1549</v>
      </c>
      <c r="L969" s="122" t="s">
        <v>1556</v>
      </c>
      <c r="M969" s="122" t="s">
        <v>788</v>
      </c>
      <c r="N969" s="124">
        <v>44800</v>
      </c>
      <c r="O969" s="124" t="s">
        <v>2254</v>
      </c>
      <c r="P969" s="147">
        <v>254728975524</v>
      </c>
      <c r="Q969" s="210"/>
    </row>
    <row r="970" spans="1:17" x14ac:dyDescent="0.2">
      <c r="A970" s="156" t="s">
        <v>799</v>
      </c>
      <c r="B970" s="197">
        <v>2001510</v>
      </c>
      <c r="C970" s="197">
        <v>100023</v>
      </c>
      <c r="D970" s="198" t="s">
        <v>800</v>
      </c>
      <c r="E970" s="197">
        <v>72</v>
      </c>
      <c r="F970" s="197" t="str">
        <f>IF(E970&lt;=20,"0-19",
IF(E970&lt;=50,"20-49",
IF(E970&lt;=80,"50-79","80+")))</f>
        <v>50-79</v>
      </c>
      <c r="G970" s="197" t="s">
        <v>60</v>
      </c>
      <c r="H970" s="197" t="s">
        <v>22</v>
      </c>
      <c r="I970" s="198" t="s">
        <v>801</v>
      </c>
      <c r="J970" s="198" t="s">
        <v>2311</v>
      </c>
      <c r="K970" s="198" t="s">
        <v>37</v>
      </c>
      <c r="L970" s="197" t="s">
        <v>37</v>
      </c>
      <c r="M970" s="198" t="s">
        <v>788</v>
      </c>
      <c r="N970" s="202">
        <v>35000</v>
      </c>
      <c r="O970" s="125" t="s">
        <v>18</v>
      </c>
      <c r="P970" s="173"/>
      <c r="Q970" s="210"/>
    </row>
    <row r="971" spans="1:17" x14ac:dyDescent="0.2">
      <c r="A971" s="155" t="s">
        <v>808</v>
      </c>
      <c r="B971" s="197">
        <v>2021151</v>
      </c>
      <c r="C971" s="197">
        <v>15485</v>
      </c>
      <c r="D971" s="198" t="s">
        <v>814</v>
      </c>
      <c r="E971" s="197">
        <v>63</v>
      </c>
      <c r="F971" s="197" t="str">
        <f>IF(E971&lt;=20,"0-19",
IF(E971&lt;=50,"20-49",
IF(E971&lt;=80,"50-79","80+")))</f>
        <v>50-79</v>
      </c>
      <c r="G971" s="197" t="s">
        <v>60</v>
      </c>
      <c r="H971" s="197" t="s">
        <v>22</v>
      </c>
      <c r="I971" s="198" t="s">
        <v>815</v>
      </c>
      <c r="J971" s="198" t="s">
        <v>2311</v>
      </c>
      <c r="K971" s="198" t="s">
        <v>52</v>
      </c>
      <c r="L971" s="197" t="s">
        <v>52</v>
      </c>
      <c r="M971" s="198" t="s">
        <v>788</v>
      </c>
      <c r="N971" s="202">
        <v>15200</v>
      </c>
      <c r="O971" s="125" t="s">
        <v>18</v>
      </c>
      <c r="P971" s="173"/>
      <c r="Q971" s="210"/>
    </row>
    <row r="972" spans="1:17" x14ac:dyDescent="0.2">
      <c r="A972" s="155" t="s">
        <v>808</v>
      </c>
      <c r="B972" s="119">
        <v>2015867</v>
      </c>
      <c r="C972" s="125">
        <v>58766</v>
      </c>
      <c r="D972" s="119" t="s">
        <v>1302</v>
      </c>
      <c r="E972" s="119">
        <v>59</v>
      </c>
      <c r="F972" s="119" t="str">
        <f>IF(E972&lt;=20,"0-19",
IF(E972&lt;=50,"20-49",
IF(E972&lt;=80,"50-79","80+")))</f>
        <v>50-79</v>
      </c>
      <c r="G972" s="119" t="s">
        <v>49</v>
      </c>
      <c r="H972" s="119" t="s">
        <v>15</v>
      </c>
      <c r="I972" s="119" t="s">
        <v>1303</v>
      </c>
      <c r="J972" s="198" t="s">
        <v>2311</v>
      </c>
      <c r="K972" s="119" t="s">
        <v>1260</v>
      </c>
      <c r="L972" s="118" t="s">
        <v>1260</v>
      </c>
      <c r="M972" s="125" t="s">
        <v>788</v>
      </c>
      <c r="N972" s="165">
        <v>120000</v>
      </c>
      <c r="O972" s="125" t="s">
        <v>832</v>
      </c>
      <c r="P972" s="172"/>
      <c r="Q972" s="210"/>
    </row>
    <row r="973" spans="1:17" x14ac:dyDescent="0.2">
      <c r="A973" s="156" t="s">
        <v>799</v>
      </c>
      <c r="B973" s="197">
        <v>2008559</v>
      </c>
      <c r="C973" s="197">
        <v>53531</v>
      </c>
      <c r="D973" s="198" t="s">
        <v>804</v>
      </c>
      <c r="E973" s="197">
        <v>64</v>
      </c>
      <c r="F973" s="197" t="str">
        <f>IF(E973&lt;=20,"0-19",
IF(E973&lt;=50,"20-49",
IF(E973&lt;=80,"50-79","80+")))</f>
        <v>50-79</v>
      </c>
      <c r="G973" s="197" t="s">
        <v>49</v>
      </c>
      <c r="H973" s="197" t="s">
        <v>15</v>
      </c>
      <c r="I973" s="198" t="s">
        <v>805</v>
      </c>
      <c r="J973" s="198" t="s">
        <v>2311</v>
      </c>
      <c r="K973" s="198" t="s">
        <v>42</v>
      </c>
      <c r="L973" s="197" t="s">
        <v>42</v>
      </c>
      <c r="M973" s="198" t="s">
        <v>788</v>
      </c>
      <c r="N973" s="202">
        <v>55000</v>
      </c>
      <c r="O973" s="125" t="s">
        <v>18</v>
      </c>
      <c r="P973" s="173"/>
      <c r="Q973" s="210"/>
    </row>
    <row r="974" spans="1:17" ht="21" x14ac:dyDescent="0.2">
      <c r="A974" s="142" t="s">
        <v>1180</v>
      </c>
      <c r="B974" s="125">
        <v>2601095</v>
      </c>
      <c r="C974" s="125">
        <v>65384</v>
      </c>
      <c r="D974" s="125" t="s">
        <v>2155</v>
      </c>
      <c r="E974" s="125">
        <v>59</v>
      </c>
      <c r="F974" s="125" t="str">
        <f>IF(E974&lt;=20,"0-19",
IF(E974&lt;=50,"20-49",
IF(E974&lt;=80,"50-79","80+")))</f>
        <v>50-79</v>
      </c>
      <c r="G974" s="125" t="s">
        <v>60</v>
      </c>
      <c r="H974" s="125" t="s">
        <v>22</v>
      </c>
      <c r="I974" s="125" t="s">
        <v>1182</v>
      </c>
      <c r="J974" s="198" t="s">
        <v>2311</v>
      </c>
      <c r="K974" s="119" t="s">
        <v>2156</v>
      </c>
      <c r="L974" s="125" t="s">
        <v>1908</v>
      </c>
      <c r="M974" s="125" t="s">
        <v>788</v>
      </c>
      <c r="N974" s="126">
        <v>170000</v>
      </c>
      <c r="O974" s="126" t="s">
        <v>2254</v>
      </c>
      <c r="P974" s="146">
        <v>254707978001</v>
      </c>
      <c r="Q974" s="210"/>
    </row>
    <row r="975" spans="1:17" x14ac:dyDescent="0.2">
      <c r="A975" s="155" t="s">
        <v>819</v>
      </c>
      <c r="B975" s="197">
        <v>2005236</v>
      </c>
      <c r="C975" s="197">
        <v>13365</v>
      </c>
      <c r="D975" s="198" t="s">
        <v>820</v>
      </c>
      <c r="E975" s="197">
        <v>58</v>
      </c>
      <c r="F975" s="197" t="str">
        <f>IF(E975&lt;=20,"0-19",
IF(E975&lt;=50,"20-49",
IF(E975&lt;=80,"50-79","80+")))</f>
        <v>50-79</v>
      </c>
      <c r="G975" s="197" t="s">
        <v>49</v>
      </c>
      <c r="H975" s="197" t="s">
        <v>15</v>
      </c>
      <c r="I975" s="198" t="s">
        <v>821</v>
      </c>
      <c r="J975" s="198" t="s">
        <v>2311</v>
      </c>
      <c r="K975" s="198" t="s">
        <v>51</v>
      </c>
      <c r="L975" s="197" t="s">
        <v>51</v>
      </c>
      <c r="M975" s="198" t="s">
        <v>788</v>
      </c>
      <c r="N975" s="202">
        <v>30000</v>
      </c>
      <c r="O975" s="122" t="s">
        <v>18</v>
      </c>
      <c r="P975" s="172"/>
      <c r="Q975" s="210"/>
    </row>
    <row r="976" spans="1:17" x14ac:dyDescent="0.2">
      <c r="A976" s="142" t="s">
        <v>1585</v>
      </c>
      <c r="B976" s="125">
        <v>2023417</v>
      </c>
      <c r="C976" s="125">
        <v>52671</v>
      </c>
      <c r="D976" s="125" t="s">
        <v>1586</v>
      </c>
      <c r="E976" s="125">
        <v>65</v>
      </c>
      <c r="F976" s="125" t="str">
        <f>IF(E976&lt;=20,"0-19",
IF(E976&lt;=50,"20-49",
IF(E976&lt;=80,"50-79","80+")))</f>
        <v>50-79</v>
      </c>
      <c r="G976" s="125" t="s">
        <v>60</v>
      </c>
      <c r="H976" s="125" t="s">
        <v>22</v>
      </c>
      <c r="I976" s="119" t="s">
        <v>1587</v>
      </c>
      <c r="J976" s="198" t="s">
        <v>2311</v>
      </c>
      <c r="K976" s="125" t="s">
        <v>1572</v>
      </c>
      <c r="L976" s="125" t="s">
        <v>1572</v>
      </c>
      <c r="M976" s="125" t="s">
        <v>788</v>
      </c>
      <c r="N976" s="126">
        <v>20000</v>
      </c>
      <c r="O976" s="126" t="s">
        <v>2254</v>
      </c>
      <c r="P976" s="146">
        <v>254721223144</v>
      </c>
      <c r="Q976" s="210"/>
    </row>
    <row r="977" spans="1:17" x14ac:dyDescent="0.2">
      <c r="A977" s="143" t="s">
        <v>1585</v>
      </c>
      <c r="B977" s="122">
        <v>2014927</v>
      </c>
      <c r="C977" s="122">
        <v>10364</v>
      </c>
      <c r="D977" s="122" t="s">
        <v>1944</v>
      </c>
      <c r="E977" s="122">
        <v>63</v>
      </c>
      <c r="F977" s="122" t="str">
        <f>IF(E977&lt;=20,"0-19",
IF(E977&lt;=50,"20-49",
IF(E977&lt;=80,"50-79","80+")))</f>
        <v>50-79</v>
      </c>
      <c r="G977" s="122" t="s">
        <v>49</v>
      </c>
      <c r="H977" s="122" t="s">
        <v>15</v>
      </c>
      <c r="I977" s="122" t="s">
        <v>1945</v>
      </c>
      <c r="J977" s="198" t="s">
        <v>2311</v>
      </c>
      <c r="K977" s="123" t="s">
        <v>1913</v>
      </c>
      <c r="L977" s="122" t="s">
        <v>1913</v>
      </c>
      <c r="M977" s="122" t="s">
        <v>788</v>
      </c>
      <c r="N977" s="124">
        <v>20000</v>
      </c>
      <c r="O977" s="124" t="s">
        <v>2254</v>
      </c>
      <c r="P977" s="147">
        <v>254721582876</v>
      </c>
      <c r="Q977" s="210"/>
    </row>
    <row r="978" spans="1:17" x14ac:dyDescent="0.2">
      <c r="A978" s="143" t="s">
        <v>808</v>
      </c>
      <c r="B978" s="122">
        <v>2002666</v>
      </c>
      <c r="C978" s="122">
        <v>50731</v>
      </c>
      <c r="D978" s="122" t="s">
        <v>1932</v>
      </c>
      <c r="E978" s="122">
        <v>69</v>
      </c>
      <c r="F978" s="122" t="str">
        <f>IF(E978&lt;=20,"0-19",
IF(E978&lt;=50,"20-49",
IF(E978&lt;=80,"50-79","80+")))</f>
        <v>50-79</v>
      </c>
      <c r="G978" s="122" t="s">
        <v>60</v>
      </c>
      <c r="H978" s="122" t="s">
        <v>22</v>
      </c>
      <c r="I978" s="122" t="s">
        <v>1933</v>
      </c>
      <c r="J978" s="198" t="s">
        <v>2311</v>
      </c>
      <c r="K978" s="123" t="s">
        <v>1921</v>
      </c>
      <c r="L978" s="122" t="s">
        <v>1921</v>
      </c>
      <c r="M978" s="122" t="s">
        <v>788</v>
      </c>
      <c r="N978" s="124">
        <v>15000</v>
      </c>
      <c r="O978" s="124" t="s">
        <v>2254</v>
      </c>
      <c r="P978" s="147">
        <v>254722287356</v>
      </c>
      <c r="Q978" s="210"/>
    </row>
    <row r="979" spans="1:17" x14ac:dyDescent="0.2">
      <c r="A979" s="155" t="s">
        <v>808</v>
      </c>
      <c r="B979" s="121">
        <v>2011036</v>
      </c>
      <c r="C979" s="121">
        <v>11334</v>
      </c>
      <c r="D979" s="121" t="s">
        <v>816</v>
      </c>
      <c r="E979" s="121">
        <v>62</v>
      </c>
      <c r="F979" s="121" t="str">
        <f>IF(E979&lt;=20,"0-19",
IF(E979&lt;=50,"20-49",
IF(E979&lt;=80,"50-79","80+")))</f>
        <v>50-79</v>
      </c>
      <c r="G979" s="121" t="s">
        <v>49</v>
      </c>
      <c r="H979" s="121" t="s">
        <v>15</v>
      </c>
      <c r="I979" s="121" t="s">
        <v>817</v>
      </c>
      <c r="J979" s="198" t="s">
        <v>2311</v>
      </c>
      <c r="K979" s="121" t="s">
        <v>99</v>
      </c>
      <c r="L979" s="121" t="s">
        <v>99</v>
      </c>
      <c r="M979" s="121" t="s">
        <v>788</v>
      </c>
      <c r="N979" s="191">
        <v>67500</v>
      </c>
      <c r="O979" s="122" t="s">
        <v>18</v>
      </c>
      <c r="P979" s="172"/>
      <c r="Q979" s="210"/>
    </row>
    <row r="980" spans="1:17" x14ac:dyDescent="0.2">
      <c r="A980" s="155" t="s">
        <v>808</v>
      </c>
      <c r="B980" s="125">
        <v>2011036</v>
      </c>
      <c r="C980" s="125">
        <v>11334</v>
      </c>
      <c r="D980" s="125" t="s">
        <v>816</v>
      </c>
      <c r="E980" s="125">
        <v>60</v>
      </c>
      <c r="F980" s="125" t="str">
        <f>IF(E980&lt;=20,"0-19",
IF(E980&lt;=50,"20-49",
IF(E980&lt;=80,"50-79","80+")))</f>
        <v>50-79</v>
      </c>
      <c r="G980" s="125" t="s">
        <v>49</v>
      </c>
      <c r="H980" s="125" t="s">
        <v>15</v>
      </c>
      <c r="I980" s="125" t="s">
        <v>825</v>
      </c>
      <c r="J980" s="198" t="s">
        <v>2311</v>
      </c>
      <c r="K980" s="125" t="s">
        <v>1225</v>
      </c>
      <c r="L980" s="125" t="s">
        <v>1225</v>
      </c>
      <c r="M980" s="125" t="s">
        <v>788</v>
      </c>
      <c r="N980" s="162">
        <v>67500</v>
      </c>
      <c r="O980" s="125" t="s">
        <v>832</v>
      </c>
      <c r="P980" s="173"/>
      <c r="Q980" s="210"/>
    </row>
    <row r="981" spans="1:17" x14ac:dyDescent="0.2">
      <c r="A981" s="155" t="s">
        <v>808</v>
      </c>
      <c r="B981" s="125">
        <v>2015348</v>
      </c>
      <c r="C981" s="125">
        <v>103549</v>
      </c>
      <c r="D981" s="125" t="s">
        <v>1196</v>
      </c>
      <c r="E981" s="125">
        <v>64</v>
      </c>
      <c r="F981" s="125" t="str">
        <f>IF(E981&lt;=20,"0-19",
IF(E981&lt;=50,"20-49",
IF(E981&lt;=80,"50-79","80+")))</f>
        <v>50-79</v>
      </c>
      <c r="G981" s="125" t="s">
        <v>60</v>
      </c>
      <c r="H981" s="125" t="s">
        <v>22</v>
      </c>
      <c r="I981" s="119" t="s">
        <v>1306</v>
      </c>
      <c r="J981" s="198" t="s">
        <v>2311</v>
      </c>
      <c r="K981" s="119" t="s">
        <v>1241</v>
      </c>
      <c r="L981" s="119" t="s">
        <v>1241</v>
      </c>
      <c r="M981" s="125" t="s">
        <v>788</v>
      </c>
      <c r="N981" s="162">
        <v>60000</v>
      </c>
      <c r="O981" s="125" t="s">
        <v>832</v>
      </c>
      <c r="P981" s="172"/>
      <c r="Q981" s="210"/>
    </row>
    <row r="982" spans="1:17" ht="21" x14ac:dyDescent="0.2">
      <c r="A982" s="156" t="s">
        <v>228</v>
      </c>
      <c r="B982" s="197">
        <v>2006174</v>
      </c>
      <c r="C982" s="197">
        <v>13839</v>
      </c>
      <c r="D982" s="198" t="s">
        <v>662</v>
      </c>
      <c r="E982" s="197">
        <v>60</v>
      </c>
      <c r="F982" s="197" t="str">
        <f>IF(E982&lt;=20,"0-19",
IF(E982&lt;=50,"20-49",
IF(E982&lt;=80,"50-79","80+")))</f>
        <v>50-79</v>
      </c>
      <c r="G982" s="197" t="s">
        <v>60</v>
      </c>
      <c r="H982" s="197" t="s">
        <v>22</v>
      </c>
      <c r="I982" s="198" t="s">
        <v>818</v>
      </c>
      <c r="J982" s="198" t="s">
        <v>2311</v>
      </c>
      <c r="K982" s="198" t="s">
        <v>656</v>
      </c>
      <c r="L982" s="197" t="s">
        <v>57</v>
      </c>
      <c r="M982" s="198" t="s">
        <v>788</v>
      </c>
      <c r="N982" s="202">
        <v>14200</v>
      </c>
      <c r="O982" s="125" t="s">
        <v>18</v>
      </c>
      <c r="P982" s="173"/>
      <c r="Q982" s="210"/>
    </row>
    <row r="983" spans="1:17" x14ac:dyDescent="0.2">
      <c r="A983" s="155" t="s">
        <v>799</v>
      </c>
      <c r="B983" s="125">
        <v>2002373</v>
      </c>
      <c r="C983" s="125">
        <v>58877</v>
      </c>
      <c r="D983" s="125" t="s">
        <v>802</v>
      </c>
      <c r="E983" s="125">
        <v>58</v>
      </c>
      <c r="F983" s="125" t="str">
        <f>IF(E983&lt;=20,"0-19",
IF(E983&lt;=50,"20-49",
IF(E983&lt;=80,"50-79","80+")))</f>
        <v>50-79</v>
      </c>
      <c r="G983" s="125" t="s">
        <v>60</v>
      </c>
      <c r="H983" s="125" t="s">
        <v>664</v>
      </c>
      <c r="I983" s="119" t="s">
        <v>1215</v>
      </c>
      <c r="J983" s="198" t="s">
        <v>2311</v>
      </c>
      <c r="K983" s="119" t="s">
        <v>851</v>
      </c>
      <c r="L983" s="125" t="s">
        <v>851</v>
      </c>
      <c r="M983" s="125" t="s">
        <v>788</v>
      </c>
      <c r="N983" s="162">
        <v>75000</v>
      </c>
      <c r="O983" s="125" t="s">
        <v>832</v>
      </c>
      <c r="P983" s="173"/>
      <c r="Q983" s="210"/>
    </row>
    <row r="984" spans="1:17" x14ac:dyDescent="0.2">
      <c r="A984" s="155" t="s">
        <v>808</v>
      </c>
      <c r="B984" s="125">
        <v>2021151</v>
      </c>
      <c r="C984" s="125">
        <v>15485</v>
      </c>
      <c r="D984" s="125" t="s">
        <v>814</v>
      </c>
      <c r="E984" s="125">
        <v>63</v>
      </c>
      <c r="F984" s="125" t="str">
        <f>IF(E984&lt;=20,"0-19",
IF(E984&lt;=50,"20-49",
IF(E984&lt;=80,"50-79","80+")))</f>
        <v>50-79</v>
      </c>
      <c r="G984" s="125" t="s">
        <v>49</v>
      </c>
      <c r="H984" s="125" t="s">
        <v>22</v>
      </c>
      <c r="I984" s="125" t="s">
        <v>1315</v>
      </c>
      <c r="J984" s="198" t="s">
        <v>2311</v>
      </c>
      <c r="K984" s="125" t="s">
        <v>1316</v>
      </c>
      <c r="L984" s="125" t="s">
        <v>1225</v>
      </c>
      <c r="M984" s="125" t="s">
        <v>788</v>
      </c>
      <c r="N984" s="162">
        <v>15200</v>
      </c>
      <c r="O984" s="125" t="s">
        <v>832</v>
      </c>
      <c r="P984" s="172"/>
      <c r="Q984" s="210"/>
    </row>
    <row r="985" spans="1:17" x14ac:dyDescent="0.2">
      <c r="A985" s="143" t="s">
        <v>808</v>
      </c>
      <c r="B985" s="123">
        <v>2021151</v>
      </c>
      <c r="C985" s="122">
        <v>15485</v>
      </c>
      <c r="D985" s="123" t="s">
        <v>1938</v>
      </c>
      <c r="E985" s="123">
        <v>63</v>
      </c>
      <c r="F985" s="123" t="str">
        <f>IF(E985&lt;=20,"0-19",
IF(E985&lt;=50,"20-49",
IF(E985&lt;=80,"50-79","80+")))</f>
        <v>50-79</v>
      </c>
      <c r="G985" s="123" t="s">
        <v>60</v>
      </c>
      <c r="H985" s="123" t="s">
        <v>22</v>
      </c>
      <c r="I985" s="123" t="s">
        <v>1308</v>
      </c>
      <c r="J985" s="198" t="s">
        <v>2311</v>
      </c>
      <c r="K985" s="123" t="s">
        <v>1923</v>
      </c>
      <c r="L985" s="123" t="s">
        <v>1923</v>
      </c>
      <c r="M985" s="122" t="s">
        <v>788</v>
      </c>
      <c r="N985" s="128">
        <v>15200</v>
      </c>
      <c r="O985" s="128" t="s">
        <v>2254</v>
      </c>
      <c r="P985" s="147">
        <v>254710349185</v>
      </c>
      <c r="Q985" s="210"/>
    </row>
    <row r="986" spans="1:17" x14ac:dyDescent="0.2">
      <c r="A986" s="155" t="s">
        <v>808</v>
      </c>
      <c r="B986" s="125">
        <v>2003095</v>
      </c>
      <c r="C986" s="125">
        <v>56910</v>
      </c>
      <c r="D986" s="125" t="s">
        <v>1307</v>
      </c>
      <c r="E986" s="125">
        <v>65</v>
      </c>
      <c r="F986" s="125" t="str">
        <f>IF(E986&lt;=20,"0-19",
IF(E986&lt;=50,"20-49",
IF(E986&lt;=80,"50-79","80+")))</f>
        <v>50-79</v>
      </c>
      <c r="G986" s="125" t="s">
        <v>60</v>
      </c>
      <c r="H986" s="125" t="s">
        <v>22</v>
      </c>
      <c r="I986" s="119" t="s">
        <v>1308</v>
      </c>
      <c r="J986" s="198" t="s">
        <v>2311</v>
      </c>
      <c r="K986" s="119" t="s">
        <v>1242</v>
      </c>
      <c r="L986" s="119" t="s">
        <v>1242</v>
      </c>
      <c r="M986" s="125" t="s">
        <v>788</v>
      </c>
      <c r="N986" s="162">
        <v>120000</v>
      </c>
      <c r="O986" s="125" t="s">
        <v>832</v>
      </c>
      <c r="P986" s="173"/>
      <c r="Q986" s="210"/>
    </row>
    <row r="987" spans="1:17" x14ac:dyDescent="0.2">
      <c r="A987" s="142" t="s">
        <v>808</v>
      </c>
      <c r="B987" s="125">
        <v>2503097</v>
      </c>
      <c r="C987" s="125">
        <v>85610</v>
      </c>
      <c r="D987" s="125" t="s">
        <v>1601</v>
      </c>
      <c r="E987" s="125">
        <v>70</v>
      </c>
      <c r="F987" s="125" t="str">
        <f>IF(E987&lt;=20,"0-19",
IF(E987&lt;=50,"20-49",
IF(E987&lt;=80,"50-79","80+")))</f>
        <v>50-79</v>
      </c>
      <c r="G987" s="125" t="s">
        <v>60</v>
      </c>
      <c r="H987" s="125" t="s">
        <v>15</v>
      </c>
      <c r="I987" s="119" t="s">
        <v>1602</v>
      </c>
      <c r="J987" s="198" t="s">
        <v>2311</v>
      </c>
      <c r="K987" s="125" t="s">
        <v>1603</v>
      </c>
      <c r="L987" s="125" t="s">
        <v>1549</v>
      </c>
      <c r="M987" s="125" t="s">
        <v>788</v>
      </c>
      <c r="N987" s="126">
        <v>30000</v>
      </c>
      <c r="O987" s="126" t="s">
        <v>2254</v>
      </c>
      <c r="P987" s="146">
        <v>254722252523</v>
      </c>
      <c r="Q987" s="210"/>
    </row>
    <row r="988" spans="1:17" x14ac:dyDescent="0.2">
      <c r="A988" s="155" t="s">
        <v>785</v>
      </c>
      <c r="B988" s="197">
        <v>2001034</v>
      </c>
      <c r="C988" s="197">
        <v>20567</v>
      </c>
      <c r="D988" s="198" t="s">
        <v>786</v>
      </c>
      <c r="E988" s="197">
        <v>76</v>
      </c>
      <c r="F988" s="197" t="str">
        <f>IF(E988&lt;=20,"0-19",
IF(E988&lt;=50,"20-49",
IF(E988&lt;=80,"50-79","80+")))</f>
        <v>50-79</v>
      </c>
      <c r="G988" s="197" t="s">
        <v>60</v>
      </c>
      <c r="H988" s="197" t="s">
        <v>22</v>
      </c>
      <c r="I988" s="198" t="s">
        <v>787</v>
      </c>
      <c r="J988" s="198" t="s">
        <v>2311</v>
      </c>
      <c r="K988" s="198" t="s">
        <v>42</v>
      </c>
      <c r="L988" s="197" t="s">
        <v>42</v>
      </c>
      <c r="M988" s="198" t="s">
        <v>788</v>
      </c>
      <c r="N988" s="202">
        <v>84400</v>
      </c>
      <c r="O988" s="122" t="s">
        <v>18</v>
      </c>
      <c r="P988" s="172"/>
      <c r="Q988" s="210"/>
    </row>
    <row r="989" spans="1:17" x14ac:dyDescent="0.2">
      <c r="A989" s="155" t="s">
        <v>808</v>
      </c>
      <c r="B989" s="125">
        <v>2001322</v>
      </c>
      <c r="C989" s="125">
        <v>20858</v>
      </c>
      <c r="D989" s="125" t="s">
        <v>1309</v>
      </c>
      <c r="E989" s="125">
        <v>65</v>
      </c>
      <c r="F989" s="125" t="str">
        <f>IF(E989&lt;=20,"0-19",
IF(E989&lt;=50,"20-49",
IF(E989&lt;=80,"50-79","80+")))</f>
        <v>50-79</v>
      </c>
      <c r="G989" s="125" t="s">
        <v>60</v>
      </c>
      <c r="H989" s="125" t="s">
        <v>22</v>
      </c>
      <c r="I989" s="119" t="s">
        <v>1310</v>
      </c>
      <c r="J989" s="198" t="s">
        <v>2311</v>
      </c>
      <c r="K989" s="119" t="s">
        <v>1242</v>
      </c>
      <c r="L989" s="119" t="s">
        <v>1242</v>
      </c>
      <c r="M989" s="125" t="s">
        <v>788</v>
      </c>
      <c r="N989" s="162">
        <v>40000</v>
      </c>
      <c r="O989" s="125" t="s">
        <v>832</v>
      </c>
      <c r="P989" s="172"/>
      <c r="Q989" s="210"/>
    </row>
    <row r="990" spans="1:17" x14ac:dyDescent="0.2">
      <c r="A990" s="155" t="s">
        <v>785</v>
      </c>
      <c r="B990" s="197">
        <v>2012690</v>
      </c>
      <c r="C990" s="197">
        <v>17742</v>
      </c>
      <c r="D990" s="198" t="s">
        <v>794</v>
      </c>
      <c r="E990" s="197">
        <v>69</v>
      </c>
      <c r="F990" s="197" t="str">
        <f>IF(E990&lt;=20,"0-19",
IF(E990&lt;=50,"20-49",
IF(E990&lt;=80,"50-79","80+")))</f>
        <v>50-79</v>
      </c>
      <c r="G990" s="197" t="s">
        <v>49</v>
      </c>
      <c r="H990" s="197" t="s">
        <v>15</v>
      </c>
      <c r="I990" s="198" t="s">
        <v>795</v>
      </c>
      <c r="J990" s="198" t="s">
        <v>2311</v>
      </c>
      <c r="K990" s="198" t="s">
        <v>42</v>
      </c>
      <c r="L990" s="197" t="s">
        <v>42</v>
      </c>
      <c r="M990" s="198" t="s">
        <v>788</v>
      </c>
      <c r="N990" s="202">
        <v>150000</v>
      </c>
      <c r="O990" s="125" t="s">
        <v>18</v>
      </c>
      <c r="P990" s="173"/>
      <c r="Q990" s="210"/>
    </row>
    <row r="991" spans="1:17" x14ac:dyDescent="0.2">
      <c r="A991" s="143" t="s">
        <v>785</v>
      </c>
      <c r="B991" s="121">
        <v>2001802</v>
      </c>
      <c r="C991" s="122">
        <v>11761</v>
      </c>
      <c r="D991" s="121" t="s">
        <v>1599</v>
      </c>
      <c r="E991" s="121">
        <v>71</v>
      </c>
      <c r="F991" s="121" t="str">
        <f>IF(E991&lt;=20,"0-19",
IF(E991&lt;=50,"20-49",
IF(E991&lt;=80,"50-79","80+")))</f>
        <v>50-79</v>
      </c>
      <c r="G991" s="121" t="s">
        <v>60</v>
      </c>
      <c r="H991" s="121" t="s">
        <v>22</v>
      </c>
      <c r="I991" s="121" t="s">
        <v>1600</v>
      </c>
      <c r="J991" s="198" t="s">
        <v>2311</v>
      </c>
      <c r="K991" s="121" t="s">
        <v>1553</v>
      </c>
      <c r="L991" s="121" t="s">
        <v>1553</v>
      </c>
      <c r="M991" s="122" t="s">
        <v>788</v>
      </c>
      <c r="N991" s="127">
        <v>30000</v>
      </c>
      <c r="O991" s="127" t="s">
        <v>2254</v>
      </c>
      <c r="P991" s="147">
        <v>254720920599</v>
      </c>
      <c r="Q991" s="210"/>
    </row>
    <row r="992" spans="1:17" x14ac:dyDescent="0.2">
      <c r="A992" s="143" t="s">
        <v>808</v>
      </c>
      <c r="B992" s="122">
        <v>2004348</v>
      </c>
      <c r="C992" s="122">
        <v>60369</v>
      </c>
      <c r="D992" s="122" t="s">
        <v>1583</v>
      </c>
      <c r="E992" s="122">
        <v>62</v>
      </c>
      <c r="F992" s="122" t="str">
        <f>IF(E992&lt;=20,"0-19",
IF(E992&lt;=50,"20-49",
IF(E992&lt;=80,"50-79","80+")))</f>
        <v>50-79</v>
      </c>
      <c r="G992" s="122" t="s">
        <v>60</v>
      </c>
      <c r="H992" s="122" t="s">
        <v>22</v>
      </c>
      <c r="I992" s="123" t="s">
        <v>1584</v>
      </c>
      <c r="J992" s="198" t="s">
        <v>2311</v>
      </c>
      <c r="K992" s="122" t="s">
        <v>1559</v>
      </c>
      <c r="L992" s="122" t="s">
        <v>1559</v>
      </c>
      <c r="M992" s="122" t="s">
        <v>788</v>
      </c>
      <c r="N992" s="124">
        <v>15200</v>
      </c>
      <c r="O992" s="124" t="s">
        <v>2254</v>
      </c>
      <c r="P992" s="147">
        <v>254723650682</v>
      </c>
      <c r="Q992" s="210"/>
    </row>
    <row r="993" spans="1:17" x14ac:dyDescent="0.2">
      <c r="A993" s="142" t="s">
        <v>1585</v>
      </c>
      <c r="B993" s="119">
        <v>2007024</v>
      </c>
      <c r="C993" s="125">
        <v>18958</v>
      </c>
      <c r="D993" s="119" t="s">
        <v>2061</v>
      </c>
      <c r="E993" s="119">
        <v>63</v>
      </c>
      <c r="F993" s="119" t="str">
        <f>IF(E993&lt;=20,"0-19",
IF(E993&lt;=50,"20-49",
IF(E993&lt;=80,"50-79","80+")))</f>
        <v>50-79</v>
      </c>
      <c r="G993" s="119" t="s">
        <v>14</v>
      </c>
      <c r="H993" s="119" t="s">
        <v>15</v>
      </c>
      <c r="I993" s="119" t="s">
        <v>2062</v>
      </c>
      <c r="J993" s="198" t="s">
        <v>2311</v>
      </c>
      <c r="K993" s="119" t="s">
        <v>1911</v>
      </c>
      <c r="L993" s="119" t="s">
        <v>1911</v>
      </c>
      <c r="M993" s="125" t="s">
        <v>788</v>
      </c>
      <c r="N993" s="120">
        <v>75000</v>
      </c>
      <c r="O993" s="120" t="s">
        <v>2254</v>
      </c>
      <c r="P993" s="146">
        <v>254745871502</v>
      </c>
      <c r="Q993" s="210"/>
    </row>
    <row r="994" spans="1:17" x14ac:dyDescent="0.2">
      <c r="A994" s="142" t="s">
        <v>785</v>
      </c>
      <c r="B994" s="119">
        <v>2002518</v>
      </c>
      <c r="C994" s="125">
        <v>33078</v>
      </c>
      <c r="D994" s="119" t="s">
        <v>1747</v>
      </c>
      <c r="E994" s="119">
        <v>56</v>
      </c>
      <c r="F994" s="119" t="str">
        <f>IF(E994&lt;=20,"0-19",
IF(E994&lt;=50,"20-49",
IF(E994&lt;=80,"50-79","80+")))</f>
        <v>50-79</v>
      </c>
      <c r="G994" s="118" t="s">
        <v>126</v>
      </c>
      <c r="H994" s="118" t="s">
        <v>22</v>
      </c>
      <c r="I994" s="119" t="s">
        <v>1312</v>
      </c>
      <c r="J994" s="198" t="s">
        <v>2311</v>
      </c>
      <c r="K994" s="118" t="s">
        <v>1918</v>
      </c>
      <c r="L994" s="118" t="s">
        <v>1918</v>
      </c>
      <c r="M994" s="125" t="s">
        <v>788</v>
      </c>
      <c r="N994" s="120">
        <v>240000</v>
      </c>
      <c r="O994" s="120" t="s">
        <v>2254</v>
      </c>
      <c r="P994" s="146">
        <v>254720659401</v>
      </c>
      <c r="Q994" s="210"/>
    </row>
    <row r="995" spans="1:17" x14ac:dyDescent="0.2">
      <c r="A995" s="155" t="s">
        <v>808</v>
      </c>
      <c r="B995" s="118">
        <v>204427</v>
      </c>
      <c r="C995" s="125">
        <v>11345</v>
      </c>
      <c r="D995" s="118" t="s">
        <v>1311</v>
      </c>
      <c r="E995" s="118">
        <v>67</v>
      </c>
      <c r="F995" s="118" t="str">
        <f>IF(E995&lt;=20,"0-19",
IF(E995&lt;=50,"20-49",
IF(E995&lt;=80,"50-79","80+")))</f>
        <v>50-79</v>
      </c>
      <c r="G995" s="118" t="s">
        <v>60</v>
      </c>
      <c r="H995" s="118" t="s">
        <v>22</v>
      </c>
      <c r="I995" s="118" t="s">
        <v>1312</v>
      </c>
      <c r="J995" s="198" t="s">
        <v>2311</v>
      </c>
      <c r="K995" s="118" t="s">
        <v>1232</v>
      </c>
      <c r="L995" s="118" t="s">
        <v>1232</v>
      </c>
      <c r="M995" s="125" t="s">
        <v>788</v>
      </c>
      <c r="N995" s="160">
        <v>110000</v>
      </c>
      <c r="O995" s="125" t="s">
        <v>832</v>
      </c>
      <c r="P995" s="173"/>
      <c r="Q995" s="210"/>
    </row>
    <row r="996" spans="1:17" x14ac:dyDescent="0.2">
      <c r="A996" s="155" t="s">
        <v>1218</v>
      </c>
      <c r="B996" s="118">
        <v>2003527</v>
      </c>
      <c r="C996" s="125">
        <v>15412</v>
      </c>
      <c r="D996" s="118" t="s">
        <v>1219</v>
      </c>
      <c r="E996" s="118">
        <v>66</v>
      </c>
      <c r="F996" s="118" t="str">
        <f>IF(E996&lt;=20,"0-19",
IF(E996&lt;=50,"20-49",
IF(E996&lt;=80,"50-79","80+")))</f>
        <v>50-79</v>
      </c>
      <c r="G996" s="119" t="s">
        <v>126</v>
      </c>
      <c r="H996" s="119" t="s">
        <v>22</v>
      </c>
      <c r="I996" s="118" t="s">
        <v>1220</v>
      </c>
      <c r="J996" s="198" t="s">
        <v>2311</v>
      </c>
      <c r="K996" s="119" t="s">
        <v>909</v>
      </c>
      <c r="L996" s="119" t="s">
        <v>909</v>
      </c>
      <c r="M996" s="125" t="s">
        <v>788</v>
      </c>
      <c r="N996" s="160">
        <v>160000</v>
      </c>
      <c r="O996" s="125" t="s">
        <v>832</v>
      </c>
      <c r="P996" s="172"/>
      <c r="Q996" s="210"/>
    </row>
    <row r="997" spans="1:17" x14ac:dyDescent="0.2">
      <c r="A997" s="156" t="s">
        <v>799</v>
      </c>
      <c r="B997" s="196">
        <v>2002373</v>
      </c>
      <c r="C997" s="200">
        <v>58877</v>
      </c>
      <c r="D997" s="196" t="s">
        <v>802</v>
      </c>
      <c r="E997" s="196">
        <v>58</v>
      </c>
      <c r="F997" s="196" t="str">
        <f>IF(E997&lt;=20,"0-19",
IF(E997&lt;=50,"20-49",
IF(E997&lt;=80,"50-79","80+")))</f>
        <v>50-79</v>
      </c>
      <c r="G997" s="196" t="s">
        <v>60</v>
      </c>
      <c r="H997" s="196" t="s">
        <v>22</v>
      </c>
      <c r="I997" s="196" t="s">
        <v>803</v>
      </c>
      <c r="J997" s="198" t="s">
        <v>2311</v>
      </c>
      <c r="K997" s="196" t="s">
        <v>24</v>
      </c>
      <c r="L997" s="196" t="s">
        <v>24</v>
      </c>
      <c r="M997" s="198" t="s">
        <v>788</v>
      </c>
      <c r="N997" s="201">
        <v>75000</v>
      </c>
      <c r="O997" s="122" t="s">
        <v>18</v>
      </c>
      <c r="P997" s="172"/>
      <c r="Q997" s="210"/>
    </row>
    <row r="998" spans="1:17" x14ac:dyDescent="0.2">
      <c r="A998" s="142" t="s">
        <v>785</v>
      </c>
      <c r="B998" s="118">
        <v>2002518</v>
      </c>
      <c r="C998" s="125">
        <v>33078</v>
      </c>
      <c r="D998" s="118" t="s">
        <v>1747</v>
      </c>
      <c r="E998" s="118">
        <v>56</v>
      </c>
      <c r="F998" s="118" t="str">
        <f>IF(E998&lt;=20,"0-19",
IF(E998&lt;=50,"20-49",
IF(E998&lt;=80,"50-79","80+")))</f>
        <v>50-79</v>
      </c>
      <c r="G998" s="119" t="s">
        <v>126</v>
      </c>
      <c r="H998" s="119" t="s">
        <v>22</v>
      </c>
      <c r="I998" s="118" t="s">
        <v>1748</v>
      </c>
      <c r="J998" s="198" t="s">
        <v>2311</v>
      </c>
      <c r="K998" s="119" t="s">
        <v>1562</v>
      </c>
      <c r="L998" s="119" t="s">
        <v>1562</v>
      </c>
      <c r="M998" s="125" t="s">
        <v>788</v>
      </c>
      <c r="N998" s="120">
        <v>140000</v>
      </c>
      <c r="O998" s="120" t="s">
        <v>2254</v>
      </c>
      <c r="P998" s="146">
        <v>254720753956</v>
      </c>
      <c r="Q998" s="210"/>
    </row>
    <row r="999" spans="1:17" x14ac:dyDescent="0.2">
      <c r="A999" s="155" t="s">
        <v>785</v>
      </c>
      <c r="B999" s="197">
        <v>2001053</v>
      </c>
      <c r="C999" s="197">
        <v>17470</v>
      </c>
      <c r="D999" s="198" t="s">
        <v>789</v>
      </c>
      <c r="E999" s="197">
        <v>78</v>
      </c>
      <c r="F999" s="197" t="str">
        <f>IF(E999&lt;=20,"0-19",
IF(E999&lt;=50,"20-49",
IF(E999&lt;=80,"50-79","80+")))</f>
        <v>50-79</v>
      </c>
      <c r="G999" s="197" t="s">
        <v>60</v>
      </c>
      <c r="H999" s="197" t="s">
        <v>22</v>
      </c>
      <c r="I999" s="198" t="s">
        <v>790</v>
      </c>
      <c r="J999" s="198" t="s">
        <v>2322</v>
      </c>
      <c r="K999" s="198" t="s">
        <v>25</v>
      </c>
      <c r="L999" s="197" t="s">
        <v>25</v>
      </c>
      <c r="M999" s="198" t="s">
        <v>788</v>
      </c>
      <c r="N999" s="202">
        <v>60000</v>
      </c>
      <c r="O999" s="125" t="s">
        <v>18</v>
      </c>
      <c r="P999" s="173"/>
      <c r="Q999" s="210"/>
    </row>
    <row r="1000" spans="1:17" x14ac:dyDescent="0.2">
      <c r="A1000" s="155" t="s">
        <v>808</v>
      </c>
      <c r="B1000" s="122">
        <v>2014769</v>
      </c>
      <c r="C1000" s="122">
        <v>100540</v>
      </c>
      <c r="D1000" s="122" t="s">
        <v>824</v>
      </c>
      <c r="E1000" s="123">
        <v>60</v>
      </c>
      <c r="F1000" s="123" t="str">
        <f>IF(E1000&lt;=20,"0-19",
IF(E1000&lt;=50,"20-49",
IF(E1000&lt;=80,"50-79","80+")))</f>
        <v>50-79</v>
      </c>
      <c r="G1000" s="122" t="s">
        <v>49</v>
      </c>
      <c r="H1000" s="122" t="s">
        <v>15</v>
      </c>
      <c r="I1000" s="122" t="s">
        <v>825</v>
      </c>
      <c r="J1000" s="198" t="s">
        <v>2311</v>
      </c>
      <c r="K1000" s="123" t="s">
        <v>66</v>
      </c>
      <c r="L1000" s="123" t="s">
        <v>66</v>
      </c>
      <c r="M1000" s="122" t="s">
        <v>826</v>
      </c>
      <c r="N1000" s="157">
        <v>250000</v>
      </c>
      <c r="O1000" s="122" t="s">
        <v>18</v>
      </c>
      <c r="P1000" s="172"/>
      <c r="Q1000" s="210"/>
    </row>
    <row r="1001" spans="1:17" x14ac:dyDescent="0.2">
      <c r="A1001" s="139" t="s">
        <v>808</v>
      </c>
      <c r="B1001" s="82">
        <v>2009360</v>
      </c>
      <c r="C1001" s="82">
        <v>17794</v>
      </c>
      <c r="D1001" s="82" t="s">
        <v>827</v>
      </c>
      <c r="E1001" s="92">
        <v>66</v>
      </c>
      <c r="F1001" s="92" t="str">
        <f>IF(E1001&lt;=20,"0-19",
IF(E1001&lt;=50,"20-49",
IF(E1001&lt;=80,"50-79","80+")))</f>
        <v>50-79</v>
      </c>
      <c r="G1001" s="82" t="s">
        <v>49</v>
      </c>
      <c r="H1001" s="82" t="s">
        <v>15</v>
      </c>
      <c r="I1001" s="82" t="s">
        <v>791</v>
      </c>
      <c r="J1001" s="198" t="s">
        <v>2311</v>
      </c>
      <c r="K1001" s="92" t="s">
        <v>66</v>
      </c>
      <c r="L1001" s="92" t="s">
        <v>66</v>
      </c>
      <c r="M1001" s="82" t="s">
        <v>828</v>
      </c>
      <c r="N1001" s="101">
        <v>110000</v>
      </c>
      <c r="O1001" s="82" t="s">
        <v>18</v>
      </c>
      <c r="P1001" s="170"/>
      <c r="Q1001" s="210"/>
    </row>
    <row r="1002" spans="1:17" x14ac:dyDescent="0.2">
      <c r="A1002" s="105"/>
      <c r="B1002" s="82"/>
      <c r="C1002" s="82"/>
      <c r="D1002" s="82"/>
      <c r="E1002" s="82"/>
      <c r="F1002" s="82" t="str">
        <f>IF(E1002&lt;=20,"0-19",
IF(E1002&lt;=50,"20-49",
IF(E1002&lt;=80,"50-79","80+")))</f>
        <v>0-19</v>
      </c>
      <c r="G1002" s="82"/>
      <c r="H1002" s="82"/>
      <c r="I1002" s="82"/>
      <c r="J1002" s="82"/>
      <c r="K1002" s="92"/>
      <c r="L1002" s="82"/>
      <c r="M1002" s="82"/>
      <c r="N1002" s="151"/>
      <c r="O1002" s="151"/>
      <c r="P1002" s="152"/>
      <c r="Q1002" s="210"/>
    </row>
    <row r="1003" spans="1:17" ht="15" x14ac:dyDescent="0.25">
      <c r="A1003" s="105"/>
      <c r="B1003" s="82"/>
      <c r="C1003" s="82"/>
      <c r="D1003" s="82"/>
      <c r="E1003" s="82"/>
      <c r="F1003" s="82"/>
      <c r="G1003" s="82"/>
      <c r="H1003" s="82"/>
      <c r="I1003" s="82"/>
      <c r="J1003" s="82"/>
      <c r="K1003" s="92"/>
      <c r="L1003" s="82"/>
      <c r="M1003" s="82"/>
      <c r="N1003" s="84"/>
      <c r="O1003" s="84"/>
      <c r="P1003" s="209"/>
      <c r="Q1003"/>
    </row>
  </sheetData>
  <conditionalFormatting sqref="B197:B266 B1:B56 B58:B185 B268:B334">
    <cfRule type="duplicateValues" dxfId="9" priority="5"/>
  </conditionalFormatting>
  <conditionalFormatting sqref="B268:B334 B1:B266">
    <cfRule type="duplicateValues" dxfId="8" priority="4"/>
  </conditionalFormatting>
  <conditionalFormatting sqref="B335:B516">
    <cfRule type="duplicateValues" dxfId="7" priority="3"/>
  </conditionalFormatting>
  <conditionalFormatting sqref="B976 B675:B846">
    <cfRule type="duplicateValues" dxfId="6" priority="1"/>
  </conditionalFormatting>
  <conditionalFormatting sqref="C517:C674">
    <cfRule type="duplicateValues" dxfId="5" priority="2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B6C23-4E73-45FA-966F-28CAA60B7881}">
  <dimension ref="A1:Q1001"/>
  <sheetViews>
    <sheetView tabSelected="1" workbookViewId="0">
      <selection sqref="A1:O1001"/>
    </sheetView>
  </sheetViews>
  <sheetFormatPr defaultColWidth="30.7109375" defaultRowHeight="11.25" x14ac:dyDescent="0.2"/>
  <cols>
    <col min="1" max="1" width="21.28515625" style="154" customWidth="1"/>
    <col min="2" max="2" width="7.85546875" style="154" bestFit="1" customWidth="1"/>
    <col min="3" max="3" width="9.140625" style="154" bestFit="1" customWidth="1"/>
    <col min="4" max="4" width="16.140625" style="154" customWidth="1"/>
    <col min="5" max="6" width="12.85546875" style="154" customWidth="1"/>
    <col min="7" max="7" width="14.5703125" style="154" customWidth="1"/>
    <col min="8" max="8" width="10.42578125" style="154" bestFit="1" customWidth="1"/>
    <col min="9" max="9" width="31.28515625" style="154" customWidth="1"/>
    <col min="10" max="10" width="33.140625" style="154" customWidth="1"/>
    <col min="11" max="11" width="17.5703125" style="154" customWidth="1"/>
    <col min="12" max="12" width="9" style="154" bestFit="1" customWidth="1"/>
    <col min="13" max="13" width="10.5703125" style="181" customWidth="1"/>
    <col min="14" max="14" width="12.85546875" style="154" bestFit="1" customWidth="1"/>
    <col min="15" max="15" width="11.28515625" style="154" bestFit="1" customWidth="1"/>
    <col min="16" max="16384" width="30.7109375" style="154"/>
  </cols>
  <sheetData>
    <row r="1" spans="1:17" ht="42" x14ac:dyDescent="0.2">
      <c r="A1" s="148" t="s">
        <v>0</v>
      </c>
      <c r="B1" s="149" t="s">
        <v>1</v>
      </c>
      <c r="C1" s="153" t="s">
        <v>2</v>
      </c>
      <c r="D1" s="149" t="s">
        <v>3</v>
      </c>
      <c r="E1" s="149" t="s">
        <v>4</v>
      </c>
      <c r="F1" s="149" t="s">
        <v>2541</v>
      </c>
      <c r="G1" s="149" t="s">
        <v>2255</v>
      </c>
      <c r="H1" s="149" t="s">
        <v>5</v>
      </c>
      <c r="I1" s="149" t="s">
        <v>6</v>
      </c>
      <c r="J1" s="149" t="s">
        <v>2358</v>
      </c>
      <c r="K1" s="149" t="s">
        <v>7</v>
      </c>
      <c r="L1" s="149" t="s">
        <v>8</v>
      </c>
      <c r="M1" s="149" t="s">
        <v>9</v>
      </c>
      <c r="N1" s="150" t="s">
        <v>10</v>
      </c>
      <c r="O1" s="169" t="s">
        <v>11</v>
      </c>
      <c r="P1" s="169" t="s">
        <v>2256</v>
      </c>
      <c r="Q1" s="154" t="s">
        <v>2538</v>
      </c>
    </row>
    <row r="2" spans="1:17" hidden="1" x14ac:dyDescent="0.2">
      <c r="A2" s="139" t="s">
        <v>53</v>
      </c>
      <c r="B2" s="113">
        <v>2006382</v>
      </c>
      <c r="C2" s="113">
        <v>100900</v>
      </c>
      <c r="D2" s="114" t="s">
        <v>54</v>
      </c>
      <c r="E2" s="113">
        <v>69</v>
      </c>
      <c r="F2" s="113" t="str">
        <f>IF(E2&lt;=20,"0-19",
IF(E2&lt;=50,"20-49",
IF(E2&lt;=80,"50-79","80+")))</f>
        <v>50-79</v>
      </c>
      <c r="G2" s="113" t="s">
        <v>55</v>
      </c>
      <c r="H2" s="113" t="s">
        <v>15</v>
      </c>
      <c r="I2" s="114" t="s">
        <v>56</v>
      </c>
      <c r="J2" s="114" t="s">
        <v>2275</v>
      </c>
      <c r="K2" s="114" t="s">
        <v>25</v>
      </c>
      <c r="L2" s="113" t="s">
        <v>57</v>
      </c>
      <c r="M2" s="114">
        <v>1</v>
      </c>
      <c r="N2" s="115">
        <v>194820.47</v>
      </c>
      <c r="O2" s="87" t="s">
        <v>18</v>
      </c>
      <c r="P2" s="171"/>
      <c r="Q2" s="210"/>
    </row>
    <row r="3" spans="1:17" hidden="1" x14ac:dyDescent="0.2">
      <c r="A3" s="139" t="s">
        <v>68</v>
      </c>
      <c r="B3" s="82">
        <v>2002126</v>
      </c>
      <c r="C3" s="82">
        <v>10331</v>
      </c>
      <c r="D3" s="82" t="s">
        <v>440</v>
      </c>
      <c r="E3" s="82">
        <v>69</v>
      </c>
      <c r="F3" s="82" t="str">
        <f>IF(E3&lt;=20,"0-19",
IF(E3&lt;=50,"20-49",
IF(E3&lt;=80,"50-79","80+")))</f>
        <v>50-79</v>
      </c>
      <c r="G3" s="82" t="s">
        <v>60</v>
      </c>
      <c r="H3" s="82" t="s">
        <v>22</v>
      </c>
      <c r="I3" s="92" t="s">
        <v>829</v>
      </c>
      <c r="J3" s="92" t="s">
        <v>2275</v>
      </c>
      <c r="K3" s="92" t="s">
        <v>830</v>
      </c>
      <c r="L3" s="82" t="s">
        <v>831</v>
      </c>
      <c r="M3" s="82">
        <v>1</v>
      </c>
      <c r="N3" s="84">
        <v>130867</v>
      </c>
      <c r="O3" s="82" t="s">
        <v>832</v>
      </c>
      <c r="P3" s="171"/>
      <c r="Q3" s="210"/>
    </row>
    <row r="4" spans="1:17" hidden="1" x14ac:dyDescent="0.2">
      <c r="A4" s="139" t="s">
        <v>53</v>
      </c>
      <c r="B4" s="82">
        <v>2004100</v>
      </c>
      <c r="C4" s="82">
        <v>100573</v>
      </c>
      <c r="D4" s="82" t="s">
        <v>83</v>
      </c>
      <c r="E4" s="92">
        <v>68</v>
      </c>
      <c r="F4" s="92" t="str">
        <f>IF(E4&lt;=20,"0-19",
IF(E4&lt;=50,"20-49",
IF(E4&lt;=80,"50-79","80+")))</f>
        <v>50-79</v>
      </c>
      <c r="G4" s="82" t="s">
        <v>60</v>
      </c>
      <c r="H4" s="82" t="s">
        <v>22</v>
      </c>
      <c r="I4" s="82" t="s">
        <v>84</v>
      </c>
      <c r="J4" s="82" t="s">
        <v>2275</v>
      </c>
      <c r="K4" s="92" t="s">
        <v>85</v>
      </c>
      <c r="L4" s="92" t="s">
        <v>85</v>
      </c>
      <c r="M4" s="82">
        <v>1</v>
      </c>
      <c r="N4" s="101">
        <v>30394</v>
      </c>
      <c r="O4" s="82" t="s">
        <v>18</v>
      </c>
      <c r="P4" s="170"/>
      <c r="Q4" s="210"/>
    </row>
    <row r="5" spans="1:17" hidden="1" x14ac:dyDescent="0.2">
      <c r="A5" s="105" t="s">
        <v>53</v>
      </c>
      <c r="B5" s="82">
        <v>2009724</v>
      </c>
      <c r="C5" s="82">
        <v>14672</v>
      </c>
      <c r="D5" s="82" t="s">
        <v>2020</v>
      </c>
      <c r="E5" s="82">
        <v>65</v>
      </c>
      <c r="F5" s="82" t="str">
        <f>IF(E5&lt;=20,"0-19",
IF(E5&lt;=50,"20-49",
IF(E5&lt;=80,"50-79","80+")))</f>
        <v>50-79</v>
      </c>
      <c r="G5" s="82" t="s">
        <v>2021</v>
      </c>
      <c r="H5" s="82" t="s">
        <v>15</v>
      </c>
      <c r="I5" s="82" t="s">
        <v>2022</v>
      </c>
      <c r="J5" s="82" t="s">
        <v>2275</v>
      </c>
      <c r="K5" s="92" t="s">
        <v>1911</v>
      </c>
      <c r="L5" s="82" t="s">
        <v>1895</v>
      </c>
      <c r="M5" s="82">
        <v>1</v>
      </c>
      <c r="N5" s="151">
        <v>53066.17</v>
      </c>
      <c r="O5" s="151" t="s">
        <v>2254</v>
      </c>
      <c r="P5" s="152">
        <v>254715397690</v>
      </c>
      <c r="Q5" s="210"/>
    </row>
    <row r="6" spans="1:17" hidden="1" x14ac:dyDescent="0.2">
      <c r="A6" s="139" t="s">
        <v>32</v>
      </c>
      <c r="B6" s="113">
        <v>2013527</v>
      </c>
      <c r="C6" s="113">
        <v>65367</v>
      </c>
      <c r="D6" s="114" t="s">
        <v>33</v>
      </c>
      <c r="E6" s="113">
        <v>62</v>
      </c>
      <c r="F6" s="113" t="str">
        <f>IF(E6&lt;=20,"0-19",
IF(E6&lt;=50,"20-49",
IF(E6&lt;=80,"50-79","80+")))</f>
        <v>50-79</v>
      </c>
      <c r="G6" s="113" t="s">
        <v>34</v>
      </c>
      <c r="H6" s="113" t="s">
        <v>22</v>
      </c>
      <c r="I6" s="114" t="s">
        <v>35</v>
      </c>
      <c r="J6" s="114" t="s">
        <v>2304</v>
      </c>
      <c r="K6" s="114" t="s">
        <v>36</v>
      </c>
      <c r="L6" s="113" t="s">
        <v>37</v>
      </c>
      <c r="M6" s="114">
        <v>1</v>
      </c>
      <c r="N6" s="115">
        <v>35943</v>
      </c>
      <c r="O6" s="87" t="s">
        <v>18</v>
      </c>
      <c r="P6" s="171"/>
      <c r="Q6" s="210"/>
    </row>
    <row r="7" spans="1:17" hidden="1" x14ac:dyDescent="0.2">
      <c r="A7" s="139" t="s">
        <v>1503</v>
      </c>
      <c r="B7" s="82">
        <v>2407209</v>
      </c>
      <c r="C7" s="82">
        <v>58921</v>
      </c>
      <c r="D7" s="82" t="s">
        <v>864</v>
      </c>
      <c r="E7" s="82">
        <v>44</v>
      </c>
      <c r="F7" s="82" t="str">
        <f>IF(E7&lt;=20,"0-19",
IF(E7&lt;=50,"20-49",
IF(E7&lt;=80,"50-79","80+")))</f>
        <v>20-49</v>
      </c>
      <c r="G7" s="82" t="s">
        <v>49</v>
      </c>
      <c r="H7" s="82" t="s">
        <v>15</v>
      </c>
      <c r="I7" s="82" t="s">
        <v>865</v>
      </c>
      <c r="J7" s="82" t="s">
        <v>2304</v>
      </c>
      <c r="K7" s="92" t="s">
        <v>860</v>
      </c>
      <c r="L7" s="92" t="s">
        <v>860</v>
      </c>
      <c r="M7" s="82">
        <v>1</v>
      </c>
      <c r="N7" s="84">
        <v>108021</v>
      </c>
      <c r="O7" s="82" t="s">
        <v>832</v>
      </c>
      <c r="P7" s="170"/>
      <c r="Q7" s="210"/>
    </row>
    <row r="8" spans="1:17" hidden="1" x14ac:dyDescent="0.2">
      <c r="A8" s="139" t="s">
        <v>63</v>
      </c>
      <c r="B8" s="92">
        <v>2018512</v>
      </c>
      <c r="C8" s="82">
        <v>34312</v>
      </c>
      <c r="D8" s="92" t="s">
        <v>1390</v>
      </c>
      <c r="E8" s="92">
        <v>17</v>
      </c>
      <c r="F8" s="92" t="str">
        <f>IF(E8&lt;=20,"0-19",
IF(E8&lt;=50,"20-49",
IF(E8&lt;=80,"50-79","80+")))</f>
        <v>0-19</v>
      </c>
      <c r="G8" s="92" t="s">
        <v>126</v>
      </c>
      <c r="H8" s="92" t="s">
        <v>132</v>
      </c>
      <c r="I8" s="92" t="s">
        <v>1391</v>
      </c>
      <c r="J8" s="114" t="s">
        <v>2304</v>
      </c>
      <c r="K8" s="92" t="s">
        <v>1236</v>
      </c>
      <c r="L8" s="93" t="s">
        <v>1260</v>
      </c>
      <c r="M8" s="93">
        <v>1</v>
      </c>
      <c r="N8" s="94">
        <v>236288</v>
      </c>
      <c r="O8" s="82" t="s">
        <v>832</v>
      </c>
      <c r="P8" s="171"/>
      <c r="Q8" s="210"/>
    </row>
    <row r="9" spans="1:17" hidden="1" x14ac:dyDescent="0.2">
      <c r="A9" s="105" t="s">
        <v>856</v>
      </c>
      <c r="B9" s="82">
        <v>2501067</v>
      </c>
      <c r="C9" s="82">
        <v>83002</v>
      </c>
      <c r="D9" s="82" t="s">
        <v>1791</v>
      </c>
      <c r="E9" s="82">
        <v>44</v>
      </c>
      <c r="F9" s="82" t="str">
        <f>IF(E9&lt;=20,"0-19",
IF(E9&lt;=50,"20-49",
IF(E9&lt;=80,"50-79","80+")))</f>
        <v>20-49</v>
      </c>
      <c r="G9" s="82" t="s">
        <v>1792</v>
      </c>
      <c r="H9" s="82" t="s">
        <v>22</v>
      </c>
      <c r="I9" s="92" t="s">
        <v>29</v>
      </c>
      <c r="J9" s="92" t="s">
        <v>2288</v>
      </c>
      <c r="K9" s="82" t="s">
        <v>1567</v>
      </c>
      <c r="L9" s="82" t="s">
        <v>1675</v>
      </c>
      <c r="M9" s="82">
        <v>1</v>
      </c>
      <c r="N9" s="151">
        <v>253014.01</v>
      </c>
      <c r="O9" s="151" t="s">
        <v>2254</v>
      </c>
      <c r="P9" s="152">
        <v>254712884054</v>
      </c>
      <c r="Q9" s="210"/>
    </row>
    <row r="10" spans="1:17" hidden="1" x14ac:dyDescent="0.2">
      <c r="A10" s="103" t="s">
        <v>26</v>
      </c>
      <c r="B10" s="82">
        <v>2007413</v>
      </c>
      <c r="C10" s="82">
        <v>20881</v>
      </c>
      <c r="D10" s="82" t="s">
        <v>27</v>
      </c>
      <c r="E10" s="92">
        <v>64</v>
      </c>
      <c r="F10" s="92" t="str">
        <f>IF(E10&lt;=20,"0-19",
IF(E10&lt;=50,"20-49",
IF(E10&lt;=80,"50-79","80+")))</f>
        <v>50-79</v>
      </c>
      <c r="G10" s="82" t="s">
        <v>28</v>
      </c>
      <c r="H10" s="82" t="s">
        <v>15</v>
      </c>
      <c r="I10" s="82" t="s">
        <v>29</v>
      </c>
      <c r="J10" s="82" t="s">
        <v>2288</v>
      </c>
      <c r="K10" s="92" t="s">
        <v>30</v>
      </c>
      <c r="L10" s="92" t="s">
        <v>31</v>
      </c>
      <c r="M10" s="82">
        <v>1</v>
      </c>
      <c r="N10" s="101">
        <v>92025</v>
      </c>
      <c r="O10" s="82" t="s">
        <v>18</v>
      </c>
      <c r="P10" s="170"/>
      <c r="Q10" s="210"/>
    </row>
    <row r="11" spans="1:17" hidden="1" x14ac:dyDescent="0.2">
      <c r="A11" s="139" t="s">
        <v>847</v>
      </c>
      <c r="B11" s="82">
        <v>2019609</v>
      </c>
      <c r="C11" s="82">
        <v>61525</v>
      </c>
      <c r="D11" s="82" t="s">
        <v>848</v>
      </c>
      <c r="E11" s="82">
        <v>48</v>
      </c>
      <c r="F11" s="82" t="str">
        <f>IF(E11&lt;=20,"0-19",
IF(E11&lt;=50,"20-49",
IF(E11&lt;=80,"50-79","80+")))</f>
        <v>20-49</v>
      </c>
      <c r="G11" s="82" t="s">
        <v>49</v>
      </c>
      <c r="H11" s="82" t="s">
        <v>15</v>
      </c>
      <c r="I11" s="92" t="s">
        <v>849</v>
      </c>
      <c r="J11" s="92" t="s">
        <v>2288</v>
      </c>
      <c r="K11" s="92" t="s">
        <v>850</v>
      </c>
      <c r="L11" s="82" t="s">
        <v>851</v>
      </c>
      <c r="M11" s="82">
        <v>1</v>
      </c>
      <c r="N11" s="84">
        <v>359993</v>
      </c>
      <c r="O11" s="82" t="s">
        <v>832</v>
      </c>
      <c r="P11" s="170"/>
      <c r="Q11" s="210"/>
    </row>
    <row r="12" spans="1:17" hidden="1" x14ac:dyDescent="0.2">
      <c r="A12" s="139" t="s">
        <v>19</v>
      </c>
      <c r="B12" s="82">
        <v>2011543</v>
      </c>
      <c r="C12" s="82">
        <v>9552</v>
      </c>
      <c r="D12" s="82" t="s">
        <v>844</v>
      </c>
      <c r="E12" s="82">
        <v>20</v>
      </c>
      <c r="F12" s="82" t="str">
        <f>IF(E12&lt;=20,"0-19",
IF(E12&lt;=50,"20-49",
IF(E12&lt;=80,"50-79","80+")))</f>
        <v>0-19</v>
      </c>
      <c r="G12" s="82" t="s">
        <v>60</v>
      </c>
      <c r="H12" s="82" t="s">
        <v>88</v>
      </c>
      <c r="I12" s="92" t="s">
        <v>845</v>
      </c>
      <c r="J12" s="92" t="s">
        <v>2288</v>
      </c>
      <c r="K12" s="92" t="s">
        <v>843</v>
      </c>
      <c r="L12" s="82" t="s">
        <v>846</v>
      </c>
      <c r="M12" s="82">
        <v>1</v>
      </c>
      <c r="N12" s="84">
        <v>62290</v>
      </c>
      <c r="O12" s="82" t="s">
        <v>832</v>
      </c>
      <c r="P12" s="171"/>
      <c r="Q12" s="210"/>
    </row>
    <row r="13" spans="1:17" ht="21" hidden="1" x14ac:dyDescent="0.2">
      <c r="A13" s="104" t="s">
        <v>856</v>
      </c>
      <c r="B13" s="86">
        <v>2005441</v>
      </c>
      <c r="C13" s="87">
        <v>13962</v>
      </c>
      <c r="D13" s="86" t="s">
        <v>2003</v>
      </c>
      <c r="E13" s="86">
        <v>65</v>
      </c>
      <c r="F13" s="86" t="str">
        <f>IF(E13&lt;=20,"0-19",
IF(E13&lt;=50,"20-49",
IF(E13&lt;=80,"50-79","80+")))</f>
        <v>50-79</v>
      </c>
      <c r="G13" s="86" t="s">
        <v>2004</v>
      </c>
      <c r="H13" s="86" t="s">
        <v>15</v>
      </c>
      <c r="I13" s="86" t="s">
        <v>1605</v>
      </c>
      <c r="J13" s="92" t="s">
        <v>2288</v>
      </c>
      <c r="K13" s="88" t="s">
        <v>1898</v>
      </c>
      <c r="L13" s="88" t="s">
        <v>1906</v>
      </c>
      <c r="M13" s="86">
        <v>1</v>
      </c>
      <c r="N13" s="164">
        <v>43757.85</v>
      </c>
      <c r="O13" s="164" t="s">
        <v>2254</v>
      </c>
      <c r="P13" s="168">
        <v>254722459249</v>
      </c>
      <c r="Q13" s="210"/>
    </row>
    <row r="14" spans="1:17" ht="21" hidden="1" x14ac:dyDescent="0.2">
      <c r="A14" s="105" t="s">
        <v>274</v>
      </c>
      <c r="B14" s="82">
        <v>2013704</v>
      </c>
      <c r="C14" s="82">
        <v>12933</v>
      </c>
      <c r="D14" s="82" t="s">
        <v>1899</v>
      </c>
      <c r="E14" s="82">
        <v>11</v>
      </c>
      <c r="F14" s="82" t="str">
        <f>IF(E14&lt;=20,"0-19",
IF(E14&lt;=50,"20-49",
IF(E14&lt;=80,"50-79","80+")))</f>
        <v>0-19</v>
      </c>
      <c r="G14" s="82" t="s">
        <v>1900</v>
      </c>
      <c r="H14" s="82" t="s">
        <v>132</v>
      </c>
      <c r="I14" s="82" t="s">
        <v>1901</v>
      </c>
      <c r="J14" s="82" t="s">
        <v>2295</v>
      </c>
      <c r="K14" s="92" t="s">
        <v>1902</v>
      </c>
      <c r="L14" s="82" t="s">
        <v>1893</v>
      </c>
      <c r="M14" s="82">
        <v>1</v>
      </c>
      <c r="N14" s="151">
        <v>8739</v>
      </c>
      <c r="O14" s="151" t="s">
        <v>2254</v>
      </c>
      <c r="P14" s="152">
        <v>254729953155</v>
      </c>
      <c r="Q14" s="210"/>
    </row>
    <row r="15" spans="1:17" hidden="1" x14ac:dyDescent="0.2">
      <c r="A15" s="103" t="s">
        <v>58</v>
      </c>
      <c r="B15" s="82">
        <v>2003111</v>
      </c>
      <c r="C15" s="82">
        <v>53272</v>
      </c>
      <c r="D15" s="82" t="s">
        <v>59</v>
      </c>
      <c r="E15" s="92">
        <v>67</v>
      </c>
      <c r="F15" s="92" t="str">
        <f>IF(E15&lt;=20,"0-19",
IF(E15&lt;=50,"20-49",
IF(E15&lt;=80,"50-79","80+")))</f>
        <v>50-79</v>
      </c>
      <c r="G15" s="82" t="s">
        <v>60</v>
      </c>
      <c r="H15" s="82" t="s">
        <v>22</v>
      </c>
      <c r="I15" s="82" t="s">
        <v>61</v>
      </c>
      <c r="J15" s="82" t="s">
        <v>2295</v>
      </c>
      <c r="K15" s="92" t="s">
        <v>62</v>
      </c>
      <c r="L15" s="92" t="s">
        <v>30</v>
      </c>
      <c r="M15" s="82">
        <v>1</v>
      </c>
      <c r="N15" s="101">
        <v>68575</v>
      </c>
      <c r="O15" s="82" t="s">
        <v>18</v>
      </c>
      <c r="P15" s="170"/>
      <c r="Q15" s="210"/>
    </row>
    <row r="16" spans="1:17" hidden="1" x14ac:dyDescent="0.2">
      <c r="A16" s="139" t="s">
        <v>1502</v>
      </c>
      <c r="B16" s="93">
        <v>2003444</v>
      </c>
      <c r="C16" s="82">
        <v>18642</v>
      </c>
      <c r="D16" s="93" t="s">
        <v>680</v>
      </c>
      <c r="E16" s="93">
        <v>64</v>
      </c>
      <c r="F16" s="93" t="str">
        <f>IF(E16&lt;=20,"0-19",
IF(E16&lt;=50,"20-49",
IF(E16&lt;=80,"50-79","80+")))</f>
        <v>50-79</v>
      </c>
      <c r="G16" s="93" t="s">
        <v>60</v>
      </c>
      <c r="H16" s="93" t="s">
        <v>22</v>
      </c>
      <c r="I16" s="93" t="s">
        <v>833</v>
      </c>
      <c r="J16" s="93" t="s">
        <v>2295</v>
      </c>
      <c r="K16" s="93" t="s">
        <v>834</v>
      </c>
      <c r="L16" s="93" t="s">
        <v>835</v>
      </c>
      <c r="M16" s="93">
        <v>1</v>
      </c>
      <c r="N16" s="94">
        <v>82225</v>
      </c>
      <c r="O16" s="82" t="s">
        <v>832</v>
      </c>
      <c r="P16" s="171"/>
      <c r="Q16" s="210"/>
    </row>
    <row r="17" spans="1:17" hidden="1" x14ac:dyDescent="0.2">
      <c r="A17" s="139" t="s">
        <v>68</v>
      </c>
      <c r="B17" s="113">
        <v>2021242</v>
      </c>
      <c r="C17" s="113">
        <v>60266</v>
      </c>
      <c r="D17" s="114" t="s">
        <v>69</v>
      </c>
      <c r="E17" s="113">
        <v>61</v>
      </c>
      <c r="F17" s="113" t="str">
        <f>IF(E17&lt;=20,"0-19",
IF(E17&lt;=50,"20-49",
IF(E17&lt;=80,"50-79","80+")))</f>
        <v>50-79</v>
      </c>
      <c r="G17" s="113" t="s">
        <v>60</v>
      </c>
      <c r="H17" s="113" t="s">
        <v>22</v>
      </c>
      <c r="I17" s="114" t="s">
        <v>70</v>
      </c>
      <c r="J17" s="114" t="s">
        <v>2295</v>
      </c>
      <c r="K17" s="114" t="s">
        <v>51</v>
      </c>
      <c r="L17" s="113" t="s">
        <v>71</v>
      </c>
      <c r="M17" s="114">
        <v>1</v>
      </c>
      <c r="N17" s="115">
        <v>64286</v>
      </c>
      <c r="O17" s="82" t="s">
        <v>18</v>
      </c>
      <c r="P17" s="170"/>
      <c r="Q17" s="210"/>
    </row>
    <row r="18" spans="1:17" hidden="1" x14ac:dyDescent="0.2">
      <c r="A18" s="139" t="s">
        <v>155</v>
      </c>
      <c r="B18" s="82">
        <v>2006586</v>
      </c>
      <c r="C18" s="82">
        <v>9088</v>
      </c>
      <c r="D18" s="82" t="s">
        <v>1422</v>
      </c>
      <c r="E18" s="82">
        <v>70</v>
      </c>
      <c r="F18" s="82" t="str">
        <f>IF(E18&lt;=20,"0-19",
IF(E18&lt;=50,"20-49",
IF(E18&lt;=80,"50-79","80+")))</f>
        <v>50-79</v>
      </c>
      <c r="G18" s="82" t="s">
        <v>1423</v>
      </c>
      <c r="H18" s="82" t="s">
        <v>15</v>
      </c>
      <c r="I18" s="82" t="s">
        <v>1424</v>
      </c>
      <c r="J18" s="82" t="s">
        <v>2295</v>
      </c>
      <c r="K18" s="82" t="s">
        <v>1241</v>
      </c>
      <c r="L18" s="82" t="s">
        <v>1288</v>
      </c>
      <c r="M18" s="82">
        <v>1</v>
      </c>
      <c r="N18" s="84">
        <v>215893</v>
      </c>
      <c r="O18" s="82" t="s">
        <v>832</v>
      </c>
      <c r="P18" s="171"/>
      <c r="Q18" s="210"/>
    </row>
    <row r="19" spans="1:17" hidden="1" x14ac:dyDescent="0.2">
      <c r="A19" s="139" t="s">
        <v>1371</v>
      </c>
      <c r="B19" s="82">
        <v>2016894</v>
      </c>
      <c r="C19" s="82">
        <v>57521</v>
      </c>
      <c r="D19" s="82" t="s">
        <v>1372</v>
      </c>
      <c r="E19" s="82">
        <v>65</v>
      </c>
      <c r="F19" s="82" t="str">
        <f>IF(E19&lt;=20,"0-19",
IF(E19&lt;=50,"20-49",
IF(E19&lt;=80,"50-79","80+")))</f>
        <v>50-79</v>
      </c>
      <c r="G19" s="82" t="s">
        <v>49</v>
      </c>
      <c r="H19" s="82" t="s">
        <v>15</v>
      </c>
      <c r="I19" s="82" t="s">
        <v>1373</v>
      </c>
      <c r="J19" s="82" t="s">
        <v>2295</v>
      </c>
      <c r="K19" s="82" t="s">
        <v>1249</v>
      </c>
      <c r="L19" s="82" t="s">
        <v>1288</v>
      </c>
      <c r="M19" s="82">
        <v>1</v>
      </c>
      <c r="N19" s="84">
        <v>296910</v>
      </c>
      <c r="O19" s="82" t="s">
        <v>832</v>
      </c>
      <c r="P19" s="171"/>
      <c r="Q19" s="210"/>
    </row>
    <row r="20" spans="1:17" hidden="1" x14ac:dyDescent="0.2">
      <c r="A20" s="139" t="s">
        <v>68</v>
      </c>
      <c r="B20" s="82">
        <v>2002171</v>
      </c>
      <c r="C20" s="82">
        <v>15126</v>
      </c>
      <c r="D20" s="82" t="s">
        <v>1406</v>
      </c>
      <c r="E20" s="82">
        <v>68</v>
      </c>
      <c r="F20" s="82" t="str">
        <f>IF(E20&lt;=20,"0-19",
IF(E20&lt;=50,"20-49",
IF(E20&lt;=80,"50-79","80+")))</f>
        <v>50-79</v>
      </c>
      <c r="G20" s="82" t="s">
        <v>60</v>
      </c>
      <c r="H20" s="82" t="s">
        <v>22</v>
      </c>
      <c r="I20" s="82" t="s">
        <v>1407</v>
      </c>
      <c r="J20" s="82" t="s">
        <v>2295</v>
      </c>
      <c r="K20" s="82" t="s">
        <v>1249</v>
      </c>
      <c r="L20" s="82" t="s">
        <v>1366</v>
      </c>
      <c r="M20" s="82">
        <v>1</v>
      </c>
      <c r="N20" s="84">
        <v>188955</v>
      </c>
      <c r="O20" s="82" t="s">
        <v>832</v>
      </c>
      <c r="P20" s="171"/>
      <c r="Q20" s="210"/>
    </row>
    <row r="21" spans="1:17" ht="21" hidden="1" x14ac:dyDescent="0.2">
      <c r="A21" s="108" t="s">
        <v>75</v>
      </c>
      <c r="B21" s="87">
        <v>2022978</v>
      </c>
      <c r="C21" s="87">
        <v>61074</v>
      </c>
      <c r="D21" s="87" t="s">
        <v>80</v>
      </c>
      <c r="E21" s="86">
        <v>62</v>
      </c>
      <c r="F21" s="86" t="str">
        <f>IF(E21&lt;=20,"0-19",
IF(E21&lt;=50,"20-49",
IF(E21&lt;=80,"50-79","80+")))</f>
        <v>50-79</v>
      </c>
      <c r="G21" s="87" t="s">
        <v>60</v>
      </c>
      <c r="H21" s="87" t="s">
        <v>22</v>
      </c>
      <c r="I21" s="87" t="s">
        <v>81</v>
      </c>
      <c r="J21" s="87" t="s">
        <v>2295</v>
      </c>
      <c r="K21" s="86" t="s">
        <v>82</v>
      </c>
      <c r="L21" s="86" t="s">
        <v>66</v>
      </c>
      <c r="M21" s="87">
        <v>1</v>
      </c>
      <c r="N21" s="97">
        <v>110559.54</v>
      </c>
      <c r="O21" s="87" t="s">
        <v>18</v>
      </c>
      <c r="P21" s="171"/>
      <c r="Q21" s="210"/>
    </row>
    <row r="22" spans="1:17" hidden="1" x14ac:dyDescent="0.2">
      <c r="A22" s="139" t="s">
        <v>1482</v>
      </c>
      <c r="B22" s="82">
        <v>2022978</v>
      </c>
      <c r="C22" s="82">
        <v>61074</v>
      </c>
      <c r="D22" s="82" t="s">
        <v>861</v>
      </c>
      <c r="E22" s="82">
        <v>62</v>
      </c>
      <c r="F22" s="82" t="str">
        <f>IF(E22&lt;=20,"0-19",
IF(E22&lt;=50,"20-49",
IF(E22&lt;=80,"50-79","80+")))</f>
        <v>50-79</v>
      </c>
      <c r="G22" s="82" t="s">
        <v>862</v>
      </c>
      <c r="H22" s="82" t="s">
        <v>22</v>
      </c>
      <c r="I22" s="92" t="s">
        <v>863</v>
      </c>
      <c r="J22" s="92" t="s">
        <v>2295</v>
      </c>
      <c r="K22" s="92" t="s">
        <v>851</v>
      </c>
      <c r="L22" s="82" t="s">
        <v>855</v>
      </c>
      <c r="M22" s="82">
        <v>1</v>
      </c>
      <c r="N22" s="84">
        <v>30621.32</v>
      </c>
      <c r="O22" s="82" t="s">
        <v>832</v>
      </c>
      <c r="P22" s="171"/>
      <c r="Q22" s="210"/>
    </row>
    <row r="23" spans="1:17" hidden="1" x14ac:dyDescent="0.2">
      <c r="A23" s="104" t="s">
        <v>515</v>
      </c>
      <c r="B23" s="87">
        <v>2018647</v>
      </c>
      <c r="C23" s="87">
        <v>103352</v>
      </c>
      <c r="D23" s="87" t="s">
        <v>2201</v>
      </c>
      <c r="E23" s="87">
        <v>53</v>
      </c>
      <c r="F23" s="87" t="str">
        <f>IF(E23&lt;=20,"0-19",
IF(E23&lt;=50,"20-49",
IF(E23&lt;=80,"50-79","80+")))</f>
        <v>50-79</v>
      </c>
      <c r="G23" s="87" t="s">
        <v>2202</v>
      </c>
      <c r="H23" s="87" t="s">
        <v>15</v>
      </c>
      <c r="I23" s="87" t="s">
        <v>2203</v>
      </c>
      <c r="J23" s="114" t="s">
        <v>2546</v>
      </c>
      <c r="K23" s="86" t="s">
        <v>1906</v>
      </c>
      <c r="L23" s="87" t="s">
        <v>2016</v>
      </c>
      <c r="M23" s="87">
        <v>1</v>
      </c>
      <c r="N23" s="161">
        <v>272059</v>
      </c>
      <c r="O23" s="161" t="s">
        <v>2254</v>
      </c>
      <c r="P23" s="168">
        <v>254713738247</v>
      </c>
      <c r="Q23" s="210"/>
    </row>
    <row r="24" spans="1:17" hidden="1" x14ac:dyDescent="0.2">
      <c r="A24" s="139" t="s">
        <v>63</v>
      </c>
      <c r="B24" s="82">
        <v>2004684</v>
      </c>
      <c r="C24" s="82">
        <v>34706</v>
      </c>
      <c r="D24" s="82" t="s">
        <v>1395</v>
      </c>
      <c r="E24" s="82">
        <v>12</v>
      </c>
      <c r="F24" s="82" t="str">
        <f>IF(E24&lt;=20,"0-19",
IF(E24&lt;=50,"20-49",
IF(E24&lt;=80,"50-79","80+")))</f>
        <v>0-19</v>
      </c>
      <c r="G24" s="82" t="s">
        <v>1396</v>
      </c>
      <c r="H24" s="82" t="s">
        <v>132</v>
      </c>
      <c r="I24" s="82" t="s">
        <v>1397</v>
      </c>
      <c r="J24" s="114" t="s">
        <v>2546</v>
      </c>
      <c r="K24" s="82" t="s">
        <v>1398</v>
      </c>
      <c r="L24" s="82" t="s">
        <v>1288</v>
      </c>
      <c r="M24" s="82">
        <v>1</v>
      </c>
      <c r="N24" s="84">
        <v>76377</v>
      </c>
      <c r="O24" s="82" t="s">
        <v>832</v>
      </c>
      <c r="P24" s="171"/>
      <c r="Q24" s="210"/>
    </row>
    <row r="25" spans="1:17" hidden="1" x14ac:dyDescent="0.2">
      <c r="A25" s="105" t="s">
        <v>63</v>
      </c>
      <c r="B25" s="82">
        <v>2002229</v>
      </c>
      <c r="C25" s="82">
        <v>32460</v>
      </c>
      <c r="D25" s="82" t="s">
        <v>1759</v>
      </c>
      <c r="E25" s="82">
        <v>52</v>
      </c>
      <c r="F25" s="82" t="str">
        <f>IF(E25&lt;=20,"0-19",
IF(E25&lt;=50,"20-49",
IF(E25&lt;=80,"50-79","80+")))</f>
        <v>50-79</v>
      </c>
      <c r="G25" s="82" t="s">
        <v>1760</v>
      </c>
      <c r="H25" s="82" t="s">
        <v>22</v>
      </c>
      <c r="I25" s="92" t="s">
        <v>1761</v>
      </c>
      <c r="J25" s="92" t="s">
        <v>2310</v>
      </c>
      <c r="K25" s="82" t="s">
        <v>1572</v>
      </c>
      <c r="L25" s="82" t="s">
        <v>1589</v>
      </c>
      <c r="M25" s="82">
        <v>1</v>
      </c>
      <c r="N25" s="151">
        <v>180178</v>
      </c>
      <c r="O25" s="151" t="s">
        <v>2254</v>
      </c>
      <c r="P25" s="152">
        <v>254721570563</v>
      </c>
      <c r="Q25" s="210"/>
    </row>
    <row r="26" spans="1:17" ht="21" hidden="1" x14ac:dyDescent="0.2">
      <c r="A26" s="139" t="s">
        <v>1331</v>
      </c>
      <c r="B26" s="92">
        <v>2006672</v>
      </c>
      <c r="C26" s="82">
        <v>59575</v>
      </c>
      <c r="D26" s="92" t="s">
        <v>1332</v>
      </c>
      <c r="E26" s="92">
        <v>15</v>
      </c>
      <c r="F26" s="92" t="str">
        <f>IF(E26&lt;=20,"0-19",
IF(E26&lt;=50,"20-49",
IF(E26&lt;=80,"50-79","80+")))</f>
        <v>0-19</v>
      </c>
      <c r="G26" s="92" t="s">
        <v>1333</v>
      </c>
      <c r="H26" s="92" t="s">
        <v>132</v>
      </c>
      <c r="I26" s="92" t="s">
        <v>1334</v>
      </c>
      <c r="J26" s="92" t="s">
        <v>2310</v>
      </c>
      <c r="K26" s="92" t="s">
        <v>1225</v>
      </c>
      <c r="L26" s="93" t="s">
        <v>1264</v>
      </c>
      <c r="M26" s="92">
        <v>1</v>
      </c>
      <c r="N26" s="101">
        <v>180550</v>
      </c>
      <c r="O26" s="82" t="s">
        <v>832</v>
      </c>
      <c r="P26" s="170"/>
      <c r="Q26" s="210"/>
    </row>
    <row r="27" spans="1:17" hidden="1" x14ac:dyDescent="0.2">
      <c r="A27" s="139" t="s">
        <v>38</v>
      </c>
      <c r="B27" s="113">
        <v>2505152</v>
      </c>
      <c r="C27" s="113">
        <v>67191</v>
      </c>
      <c r="D27" s="114" t="s">
        <v>39</v>
      </c>
      <c r="E27" s="113">
        <v>57</v>
      </c>
      <c r="F27" s="113" t="str">
        <f>IF(E27&lt;=20,"0-19",
IF(E27&lt;=50,"20-49",
IF(E27&lt;=80,"50-79","80+")))</f>
        <v>50-79</v>
      </c>
      <c r="G27" s="113" t="s">
        <v>40</v>
      </c>
      <c r="H27" s="113" t="s">
        <v>22</v>
      </c>
      <c r="I27" s="114" t="s">
        <v>41</v>
      </c>
      <c r="J27" s="114" t="s">
        <v>2311</v>
      </c>
      <c r="K27" s="114" t="s">
        <v>37</v>
      </c>
      <c r="L27" s="113" t="s">
        <v>42</v>
      </c>
      <c r="M27" s="114">
        <v>1</v>
      </c>
      <c r="N27" s="115">
        <v>67985</v>
      </c>
      <c r="O27" s="82" t="s">
        <v>18</v>
      </c>
      <c r="P27" s="170"/>
      <c r="Q27" s="210"/>
    </row>
    <row r="28" spans="1:17" ht="21" hidden="1" x14ac:dyDescent="0.2">
      <c r="A28" s="139" t="s">
        <v>155</v>
      </c>
      <c r="B28" s="82">
        <v>2020509</v>
      </c>
      <c r="C28" s="82">
        <v>104396</v>
      </c>
      <c r="D28" s="82" t="s">
        <v>852</v>
      </c>
      <c r="E28" s="82">
        <v>57</v>
      </c>
      <c r="F28" s="82" t="str">
        <f>IF(E28&lt;=20,"0-19",
IF(E28&lt;=50,"20-49",
IF(E28&lt;=80,"50-79","80+")))</f>
        <v>50-79</v>
      </c>
      <c r="G28" s="82" t="s">
        <v>853</v>
      </c>
      <c r="H28" s="82" t="s">
        <v>15</v>
      </c>
      <c r="I28" s="92" t="s">
        <v>854</v>
      </c>
      <c r="J28" s="92" t="s">
        <v>2328</v>
      </c>
      <c r="K28" s="92" t="s">
        <v>851</v>
      </c>
      <c r="L28" s="82" t="s">
        <v>855</v>
      </c>
      <c r="M28" s="82">
        <v>1</v>
      </c>
      <c r="N28" s="84">
        <v>44068</v>
      </c>
      <c r="O28" s="82" t="s">
        <v>832</v>
      </c>
      <c r="P28" s="171"/>
      <c r="Q28" s="210"/>
    </row>
    <row r="29" spans="1:17" hidden="1" x14ac:dyDescent="0.2">
      <c r="A29" s="139" t="s">
        <v>63</v>
      </c>
      <c r="B29" s="87">
        <v>2017577</v>
      </c>
      <c r="C29" s="87">
        <v>37153</v>
      </c>
      <c r="D29" s="87" t="s">
        <v>64</v>
      </c>
      <c r="E29" s="86">
        <v>48</v>
      </c>
      <c r="F29" s="86" t="str">
        <f>IF(E29&lt;=20,"0-19",
IF(E29&lt;=50,"20-49",
IF(E29&lt;=80,"50-79","80+")))</f>
        <v>20-49</v>
      </c>
      <c r="G29" s="87" t="s">
        <v>49</v>
      </c>
      <c r="H29" s="87" t="s">
        <v>15</v>
      </c>
      <c r="I29" s="87" t="s">
        <v>65</v>
      </c>
      <c r="J29" s="87" t="s">
        <v>2328</v>
      </c>
      <c r="K29" s="86" t="s">
        <v>66</v>
      </c>
      <c r="L29" s="86" t="s">
        <v>67</v>
      </c>
      <c r="M29" s="87">
        <v>1</v>
      </c>
      <c r="N29" s="97">
        <v>127109</v>
      </c>
      <c r="O29" s="87" t="s">
        <v>18</v>
      </c>
      <c r="P29" s="171"/>
      <c r="Q29" s="210"/>
    </row>
    <row r="30" spans="1:17" hidden="1" x14ac:dyDescent="0.2">
      <c r="A30" s="139" t="s">
        <v>836</v>
      </c>
      <c r="B30" s="82">
        <v>2005700</v>
      </c>
      <c r="C30" s="82">
        <v>60742</v>
      </c>
      <c r="D30" s="82" t="s">
        <v>837</v>
      </c>
      <c r="E30" s="82">
        <v>19</v>
      </c>
      <c r="F30" s="82" t="str">
        <f>IF(E30&lt;=20,"0-19",
IF(E30&lt;=50,"20-49",
IF(E30&lt;=80,"50-79","80+")))</f>
        <v>0-19</v>
      </c>
      <c r="G30" s="82" t="s">
        <v>838</v>
      </c>
      <c r="H30" s="82" t="s">
        <v>132</v>
      </c>
      <c r="I30" s="92" t="s">
        <v>839</v>
      </c>
      <c r="J30" s="92" t="s">
        <v>2314</v>
      </c>
      <c r="K30" s="92" t="s">
        <v>835</v>
      </c>
      <c r="L30" s="82" t="s">
        <v>834</v>
      </c>
      <c r="M30" s="82">
        <v>1</v>
      </c>
      <c r="N30" s="84">
        <v>75416.800000000003</v>
      </c>
      <c r="O30" s="82" t="s">
        <v>832</v>
      </c>
      <c r="P30" s="170"/>
      <c r="Q30" s="210"/>
    </row>
    <row r="31" spans="1:17" hidden="1" x14ac:dyDescent="0.2">
      <c r="A31" s="138" t="s">
        <v>43</v>
      </c>
      <c r="B31" s="111">
        <v>2018815</v>
      </c>
      <c r="C31" s="111">
        <v>43293</v>
      </c>
      <c r="D31" s="111" t="s">
        <v>44</v>
      </c>
      <c r="E31" s="111">
        <v>60</v>
      </c>
      <c r="F31" s="111" t="str">
        <f>IF(E31&lt;=20,"0-19",
IF(E31&lt;=50,"20-49",
IF(E31&lt;=80,"50-79","80+")))</f>
        <v>50-79</v>
      </c>
      <c r="G31" s="111" t="s">
        <v>14</v>
      </c>
      <c r="H31" s="111" t="s">
        <v>15</v>
      </c>
      <c r="I31" s="111" t="s">
        <v>45</v>
      </c>
      <c r="J31" s="111" t="s">
        <v>2314</v>
      </c>
      <c r="K31" s="111" t="s">
        <v>46</v>
      </c>
      <c r="L31" s="111" t="s">
        <v>46</v>
      </c>
      <c r="M31" s="111">
        <v>1</v>
      </c>
      <c r="N31" s="112">
        <v>147677.49</v>
      </c>
      <c r="O31" s="87" t="s">
        <v>18</v>
      </c>
      <c r="P31" s="171"/>
      <c r="Q31" s="210"/>
    </row>
    <row r="32" spans="1:17" hidden="1" x14ac:dyDescent="0.2">
      <c r="A32" s="104" t="s">
        <v>72</v>
      </c>
      <c r="B32" s="114">
        <v>2005052</v>
      </c>
      <c r="C32" s="114">
        <v>3711</v>
      </c>
      <c r="D32" s="114" t="s">
        <v>73</v>
      </c>
      <c r="E32" s="114">
        <v>58</v>
      </c>
      <c r="F32" s="114" t="str">
        <f>IF(E32&lt;=20,"0-19",
IF(E32&lt;=50,"20-49",
IF(E32&lt;=80,"50-79","80+")))</f>
        <v>50-79</v>
      </c>
      <c r="G32" s="114" t="s">
        <v>14</v>
      </c>
      <c r="H32" s="114" t="s">
        <v>15</v>
      </c>
      <c r="I32" s="114" t="s">
        <v>74</v>
      </c>
      <c r="J32" s="82" t="s">
        <v>2270</v>
      </c>
      <c r="K32" s="114" t="s">
        <v>17</v>
      </c>
      <c r="L32" s="114" t="s">
        <v>17</v>
      </c>
      <c r="M32" s="114">
        <v>1</v>
      </c>
      <c r="N32" s="116">
        <v>53583</v>
      </c>
      <c r="O32" s="87" t="s">
        <v>18</v>
      </c>
      <c r="P32" s="171"/>
      <c r="Q32" s="210"/>
    </row>
    <row r="33" spans="1:17" hidden="1" x14ac:dyDescent="0.2">
      <c r="A33" s="103" t="s">
        <v>75</v>
      </c>
      <c r="B33" s="82">
        <v>2005082</v>
      </c>
      <c r="C33" s="82">
        <v>101741</v>
      </c>
      <c r="D33" s="82" t="s">
        <v>76</v>
      </c>
      <c r="E33" s="92">
        <v>69</v>
      </c>
      <c r="F33" s="92" t="str">
        <f>IF(E33&lt;=20,"0-19",
IF(E33&lt;=50,"20-49",
IF(E33&lt;=80,"50-79","80+")))</f>
        <v>50-79</v>
      </c>
      <c r="G33" s="82" t="s">
        <v>49</v>
      </c>
      <c r="H33" s="82" t="s">
        <v>15</v>
      </c>
      <c r="I33" s="82" t="s">
        <v>77</v>
      </c>
      <c r="J33" s="82" t="s">
        <v>2270</v>
      </c>
      <c r="K33" s="92" t="s">
        <v>78</v>
      </c>
      <c r="L33" s="92" t="s">
        <v>79</v>
      </c>
      <c r="M33" s="82">
        <v>1</v>
      </c>
      <c r="N33" s="101">
        <v>17875</v>
      </c>
      <c r="O33" s="82" t="s">
        <v>18</v>
      </c>
      <c r="P33" s="170"/>
      <c r="Q33" s="210"/>
    </row>
    <row r="34" spans="1:17" ht="21" hidden="1" x14ac:dyDescent="0.2">
      <c r="A34" s="105" t="s">
        <v>373</v>
      </c>
      <c r="B34" s="92">
        <v>2004761</v>
      </c>
      <c r="C34" s="82">
        <v>31664</v>
      </c>
      <c r="D34" s="92" t="s">
        <v>2213</v>
      </c>
      <c r="E34" s="92">
        <v>54</v>
      </c>
      <c r="F34" s="92" t="str">
        <f>IF(E34&lt;=20,"0-19",
IF(E34&lt;=50,"20-49",
IF(E34&lt;=80,"50-79","80+")))</f>
        <v>50-79</v>
      </c>
      <c r="G34" s="92" t="s">
        <v>187</v>
      </c>
      <c r="H34" s="92" t="s">
        <v>15</v>
      </c>
      <c r="I34" s="92" t="s">
        <v>2214</v>
      </c>
      <c r="J34" s="92" t="s">
        <v>2270</v>
      </c>
      <c r="K34" s="92" t="s">
        <v>1908</v>
      </c>
      <c r="L34" s="92" t="s">
        <v>1911</v>
      </c>
      <c r="M34" s="93">
        <v>1</v>
      </c>
      <c r="N34" s="159">
        <v>363005</v>
      </c>
      <c r="O34" s="159" t="s">
        <v>2254</v>
      </c>
      <c r="P34" s="152">
        <v>254722679315</v>
      </c>
      <c r="Q34" s="210"/>
    </row>
    <row r="35" spans="1:17" hidden="1" x14ac:dyDescent="0.2">
      <c r="A35" s="139" t="s">
        <v>544</v>
      </c>
      <c r="B35" s="82">
        <v>2009023</v>
      </c>
      <c r="C35" s="82">
        <v>18240</v>
      </c>
      <c r="D35" s="82" t="s">
        <v>1191</v>
      </c>
      <c r="E35" s="82">
        <v>42</v>
      </c>
      <c r="F35" s="82" t="str">
        <f>IF(E35&lt;=20,"0-19",
IF(E35&lt;=50,"20-49",
IF(E35&lt;=80,"50-79","80+")))</f>
        <v>20-49</v>
      </c>
      <c r="G35" s="82" t="s">
        <v>14</v>
      </c>
      <c r="H35" s="82" t="s">
        <v>15</v>
      </c>
      <c r="I35" s="92" t="s">
        <v>1465</v>
      </c>
      <c r="J35" s="92" t="s">
        <v>2270</v>
      </c>
      <c r="K35" s="92" t="s">
        <v>1238</v>
      </c>
      <c r="L35" s="92" t="s">
        <v>1241</v>
      </c>
      <c r="M35" s="82">
        <v>1</v>
      </c>
      <c r="N35" s="84">
        <v>311709.8</v>
      </c>
      <c r="O35" s="82" t="s">
        <v>832</v>
      </c>
      <c r="P35" s="170"/>
      <c r="Q35" s="210"/>
    </row>
    <row r="36" spans="1:17" hidden="1" x14ac:dyDescent="0.2">
      <c r="A36" s="139" t="s">
        <v>19</v>
      </c>
      <c r="B36" s="113">
        <v>2001971</v>
      </c>
      <c r="C36" s="113">
        <v>12324</v>
      </c>
      <c r="D36" s="114" t="s">
        <v>20</v>
      </c>
      <c r="E36" s="113">
        <v>67</v>
      </c>
      <c r="F36" s="113" t="str">
        <f>IF(E36&lt;=20,"0-19",
IF(E36&lt;=50,"20-49",
IF(E36&lt;=80,"50-79","80+")))</f>
        <v>50-79</v>
      </c>
      <c r="G36" s="113" t="s">
        <v>21</v>
      </c>
      <c r="H36" s="113" t="s">
        <v>22</v>
      </c>
      <c r="I36" s="114" t="s">
        <v>23</v>
      </c>
      <c r="J36" s="111" t="s">
        <v>2270</v>
      </c>
      <c r="K36" s="114" t="s">
        <v>24</v>
      </c>
      <c r="L36" s="113" t="s">
        <v>25</v>
      </c>
      <c r="M36" s="114">
        <v>1</v>
      </c>
      <c r="N36" s="115">
        <v>98666</v>
      </c>
      <c r="O36" s="87" t="s">
        <v>18</v>
      </c>
      <c r="P36" s="171"/>
      <c r="Q36" s="210"/>
    </row>
    <row r="37" spans="1:17" hidden="1" x14ac:dyDescent="0.2">
      <c r="A37" s="138" t="s">
        <v>12</v>
      </c>
      <c r="B37" s="111">
        <v>2022001</v>
      </c>
      <c r="C37" s="111">
        <v>16631</v>
      </c>
      <c r="D37" s="111" t="s">
        <v>13</v>
      </c>
      <c r="E37" s="111">
        <v>58</v>
      </c>
      <c r="F37" s="111" t="str">
        <f>IF(E37&lt;=20,"0-19",
IF(E37&lt;=50,"20-49",
IF(E37&lt;=80,"50-79","80+")))</f>
        <v>50-79</v>
      </c>
      <c r="G37" s="111" t="s">
        <v>14</v>
      </c>
      <c r="H37" s="111" t="s">
        <v>15</v>
      </c>
      <c r="I37" s="111" t="s">
        <v>16</v>
      </c>
      <c r="J37" s="111" t="s">
        <v>2270</v>
      </c>
      <c r="K37" s="111" t="s">
        <v>17</v>
      </c>
      <c r="L37" s="111" t="s">
        <v>17</v>
      </c>
      <c r="M37" s="111">
        <v>1</v>
      </c>
      <c r="N37" s="112">
        <v>30745.25</v>
      </c>
      <c r="O37" s="82" t="s">
        <v>18</v>
      </c>
      <c r="P37" s="170"/>
      <c r="Q37" s="210"/>
    </row>
    <row r="38" spans="1:17" ht="21" hidden="1" x14ac:dyDescent="0.2">
      <c r="A38" s="139" t="s">
        <v>1503</v>
      </c>
      <c r="B38" s="82">
        <v>2010955</v>
      </c>
      <c r="C38" s="82">
        <v>9590</v>
      </c>
      <c r="D38" s="82" t="s">
        <v>841</v>
      </c>
      <c r="E38" s="82">
        <v>70</v>
      </c>
      <c r="F38" s="82" t="str">
        <f>IF(E38&lt;=20,"0-19",
IF(E38&lt;=50,"20-49",
IF(E38&lt;=80,"50-79","80+")))</f>
        <v>50-79</v>
      </c>
      <c r="G38" s="82" t="s">
        <v>14</v>
      </c>
      <c r="H38" s="82" t="s">
        <v>15</v>
      </c>
      <c r="I38" s="92" t="s">
        <v>842</v>
      </c>
      <c r="J38" s="114" t="s">
        <v>2328</v>
      </c>
      <c r="K38" s="92" t="s">
        <v>843</v>
      </c>
      <c r="L38" s="82" t="s">
        <v>831</v>
      </c>
      <c r="M38" s="82">
        <v>1</v>
      </c>
      <c r="N38" s="84">
        <v>72104</v>
      </c>
      <c r="O38" s="82" t="s">
        <v>832</v>
      </c>
      <c r="P38" s="171"/>
      <c r="Q38" s="210"/>
    </row>
    <row r="39" spans="1:17" ht="21" hidden="1" x14ac:dyDescent="0.2">
      <c r="A39" s="139" t="s">
        <v>1509</v>
      </c>
      <c r="B39" s="93">
        <v>2408158</v>
      </c>
      <c r="C39" s="82">
        <v>67453</v>
      </c>
      <c r="D39" s="93" t="s">
        <v>1513</v>
      </c>
      <c r="E39" s="93">
        <v>63</v>
      </c>
      <c r="F39" s="93" t="str">
        <f>IF(E39&lt;=20,"0-19",
IF(E39&lt;=50,"20-49",
IF(E39&lt;=80,"50-79","80+")))</f>
        <v>50-79</v>
      </c>
      <c r="G39" s="93" t="s">
        <v>49</v>
      </c>
      <c r="H39" s="93" t="s">
        <v>15</v>
      </c>
      <c r="I39" s="93" t="s">
        <v>1514</v>
      </c>
      <c r="J39" s="93" t="s">
        <v>2322</v>
      </c>
      <c r="K39" s="93" t="s">
        <v>1515</v>
      </c>
      <c r="L39" s="93" t="s">
        <v>1254</v>
      </c>
      <c r="M39" s="93">
        <v>1</v>
      </c>
      <c r="N39" s="101">
        <v>10546.8</v>
      </c>
      <c r="O39" s="82" t="s">
        <v>832</v>
      </c>
      <c r="P39" s="170"/>
      <c r="Q39" s="210"/>
    </row>
    <row r="40" spans="1:17" hidden="1" x14ac:dyDescent="0.2">
      <c r="A40" s="139" t="s">
        <v>47</v>
      </c>
      <c r="B40" s="113">
        <v>2010096</v>
      </c>
      <c r="C40" s="113">
        <v>7076</v>
      </c>
      <c r="D40" s="114" t="s">
        <v>48</v>
      </c>
      <c r="E40" s="113">
        <v>47</v>
      </c>
      <c r="F40" s="113" t="str">
        <f>IF(E40&lt;=20,"0-19",
IF(E40&lt;=50,"20-49",
IF(E40&lt;=80,"50-79","80+")))</f>
        <v>20-49</v>
      </c>
      <c r="G40" s="113" t="s">
        <v>49</v>
      </c>
      <c r="H40" s="113" t="s">
        <v>15</v>
      </c>
      <c r="I40" s="114" t="s">
        <v>50</v>
      </c>
      <c r="J40" s="114" t="s">
        <v>2283</v>
      </c>
      <c r="K40" s="114" t="s">
        <v>51</v>
      </c>
      <c r="L40" s="113" t="s">
        <v>52</v>
      </c>
      <c r="M40" s="114">
        <v>1</v>
      </c>
      <c r="N40" s="115">
        <v>127188.53</v>
      </c>
      <c r="O40" s="82" t="s">
        <v>18</v>
      </c>
      <c r="P40" s="170"/>
      <c r="Q40" s="210"/>
    </row>
    <row r="41" spans="1:17" hidden="1" x14ac:dyDescent="0.2">
      <c r="A41" s="105" t="s">
        <v>117</v>
      </c>
      <c r="B41" s="82">
        <v>2021273</v>
      </c>
      <c r="C41" s="82">
        <v>56896</v>
      </c>
      <c r="D41" s="82" t="s">
        <v>1597</v>
      </c>
      <c r="E41" s="82">
        <v>59</v>
      </c>
      <c r="F41" s="82" t="str">
        <f>IF(E41&lt;=20,"0-19",
IF(E41&lt;=50,"20-49",
IF(E41&lt;=80,"50-79","80+")))</f>
        <v>50-79</v>
      </c>
      <c r="G41" s="82" t="s">
        <v>14</v>
      </c>
      <c r="H41" s="82" t="s">
        <v>706</v>
      </c>
      <c r="I41" s="92" t="s">
        <v>1598</v>
      </c>
      <c r="J41" s="92" t="s">
        <v>2283</v>
      </c>
      <c r="K41" s="82" t="s">
        <v>1549</v>
      </c>
      <c r="L41" s="82" t="s">
        <v>1556</v>
      </c>
      <c r="M41" s="82">
        <v>1</v>
      </c>
      <c r="N41" s="151">
        <v>28505</v>
      </c>
      <c r="O41" s="151" t="s">
        <v>2254</v>
      </c>
      <c r="P41" s="152">
        <v>254721334599</v>
      </c>
      <c r="Q41" s="210"/>
    </row>
    <row r="42" spans="1:17" ht="21" hidden="1" x14ac:dyDescent="0.2">
      <c r="A42" s="139" t="s">
        <v>1037</v>
      </c>
      <c r="B42" s="93">
        <v>2009253</v>
      </c>
      <c r="C42" s="82">
        <v>105618</v>
      </c>
      <c r="D42" s="93" t="s">
        <v>1291</v>
      </c>
      <c r="E42" s="93">
        <v>20</v>
      </c>
      <c r="F42" s="93" t="str">
        <f>IF(E42&lt;=20,"0-19",
IF(E42&lt;=50,"20-49",
IF(E42&lt;=80,"50-79","80+")))</f>
        <v>0-19</v>
      </c>
      <c r="G42" s="93" t="s">
        <v>1039</v>
      </c>
      <c r="H42" s="93" t="s">
        <v>132</v>
      </c>
      <c r="I42" s="93" t="s">
        <v>1292</v>
      </c>
      <c r="J42" s="93" t="s">
        <v>2283</v>
      </c>
      <c r="K42" s="93" t="s">
        <v>1225</v>
      </c>
      <c r="L42" s="93" t="s">
        <v>1254</v>
      </c>
      <c r="M42" s="93">
        <v>1</v>
      </c>
      <c r="N42" s="94">
        <v>48520</v>
      </c>
      <c r="O42" s="82" t="s">
        <v>832</v>
      </c>
      <c r="P42" s="171"/>
      <c r="Q42" s="210"/>
    </row>
    <row r="43" spans="1:17" hidden="1" x14ac:dyDescent="0.2">
      <c r="A43" s="139" t="s">
        <v>856</v>
      </c>
      <c r="B43" s="82">
        <v>2022317</v>
      </c>
      <c r="C43" s="82">
        <v>103261</v>
      </c>
      <c r="D43" s="82" t="s">
        <v>857</v>
      </c>
      <c r="E43" s="82">
        <v>56</v>
      </c>
      <c r="F43" s="82" t="str">
        <f>IF(E43&lt;=20,"0-19",
IF(E43&lt;=50,"20-49",
IF(E43&lt;=80,"50-79","80+")))</f>
        <v>50-79</v>
      </c>
      <c r="G43" s="82" t="s">
        <v>49</v>
      </c>
      <c r="H43" s="82" t="s">
        <v>15</v>
      </c>
      <c r="I43" s="82" t="s">
        <v>858</v>
      </c>
      <c r="J43" s="82" t="s">
        <v>2283</v>
      </c>
      <c r="K43" s="92" t="s">
        <v>859</v>
      </c>
      <c r="L43" s="92" t="s">
        <v>860</v>
      </c>
      <c r="M43" s="82">
        <v>1</v>
      </c>
      <c r="N43" s="84">
        <v>158625.75</v>
      </c>
      <c r="O43" s="82" t="s">
        <v>832</v>
      </c>
      <c r="P43" s="171"/>
      <c r="Q43" s="210"/>
    </row>
    <row r="44" spans="1:17" hidden="1" x14ac:dyDescent="0.2">
      <c r="A44" s="105" t="s">
        <v>117</v>
      </c>
      <c r="B44" s="82">
        <v>2021273</v>
      </c>
      <c r="C44" s="82">
        <v>56896</v>
      </c>
      <c r="D44" s="82" t="s">
        <v>1613</v>
      </c>
      <c r="E44" s="82">
        <v>59</v>
      </c>
      <c r="F44" s="82" t="str">
        <f>IF(E44&lt;=20,"0-19",
IF(E44&lt;=50,"20-49",
IF(E44&lt;=80,"50-79","80+")))</f>
        <v>50-79</v>
      </c>
      <c r="G44" s="82" t="s">
        <v>1614</v>
      </c>
      <c r="H44" s="82" t="s">
        <v>15</v>
      </c>
      <c r="I44" s="92" t="s">
        <v>1615</v>
      </c>
      <c r="J44" s="92" t="s">
        <v>2283</v>
      </c>
      <c r="K44" s="82" t="s">
        <v>1567</v>
      </c>
      <c r="L44" s="82" t="s">
        <v>1551</v>
      </c>
      <c r="M44" s="82">
        <v>1</v>
      </c>
      <c r="N44" s="151">
        <v>34000</v>
      </c>
      <c r="O44" s="151" t="s">
        <v>2254</v>
      </c>
      <c r="P44" s="152">
        <v>254724712619</v>
      </c>
      <c r="Q44" s="210"/>
    </row>
    <row r="45" spans="1:17" hidden="1" x14ac:dyDescent="0.2">
      <c r="A45" s="105" t="s">
        <v>1590</v>
      </c>
      <c r="B45" s="82">
        <v>2021273</v>
      </c>
      <c r="C45" s="82">
        <v>56896</v>
      </c>
      <c r="D45" s="82" t="s">
        <v>1613</v>
      </c>
      <c r="E45" s="82">
        <v>59</v>
      </c>
      <c r="F45" s="82" t="str">
        <f>IF(E45&lt;=20,"0-19",
IF(E45&lt;=50,"20-49",
IF(E45&lt;=80,"50-79","80+")))</f>
        <v>50-79</v>
      </c>
      <c r="G45" s="82" t="s">
        <v>1614</v>
      </c>
      <c r="H45" s="82" t="s">
        <v>15</v>
      </c>
      <c r="I45" s="92" t="s">
        <v>1615</v>
      </c>
      <c r="J45" s="92" t="s">
        <v>2283</v>
      </c>
      <c r="K45" s="82" t="s">
        <v>1567</v>
      </c>
      <c r="L45" s="82" t="s">
        <v>1551</v>
      </c>
      <c r="M45" s="82">
        <v>1</v>
      </c>
      <c r="N45" s="151">
        <v>74069.740000000005</v>
      </c>
      <c r="O45" s="151" t="s">
        <v>2254</v>
      </c>
      <c r="P45" s="152">
        <v>254722708622</v>
      </c>
      <c r="Q45" s="210"/>
    </row>
    <row r="46" spans="1:17" hidden="1" x14ac:dyDescent="0.2">
      <c r="A46" s="139" t="s">
        <v>836</v>
      </c>
      <c r="B46" s="92">
        <v>2004023</v>
      </c>
      <c r="C46" s="82">
        <v>61041</v>
      </c>
      <c r="D46" s="92" t="s">
        <v>1414</v>
      </c>
      <c r="E46" s="92">
        <v>65</v>
      </c>
      <c r="F46" s="92" t="str">
        <f>IF(E46&lt;=20,"0-19",
IF(E46&lt;=50,"20-49",
IF(E46&lt;=80,"50-79","80+")))</f>
        <v>50-79</v>
      </c>
      <c r="G46" s="92" t="s">
        <v>1415</v>
      </c>
      <c r="H46" s="92" t="s">
        <v>22</v>
      </c>
      <c r="I46" s="92" t="s">
        <v>1416</v>
      </c>
      <c r="J46" s="114" t="s">
        <v>2295</v>
      </c>
      <c r="K46" s="92" t="s">
        <v>1242</v>
      </c>
      <c r="L46" s="93" t="s">
        <v>1232</v>
      </c>
      <c r="M46" s="93">
        <v>1</v>
      </c>
      <c r="N46" s="94">
        <v>62050</v>
      </c>
      <c r="O46" s="82" t="s">
        <v>832</v>
      </c>
      <c r="P46" s="171"/>
      <c r="Q46" s="210"/>
    </row>
    <row r="47" spans="1:17" hidden="1" x14ac:dyDescent="0.2">
      <c r="A47" s="105" t="s">
        <v>1690</v>
      </c>
      <c r="B47" s="92">
        <v>2013720</v>
      </c>
      <c r="C47" s="82">
        <v>15793</v>
      </c>
      <c r="D47" s="92" t="s">
        <v>2078</v>
      </c>
      <c r="E47" s="92">
        <v>64</v>
      </c>
      <c r="F47" s="92" t="str">
        <f>IF(E47&lt;=20,"0-19",
IF(E47&lt;=50,"20-49",
IF(E47&lt;=80,"50-79","80+")))</f>
        <v>50-79</v>
      </c>
      <c r="G47" s="92" t="s">
        <v>2079</v>
      </c>
      <c r="H47" s="92" t="s">
        <v>22</v>
      </c>
      <c r="I47" s="92" t="s">
        <v>2080</v>
      </c>
      <c r="J47" s="114" t="s">
        <v>2295</v>
      </c>
      <c r="K47" s="93" t="s">
        <v>1898</v>
      </c>
      <c r="L47" s="93" t="s">
        <v>1906</v>
      </c>
      <c r="M47" s="92">
        <v>1</v>
      </c>
      <c r="N47" s="166">
        <v>81996</v>
      </c>
      <c r="O47" s="166" t="s">
        <v>2254</v>
      </c>
      <c r="P47" s="152">
        <v>254705864457</v>
      </c>
      <c r="Q47" s="210"/>
    </row>
    <row r="48" spans="1:17" ht="21" x14ac:dyDescent="0.2">
      <c r="A48" s="139" t="s">
        <v>208</v>
      </c>
      <c r="B48" s="92">
        <v>2503002</v>
      </c>
      <c r="C48" s="82">
        <v>64779</v>
      </c>
      <c r="D48" s="92" t="s">
        <v>1278</v>
      </c>
      <c r="E48" s="92">
        <v>64</v>
      </c>
      <c r="F48" s="92" t="str">
        <f>IF(E48&lt;=20,"0-19",
IF(E48&lt;=50,"20-49",
IF(E48&lt;=80,"50-79","80+")))</f>
        <v>50-79</v>
      </c>
      <c r="G48" s="92" t="s">
        <v>1279</v>
      </c>
      <c r="H48" s="92" t="s">
        <v>15</v>
      </c>
      <c r="I48" s="92" t="s">
        <v>1280</v>
      </c>
      <c r="J48" s="114" t="s">
        <v>2275</v>
      </c>
      <c r="K48" s="92" t="s">
        <v>1225</v>
      </c>
      <c r="L48" s="93" t="s">
        <v>1254</v>
      </c>
      <c r="M48" s="93">
        <v>2</v>
      </c>
      <c r="N48" s="94">
        <v>68785</v>
      </c>
      <c r="O48" s="82" t="s">
        <v>832</v>
      </c>
      <c r="P48" s="170"/>
      <c r="Q48" s="210"/>
    </row>
    <row r="49" spans="1:17" ht="21" x14ac:dyDescent="0.2">
      <c r="A49" s="139" t="s">
        <v>171</v>
      </c>
      <c r="B49" s="113">
        <v>2019355</v>
      </c>
      <c r="C49" s="113">
        <v>58943</v>
      </c>
      <c r="D49" s="114" t="s">
        <v>172</v>
      </c>
      <c r="E49" s="113">
        <v>63</v>
      </c>
      <c r="F49" s="113" t="str">
        <f>IF(E49&lt;=20,"0-19",
IF(E49&lt;=50,"20-49",
IF(E49&lt;=80,"50-79","80+")))</f>
        <v>50-79</v>
      </c>
      <c r="G49" s="113" t="s">
        <v>173</v>
      </c>
      <c r="H49" s="113" t="s">
        <v>22</v>
      </c>
      <c r="I49" s="114" t="s">
        <v>174</v>
      </c>
      <c r="J49" s="114" t="s">
        <v>2275</v>
      </c>
      <c r="K49" s="114" t="s">
        <v>175</v>
      </c>
      <c r="L49" s="113" t="s">
        <v>25</v>
      </c>
      <c r="M49" s="114">
        <v>2</v>
      </c>
      <c r="N49" s="115">
        <v>288980</v>
      </c>
      <c r="O49" s="82" t="s">
        <v>18</v>
      </c>
      <c r="P49" s="170"/>
      <c r="Q49" s="210"/>
    </row>
    <row r="50" spans="1:17" x14ac:dyDescent="0.2">
      <c r="A50" s="139" t="s">
        <v>913</v>
      </c>
      <c r="B50" s="82">
        <v>26011074</v>
      </c>
      <c r="C50" s="82">
        <v>55454</v>
      </c>
      <c r="D50" s="82" t="s">
        <v>914</v>
      </c>
      <c r="E50" s="82">
        <v>61</v>
      </c>
      <c r="F50" s="82" t="str">
        <f>IF(E50&lt;=20,"0-19",
IF(E50&lt;=50,"20-49",
IF(E50&lt;=80,"50-79","80+")))</f>
        <v>50-79</v>
      </c>
      <c r="G50" s="82" t="s">
        <v>126</v>
      </c>
      <c r="H50" s="82" t="s">
        <v>22</v>
      </c>
      <c r="I50" s="92" t="s">
        <v>915</v>
      </c>
      <c r="J50" s="114" t="s">
        <v>2275</v>
      </c>
      <c r="K50" s="92" t="s">
        <v>843</v>
      </c>
      <c r="L50" s="82" t="s">
        <v>846</v>
      </c>
      <c r="M50" s="82">
        <v>2</v>
      </c>
      <c r="N50" s="84">
        <v>38010</v>
      </c>
      <c r="O50" s="82" t="s">
        <v>832</v>
      </c>
      <c r="P50" s="171"/>
      <c r="Q50" s="210"/>
    </row>
    <row r="51" spans="1:17" ht="21" x14ac:dyDescent="0.2">
      <c r="A51" s="104" t="s">
        <v>232</v>
      </c>
      <c r="B51" s="86">
        <v>2023256</v>
      </c>
      <c r="C51" s="87">
        <v>57514</v>
      </c>
      <c r="D51" s="86" t="s">
        <v>2026</v>
      </c>
      <c r="E51" s="86">
        <v>58</v>
      </c>
      <c r="F51" s="86" t="str">
        <f>IF(E51&lt;=20,"0-19",
IF(E51&lt;=50,"20-49",
IF(E51&lt;=80,"50-79","80+")))</f>
        <v>50-79</v>
      </c>
      <c r="G51" s="86" t="s">
        <v>2027</v>
      </c>
      <c r="H51" s="86" t="s">
        <v>15</v>
      </c>
      <c r="I51" s="86" t="s">
        <v>2028</v>
      </c>
      <c r="J51" s="114" t="s">
        <v>2275</v>
      </c>
      <c r="K51" s="88" t="s">
        <v>1918</v>
      </c>
      <c r="L51" s="88" t="s">
        <v>1906</v>
      </c>
      <c r="M51" s="86">
        <v>2</v>
      </c>
      <c r="N51" s="163">
        <v>55910</v>
      </c>
      <c r="O51" s="163" t="s">
        <v>2254</v>
      </c>
      <c r="P51" s="168">
        <v>254728323604</v>
      </c>
      <c r="Q51" s="210"/>
    </row>
    <row r="52" spans="1:17" x14ac:dyDescent="0.2">
      <c r="A52" s="138" t="s">
        <v>109</v>
      </c>
      <c r="B52" s="113">
        <v>2003401</v>
      </c>
      <c r="C52" s="113">
        <v>31863</v>
      </c>
      <c r="D52" s="114" t="s">
        <v>110</v>
      </c>
      <c r="E52" s="113">
        <v>67</v>
      </c>
      <c r="F52" s="113" t="str">
        <f>IF(E52&lt;=20,"0-19",
IF(E52&lt;=50,"20-49",
IF(E52&lt;=80,"50-79","80+")))</f>
        <v>50-79</v>
      </c>
      <c r="G52" s="113" t="s">
        <v>111</v>
      </c>
      <c r="H52" s="113" t="s">
        <v>22</v>
      </c>
      <c r="I52" s="114" t="s">
        <v>112</v>
      </c>
      <c r="J52" s="114" t="s">
        <v>2275</v>
      </c>
      <c r="K52" s="114" t="s">
        <v>71</v>
      </c>
      <c r="L52" s="113" t="s">
        <v>37</v>
      </c>
      <c r="M52" s="114">
        <v>2</v>
      </c>
      <c r="N52" s="115">
        <v>58513</v>
      </c>
      <c r="O52" s="82" t="s">
        <v>18</v>
      </c>
      <c r="P52" s="170"/>
      <c r="Q52" s="210"/>
    </row>
    <row r="53" spans="1:17" x14ac:dyDescent="0.2">
      <c r="A53" s="139" t="s">
        <v>53</v>
      </c>
      <c r="B53" s="113">
        <v>2002779</v>
      </c>
      <c r="C53" s="113">
        <v>54318</v>
      </c>
      <c r="D53" s="114" t="s">
        <v>134</v>
      </c>
      <c r="E53" s="113">
        <v>70</v>
      </c>
      <c r="F53" s="113" t="str">
        <f>IF(E53&lt;=20,"0-19",
IF(E53&lt;=50,"20-49",
IF(E53&lt;=80,"50-79","80+")))</f>
        <v>50-79</v>
      </c>
      <c r="G53" s="113" t="s">
        <v>135</v>
      </c>
      <c r="H53" s="113" t="s">
        <v>22</v>
      </c>
      <c r="I53" s="114" t="s">
        <v>136</v>
      </c>
      <c r="J53" s="114" t="s">
        <v>2275</v>
      </c>
      <c r="K53" s="114" t="s">
        <v>71</v>
      </c>
      <c r="L53" s="113" t="s">
        <v>37</v>
      </c>
      <c r="M53" s="114">
        <v>2</v>
      </c>
      <c r="N53" s="115">
        <v>424616</v>
      </c>
      <c r="O53" s="82" t="s">
        <v>18</v>
      </c>
      <c r="P53" s="170"/>
      <c r="Q53" s="210"/>
    </row>
    <row r="54" spans="1:17" x14ac:dyDescent="0.2">
      <c r="A54" s="105" t="s">
        <v>63</v>
      </c>
      <c r="B54" s="82">
        <v>2006989</v>
      </c>
      <c r="C54" s="82">
        <v>31311</v>
      </c>
      <c r="D54" s="82" t="s">
        <v>2184</v>
      </c>
      <c r="E54" s="82">
        <v>63</v>
      </c>
      <c r="F54" s="82" t="str">
        <f>IF(E54&lt;=20,"0-19",
IF(E54&lt;=50,"20-49",
IF(E54&lt;=80,"50-79","80+")))</f>
        <v>50-79</v>
      </c>
      <c r="G54" s="82" t="s">
        <v>2185</v>
      </c>
      <c r="H54" s="82" t="s">
        <v>15</v>
      </c>
      <c r="I54" s="82" t="s">
        <v>2186</v>
      </c>
      <c r="J54" s="82" t="s">
        <v>2275</v>
      </c>
      <c r="K54" s="92" t="s">
        <v>2016</v>
      </c>
      <c r="L54" s="82" t="s">
        <v>1922</v>
      </c>
      <c r="M54" s="82">
        <v>2</v>
      </c>
      <c r="N54" s="151">
        <v>207831</v>
      </c>
      <c r="O54" s="151" t="s">
        <v>2254</v>
      </c>
      <c r="P54" s="152">
        <v>254722955242</v>
      </c>
      <c r="Q54" s="210"/>
    </row>
    <row r="55" spans="1:17" x14ac:dyDescent="0.2">
      <c r="A55" s="138" t="s">
        <v>43</v>
      </c>
      <c r="B55" s="111">
        <v>202209</v>
      </c>
      <c r="C55" s="111">
        <v>18145</v>
      </c>
      <c r="D55" s="111" t="s">
        <v>125</v>
      </c>
      <c r="E55" s="111">
        <v>66</v>
      </c>
      <c r="F55" s="111" t="str">
        <f>IF(E55&lt;=20,"0-19",
IF(E55&lt;=50,"20-49",
IF(E55&lt;=80,"50-79","80+")))</f>
        <v>50-79</v>
      </c>
      <c r="G55" s="111" t="s">
        <v>126</v>
      </c>
      <c r="H55" s="111" t="s">
        <v>22</v>
      </c>
      <c r="I55" s="111" t="s">
        <v>127</v>
      </c>
      <c r="J55" s="111" t="s">
        <v>2275</v>
      </c>
      <c r="K55" s="111" t="s">
        <v>2257</v>
      </c>
      <c r="L55" s="111" t="s">
        <v>46</v>
      </c>
      <c r="M55" s="111">
        <v>2</v>
      </c>
      <c r="N55" s="112">
        <v>21275.59</v>
      </c>
      <c r="O55" s="82" t="s">
        <v>18</v>
      </c>
      <c r="P55" s="170"/>
      <c r="Q55" s="210"/>
    </row>
    <row r="56" spans="1:17" ht="21" x14ac:dyDescent="0.2">
      <c r="A56" s="104" t="s">
        <v>53</v>
      </c>
      <c r="B56" s="87">
        <v>2000084</v>
      </c>
      <c r="C56" s="87">
        <v>17767</v>
      </c>
      <c r="D56" s="87" t="s">
        <v>2187</v>
      </c>
      <c r="E56" s="87">
        <v>69</v>
      </c>
      <c r="F56" s="87" t="str">
        <f>IF(E56&lt;=20,"0-19",
IF(E56&lt;=50,"20-49",
IF(E56&lt;=80,"50-79","80+")))</f>
        <v>50-79</v>
      </c>
      <c r="G56" s="87" t="s">
        <v>1935</v>
      </c>
      <c r="H56" s="87" t="s">
        <v>22</v>
      </c>
      <c r="I56" s="87" t="s">
        <v>2188</v>
      </c>
      <c r="J56" s="87" t="s">
        <v>2275</v>
      </c>
      <c r="K56" s="86" t="s">
        <v>2189</v>
      </c>
      <c r="L56" s="87" t="s">
        <v>1921</v>
      </c>
      <c r="M56" s="87">
        <v>2</v>
      </c>
      <c r="N56" s="161">
        <v>223578</v>
      </c>
      <c r="O56" s="161" t="s">
        <v>2254</v>
      </c>
      <c r="P56" s="168">
        <v>254725361028</v>
      </c>
      <c r="Q56" s="210"/>
    </row>
    <row r="57" spans="1:17" x14ac:dyDescent="0.2">
      <c r="A57" s="105" t="s">
        <v>1565</v>
      </c>
      <c r="B57" s="82">
        <v>2014079</v>
      </c>
      <c r="C57" s="82">
        <v>32310</v>
      </c>
      <c r="D57" s="82" t="s">
        <v>2120</v>
      </c>
      <c r="E57" s="82">
        <v>54</v>
      </c>
      <c r="F57" s="82" t="str">
        <f>IF(E57&lt;=20,"0-19",
IF(E57&lt;=50,"20-49",
IF(E57&lt;=80,"50-79","80+")))</f>
        <v>50-79</v>
      </c>
      <c r="G57" s="82" t="s">
        <v>2121</v>
      </c>
      <c r="H57" s="82" t="s">
        <v>15</v>
      </c>
      <c r="I57" s="82" t="s">
        <v>2122</v>
      </c>
      <c r="J57" s="82" t="s">
        <v>2275</v>
      </c>
      <c r="K57" s="92" t="s">
        <v>1908</v>
      </c>
      <c r="L57" s="82" t="s">
        <v>1895</v>
      </c>
      <c r="M57" s="82">
        <v>2</v>
      </c>
      <c r="N57" s="151">
        <v>114260</v>
      </c>
      <c r="O57" s="151" t="s">
        <v>2254</v>
      </c>
      <c r="P57" s="152">
        <v>254701537686</v>
      </c>
      <c r="Q57" s="210"/>
    </row>
    <row r="58" spans="1:17" x14ac:dyDescent="0.2">
      <c r="A58" s="104" t="s">
        <v>354</v>
      </c>
      <c r="B58" s="87">
        <v>2001255</v>
      </c>
      <c r="C58" s="87">
        <v>100198</v>
      </c>
      <c r="D58" s="87" t="s">
        <v>1616</v>
      </c>
      <c r="E58" s="87">
        <v>79</v>
      </c>
      <c r="F58" s="87" t="str">
        <f>IF(E58&lt;=20,"0-19",
IF(E58&lt;=50,"20-49",
IF(E58&lt;=80,"50-79","80+")))</f>
        <v>50-79</v>
      </c>
      <c r="G58" s="87" t="s">
        <v>1617</v>
      </c>
      <c r="H58" s="87" t="s">
        <v>22</v>
      </c>
      <c r="I58" s="86" t="s">
        <v>1618</v>
      </c>
      <c r="J58" s="86" t="s">
        <v>2275</v>
      </c>
      <c r="K58" s="87" t="s">
        <v>1542</v>
      </c>
      <c r="L58" s="87" t="s">
        <v>1549</v>
      </c>
      <c r="M58" s="87">
        <v>2</v>
      </c>
      <c r="N58" s="161">
        <v>35739.449999999997</v>
      </c>
      <c r="O58" s="161" t="s">
        <v>2254</v>
      </c>
      <c r="P58" s="168">
        <v>254721925568</v>
      </c>
      <c r="Q58" s="210"/>
    </row>
    <row r="59" spans="1:17" x14ac:dyDescent="0.2">
      <c r="A59" s="139" t="s">
        <v>1503</v>
      </c>
      <c r="B59" s="82">
        <v>2015968</v>
      </c>
      <c r="C59" s="82">
        <v>32115</v>
      </c>
      <c r="D59" s="82" t="s">
        <v>1529</v>
      </c>
      <c r="E59" s="82">
        <v>67</v>
      </c>
      <c r="F59" s="82" t="str">
        <f>IF(E59&lt;=20,"0-19",
IF(E59&lt;=50,"20-49",
IF(E59&lt;=80,"50-79","80+")))</f>
        <v>50-79</v>
      </c>
      <c r="G59" s="82" t="s">
        <v>1530</v>
      </c>
      <c r="H59" s="82" t="s">
        <v>22</v>
      </c>
      <c r="I59" s="82" t="s">
        <v>1531</v>
      </c>
      <c r="J59" s="82" t="s">
        <v>2275</v>
      </c>
      <c r="K59" s="82" t="s">
        <v>1241</v>
      </c>
      <c r="L59" s="82" t="s">
        <v>1288</v>
      </c>
      <c r="M59" s="82">
        <v>2</v>
      </c>
      <c r="N59" s="84">
        <v>46091</v>
      </c>
      <c r="O59" s="82" t="s">
        <v>832</v>
      </c>
      <c r="P59" s="170"/>
      <c r="Q59" s="210"/>
    </row>
    <row r="60" spans="1:17" x14ac:dyDescent="0.2">
      <c r="A60" s="139" t="s">
        <v>19</v>
      </c>
      <c r="B60" s="87">
        <v>2011024</v>
      </c>
      <c r="C60" s="87">
        <v>14180</v>
      </c>
      <c r="D60" s="87" t="s">
        <v>96</v>
      </c>
      <c r="E60" s="86">
        <v>53</v>
      </c>
      <c r="F60" s="86" t="str">
        <f>IF(E60&lt;=20,"0-19",
IF(E60&lt;=50,"20-49",
IF(E60&lt;=80,"50-79","80+")))</f>
        <v>50-79</v>
      </c>
      <c r="G60" s="87" t="s">
        <v>97</v>
      </c>
      <c r="H60" s="87" t="s">
        <v>15</v>
      </c>
      <c r="I60" s="87" t="s">
        <v>98</v>
      </c>
      <c r="J60" s="87" t="s">
        <v>2275</v>
      </c>
      <c r="K60" s="86" t="s">
        <v>99</v>
      </c>
      <c r="L60" s="86" t="s">
        <v>66</v>
      </c>
      <c r="M60" s="87">
        <v>2</v>
      </c>
      <c r="N60" s="97">
        <v>71081.7</v>
      </c>
      <c r="O60" s="87" t="s">
        <v>18</v>
      </c>
      <c r="P60" s="171"/>
      <c r="Q60" s="210"/>
    </row>
    <row r="61" spans="1:17" x14ac:dyDescent="0.2">
      <c r="A61" s="104" t="s">
        <v>1626</v>
      </c>
      <c r="B61" s="87">
        <v>2508190</v>
      </c>
      <c r="C61" s="87">
        <v>21257</v>
      </c>
      <c r="D61" s="87" t="s">
        <v>1627</v>
      </c>
      <c r="E61" s="87">
        <v>55</v>
      </c>
      <c r="F61" s="87" t="str">
        <f>IF(E61&lt;=20,"0-19",
IF(E61&lt;=50,"20-49",
IF(E61&lt;=80,"50-79","80+")))</f>
        <v>50-79</v>
      </c>
      <c r="G61" s="87" t="s">
        <v>1628</v>
      </c>
      <c r="H61" s="87" t="s">
        <v>15</v>
      </c>
      <c r="I61" s="86" t="s">
        <v>1629</v>
      </c>
      <c r="J61" s="86" t="s">
        <v>2275</v>
      </c>
      <c r="K61" s="87" t="s">
        <v>1572</v>
      </c>
      <c r="L61" s="87" t="s">
        <v>1543</v>
      </c>
      <c r="M61" s="87">
        <v>2</v>
      </c>
      <c r="N61" s="161">
        <v>36880</v>
      </c>
      <c r="O61" s="161" t="s">
        <v>2254</v>
      </c>
      <c r="P61" s="168">
        <v>722895363</v>
      </c>
      <c r="Q61" s="210"/>
    </row>
    <row r="62" spans="1:17" ht="21" x14ac:dyDescent="0.2">
      <c r="A62" s="108" t="s">
        <v>146</v>
      </c>
      <c r="B62" s="86">
        <v>2020971</v>
      </c>
      <c r="C62" s="87">
        <v>13630</v>
      </c>
      <c r="D62" s="86" t="s">
        <v>841</v>
      </c>
      <c r="E62" s="86">
        <v>64</v>
      </c>
      <c r="F62" s="86" t="str">
        <f>IF(E62&lt;=20,"0-19",
IF(E62&lt;=50,"20-49",
IF(E62&lt;=80,"50-79","80+")))</f>
        <v>50-79</v>
      </c>
      <c r="G62" s="86" t="s">
        <v>2043</v>
      </c>
      <c r="H62" s="86" t="s">
        <v>15</v>
      </c>
      <c r="I62" s="86" t="s">
        <v>2044</v>
      </c>
      <c r="J62" s="86" t="s">
        <v>2275</v>
      </c>
      <c r="K62" s="88" t="s">
        <v>1918</v>
      </c>
      <c r="L62" s="88" t="s">
        <v>1906</v>
      </c>
      <c r="M62" s="86">
        <v>2</v>
      </c>
      <c r="N62" s="164">
        <v>63985</v>
      </c>
      <c r="O62" s="164" t="s">
        <v>2254</v>
      </c>
      <c r="P62" s="168">
        <v>254717992592</v>
      </c>
      <c r="Q62" s="210"/>
    </row>
    <row r="63" spans="1:17" x14ac:dyDescent="0.2">
      <c r="A63" s="139" t="s">
        <v>544</v>
      </c>
      <c r="B63" s="82">
        <v>2001766</v>
      </c>
      <c r="C63" s="82">
        <v>100193</v>
      </c>
      <c r="D63" s="82" t="s">
        <v>1466</v>
      </c>
      <c r="E63" s="82">
        <v>70</v>
      </c>
      <c r="F63" s="82" t="str">
        <f>IF(E63&lt;=20,"0-19",
IF(E63&lt;=50,"20-49",
IF(E63&lt;=80,"50-79","80+")))</f>
        <v>50-79</v>
      </c>
      <c r="G63" s="82" t="s">
        <v>1467</v>
      </c>
      <c r="H63" s="82" t="s">
        <v>22</v>
      </c>
      <c r="I63" s="92" t="s">
        <v>1468</v>
      </c>
      <c r="J63" s="92" t="s">
        <v>2275</v>
      </c>
      <c r="K63" s="92" t="s">
        <v>1260</v>
      </c>
      <c r="L63" s="92" t="s">
        <v>1241</v>
      </c>
      <c r="M63" s="82">
        <v>2</v>
      </c>
      <c r="N63" s="84">
        <v>241900</v>
      </c>
      <c r="O63" s="82" t="s">
        <v>832</v>
      </c>
      <c r="P63" s="171"/>
      <c r="Q63" s="210"/>
    </row>
    <row r="64" spans="1:17" x14ac:dyDescent="0.2">
      <c r="A64" s="139" t="s">
        <v>53</v>
      </c>
      <c r="B64" s="82">
        <v>2014318</v>
      </c>
      <c r="C64" s="82">
        <v>61208</v>
      </c>
      <c r="D64" s="82" t="s">
        <v>651</v>
      </c>
      <c r="E64" s="82">
        <v>62</v>
      </c>
      <c r="F64" s="82" t="str">
        <f>IF(E64&lt;=20,"0-19",
IF(E64&lt;=50,"20-49",
IF(E64&lt;=80,"50-79","80+")))</f>
        <v>50-79</v>
      </c>
      <c r="G64" s="82" t="s">
        <v>1364</v>
      </c>
      <c r="H64" s="82" t="s">
        <v>22</v>
      </c>
      <c r="I64" s="92" t="s">
        <v>1365</v>
      </c>
      <c r="J64" s="92" t="s">
        <v>2275</v>
      </c>
      <c r="K64" s="92" t="s">
        <v>1366</v>
      </c>
      <c r="L64" s="92" t="s">
        <v>1242</v>
      </c>
      <c r="M64" s="82">
        <v>2</v>
      </c>
      <c r="N64" s="84">
        <v>182486</v>
      </c>
      <c r="O64" s="82" t="s">
        <v>832</v>
      </c>
      <c r="P64" s="170"/>
      <c r="Q64" s="210"/>
    </row>
    <row r="65" spans="1:17" ht="21" x14ac:dyDescent="0.2">
      <c r="A65" s="139" t="s">
        <v>544</v>
      </c>
      <c r="B65" s="93">
        <v>2507370</v>
      </c>
      <c r="C65" s="82">
        <v>62636</v>
      </c>
      <c r="D65" s="93" t="s">
        <v>910</v>
      </c>
      <c r="E65" s="93">
        <v>50</v>
      </c>
      <c r="F65" s="93" t="str">
        <f>IF(E65&lt;=20,"0-19",
IF(E65&lt;=50,"20-49",
IF(E65&lt;=80,"50-79","80+")))</f>
        <v>20-49</v>
      </c>
      <c r="G65" s="93" t="s">
        <v>911</v>
      </c>
      <c r="H65" s="93" t="s">
        <v>15</v>
      </c>
      <c r="I65" s="93" t="s">
        <v>912</v>
      </c>
      <c r="J65" s="93" t="s">
        <v>2275</v>
      </c>
      <c r="K65" s="93" t="s">
        <v>835</v>
      </c>
      <c r="L65" s="93" t="s">
        <v>880</v>
      </c>
      <c r="M65" s="93">
        <v>2</v>
      </c>
      <c r="N65" s="94">
        <v>121248</v>
      </c>
      <c r="O65" s="82" t="s">
        <v>832</v>
      </c>
      <c r="P65" s="171"/>
      <c r="Q65" s="210"/>
    </row>
    <row r="66" spans="1:17" x14ac:dyDescent="0.2">
      <c r="A66" s="108" t="s">
        <v>75</v>
      </c>
      <c r="B66" s="113">
        <v>2505089</v>
      </c>
      <c r="C66" s="113">
        <v>18838</v>
      </c>
      <c r="D66" s="114" t="s">
        <v>176</v>
      </c>
      <c r="E66" s="113">
        <v>61</v>
      </c>
      <c r="F66" s="113" t="str">
        <f>IF(E66&lt;=20,"0-19",
IF(E66&lt;=50,"20-49",
IF(E66&lt;=80,"50-79","80+")))</f>
        <v>50-79</v>
      </c>
      <c r="G66" s="113" t="s">
        <v>60</v>
      </c>
      <c r="H66" s="113" t="s">
        <v>22</v>
      </c>
      <c r="I66" s="114" t="s">
        <v>177</v>
      </c>
      <c r="J66" s="114" t="s">
        <v>2304</v>
      </c>
      <c r="K66" s="114" t="s">
        <v>121</v>
      </c>
      <c r="L66" s="113" t="s">
        <v>25</v>
      </c>
      <c r="M66" s="114">
        <v>2</v>
      </c>
      <c r="N66" s="115">
        <v>73470.48</v>
      </c>
      <c r="O66" s="87" t="s">
        <v>18</v>
      </c>
      <c r="P66" s="171"/>
      <c r="Q66" s="210"/>
    </row>
    <row r="67" spans="1:17" x14ac:dyDescent="0.2">
      <c r="A67" s="105" t="s">
        <v>155</v>
      </c>
      <c r="B67" s="82">
        <v>2007480</v>
      </c>
      <c r="C67" s="82">
        <v>63926</v>
      </c>
      <c r="D67" s="82" t="s">
        <v>2067</v>
      </c>
      <c r="E67" s="82">
        <v>64</v>
      </c>
      <c r="F67" s="82" t="str">
        <f>IF(E67&lt;=20,"0-19",
IF(E67&lt;=50,"20-49",
IF(E67&lt;=80,"50-79","80+")))</f>
        <v>50-79</v>
      </c>
      <c r="G67" s="82" t="s">
        <v>473</v>
      </c>
      <c r="H67" s="82" t="s">
        <v>15</v>
      </c>
      <c r="I67" s="82" t="s">
        <v>2068</v>
      </c>
      <c r="J67" s="82" t="s">
        <v>2304</v>
      </c>
      <c r="K67" s="92" t="s">
        <v>1898</v>
      </c>
      <c r="L67" s="82" t="s">
        <v>1893</v>
      </c>
      <c r="M67" s="82">
        <v>2</v>
      </c>
      <c r="N67" s="151">
        <v>79945</v>
      </c>
      <c r="O67" s="151" t="s">
        <v>2254</v>
      </c>
      <c r="P67" s="152">
        <v>254715210274</v>
      </c>
      <c r="Q67" s="210"/>
    </row>
    <row r="68" spans="1:17" x14ac:dyDescent="0.2">
      <c r="A68" s="139" t="s">
        <v>881</v>
      </c>
      <c r="B68" s="93">
        <v>2011454</v>
      </c>
      <c r="C68" s="82">
        <v>13452</v>
      </c>
      <c r="D68" s="93" t="s">
        <v>882</v>
      </c>
      <c r="E68" s="93">
        <v>66</v>
      </c>
      <c r="F68" s="93" t="str">
        <f>IF(E68&lt;=20,"0-19",
IF(E68&lt;=50,"20-49",
IF(E68&lt;=80,"50-79","80+")))</f>
        <v>50-79</v>
      </c>
      <c r="G68" s="93" t="s">
        <v>14</v>
      </c>
      <c r="H68" s="93" t="s">
        <v>15</v>
      </c>
      <c r="I68" s="93" t="s">
        <v>883</v>
      </c>
      <c r="J68" s="114" t="s">
        <v>2546</v>
      </c>
      <c r="K68" s="93" t="s">
        <v>835</v>
      </c>
      <c r="L68" s="93" t="s">
        <v>880</v>
      </c>
      <c r="M68" s="93">
        <v>2</v>
      </c>
      <c r="N68" s="94">
        <v>167703</v>
      </c>
      <c r="O68" s="82" t="s">
        <v>832</v>
      </c>
      <c r="P68" s="171"/>
      <c r="Q68" s="210"/>
    </row>
    <row r="69" spans="1:17" ht="21" x14ac:dyDescent="0.2">
      <c r="A69" s="139" t="s">
        <v>874</v>
      </c>
      <c r="B69" s="93">
        <v>2008555</v>
      </c>
      <c r="C69" s="82">
        <v>61113</v>
      </c>
      <c r="D69" s="93" t="s">
        <v>875</v>
      </c>
      <c r="E69" s="93">
        <v>12</v>
      </c>
      <c r="F69" s="93" t="str">
        <f>IF(E69&lt;=20,"0-19",
IF(E69&lt;=50,"20-49",
IF(E69&lt;=80,"50-79","80+")))</f>
        <v>0-19</v>
      </c>
      <c r="G69" s="93" t="s">
        <v>876</v>
      </c>
      <c r="H69" s="93" t="s">
        <v>132</v>
      </c>
      <c r="I69" s="93" t="s">
        <v>877</v>
      </c>
      <c r="J69" s="114" t="s">
        <v>2311</v>
      </c>
      <c r="K69" s="93" t="s">
        <v>190</v>
      </c>
      <c r="L69" s="93" t="s">
        <v>835</v>
      </c>
      <c r="M69" s="93">
        <v>2</v>
      </c>
      <c r="N69" s="94">
        <v>58263</v>
      </c>
      <c r="O69" s="82" t="s">
        <v>832</v>
      </c>
      <c r="P69" s="171"/>
      <c r="Q69" s="210"/>
    </row>
    <row r="70" spans="1:17" x14ac:dyDescent="0.2">
      <c r="A70" s="103" t="s">
        <v>1037</v>
      </c>
      <c r="B70" s="82">
        <v>2408256</v>
      </c>
      <c r="C70" s="82">
        <v>67446</v>
      </c>
      <c r="D70" s="82" t="s">
        <v>2000</v>
      </c>
      <c r="E70" s="82">
        <v>34</v>
      </c>
      <c r="F70" s="82" t="str">
        <f>IF(E70&lt;=20,"0-19",
IF(E70&lt;=50,"20-49",
IF(E70&lt;=80,"50-79","80+")))</f>
        <v>20-49</v>
      </c>
      <c r="G70" s="82" t="s">
        <v>2001</v>
      </c>
      <c r="H70" s="82" t="s">
        <v>15</v>
      </c>
      <c r="I70" s="82" t="s">
        <v>2002</v>
      </c>
      <c r="J70" s="92" t="s">
        <v>2288</v>
      </c>
      <c r="K70" s="92" t="s">
        <v>1898</v>
      </c>
      <c r="L70" s="82" t="s">
        <v>1921</v>
      </c>
      <c r="M70" s="82">
        <v>2</v>
      </c>
      <c r="N70" s="151">
        <v>43180</v>
      </c>
      <c r="O70" s="151" t="s">
        <v>2254</v>
      </c>
      <c r="P70" s="152">
        <v>254716525060</v>
      </c>
      <c r="Q70" s="210"/>
    </row>
    <row r="71" spans="1:17" x14ac:dyDescent="0.2">
      <c r="A71" s="104" t="s">
        <v>1684</v>
      </c>
      <c r="B71" s="87">
        <v>2019818</v>
      </c>
      <c r="C71" s="87">
        <v>53874</v>
      </c>
      <c r="D71" s="87" t="s">
        <v>2037</v>
      </c>
      <c r="E71" s="87">
        <v>16</v>
      </c>
      <c r="F71" s="87" t="str">
        <f>IF(E71&lt;=20,"0-19",
IF(E71&lt;=50,"20-49",
IF(E71&lt;=80,"50-79","80+")))</f>
        <v>0-19</v>
      </c>
      <c r="G71" s="87" t="s">
        <v>2038</v>
      </c>
      <c r="H71" s="87" t="s">
        <v>22</v>
      </c>
      <c r="I71" s="87" t="s">
        <v>2039</v>
      </c>
      <c r="J71" s="92" t="s">
        <v>2288</v>
      </c>
      <c r="K71" s="86" t="s">
        <v>1898</v>
      </c>
      <c r="L71" s="87" t="s">
        <v>1921</v>
      </c>
      <c r="M71" s="87">
        <v>2</v>
      </c>
      <c r="N71" s="161">
        <v>62881.25</v>
      </c>
      <c r="O71" s="161" t="s">
        <v>2254</v>
      </c>
      <c r="P71" s="168">
        <v>254726386129</v>
      </c>
      <c r="Q71" s="210"/>
    </row>
    <row r="72" spans="1:17" x14ac:dyDescent="0.2">
      <c r="A72" s="139" t="s">
        <v>63</v>
      </c>
      <c r="B72" s="82">
        <v>2010544</v>
      </c>
      <c r="C72" s="82">
        <v>34067</v>
      </c>
      <c r="D72" s="82" t="s">
        <v>878</v>
      </c>
      <c r="E72" s="82">
        <v>49</v>
      </c>
      <c r="F72" s="82" t="str">
        <f>IF(E72&lt;=20,"0-19",
IF(E72&lt;=50,"20-49",
IF(E72&lt;=80,"50-79","80+")))</f>
        <v>20-49</v>
      </c>
      <c r="G72" s="82" t="s">
        <v>49</v>
      </c>
      <c r="H72" s="82" t="s">
        <v>15</v>
      </c>
      <c r="I72" s="92" t="s">
        <v>879</v>
      </c>
      <c r="J72" s="92" t="s">
        <v>2288</v>
      </c>
      <c r="K72" s="92" t="s">
        <v>880</v>
      </c>
      <c r="L72" s="82" t="s">
        <v>831</v>
      </c>
      <c r="M72" s="82">
        <v>2</v>
      </c>
      <c r="N72" s="84">
        <v>182497</v>
      </c>
      <c r="O72" s="82" t="s">
        <v>832</v>
      </c>
      <c r="P72" s="170"/>
      <c r="Q72" s="210"/>
    </row>
    <row r="73" spans="1:17" x14ac:dyDescent="0.2">
      <c r="A73" s="105" t="s">
        <v>1665</v>
      </c>
      <c r="B73" s="82">
        <v>2017741</v>
      </c>
      <c r="C73" s="82">
        <v>68899</v>
      </c>
      <c r="D73" s="82" t="s">
        <v>1666</v>
      </c>
      <c r="E73" s="82">
        <v>67</v>
      </c>
      <c r="F73" s="82" t="str">
        <f>IF(E73&lt;=20,"0-19",
IF(E73&lt;=50,"20-49",
IF(E73&lt;=80,"50-79","80+")))</f>
        <v>50-79</v>
      </c>
      <c r="G73" s="82" t="s">
        <v>1667</v>
      </c>
      <c r="H73" s="82" t="s">
        <v>15</v>
      </c>
      <c r="I73" s="92" t="s">
        <v>1668</v>
      </c>
      <c r="J73" s="92" t="s">
        <v>2288</v>
      </c>
      <c r="K73" s="82" t="s">
        <v>1567</v>
      </c>
      <c r="L73" s="82" t="s">
        <v>1559</v>
      </c>
      <c r="M73" s="82">
        <v>2</v>
      </c>
      <c r="N73" s="151">
        <v>62500</v>
      </c>
      <c r="O73" s="151" t="s">
        <v>2254</v>
      </c>
      <c r="P73" s="152">
        <v>254726087358</v>
      </c>
      <c r="Q73" s="210"/>
    </row>
    <row r="74" spans="1:17" x14ac:dyDescent="0.2">
      <c r="A74" s="107" t="s">
        <v>150</v>
      </c>
      <c r="B74" s="93">
        <v>2003965</v>
      </c>
      <c r="C74" s="93">
        <v>101523</v>
      </c>
      <c r="D74" s="93" t="s">
        <v>151</v>
      </c>
      <c r="E74" s="93">
        <v>68</v>
      </c>
      <c r="F74" s="93" t="str">
        <f>IF(E74&lt;=20,"0-19",
IF(E74&lt;=50,"20-49",
IF(E74&lt;=80,"50-79","80+")))</f>
        <v>50-79</v>
      </c>
      <c r="G74" s="93" t="s">
        <v>152</v>
      </c>
      <c r="H74" s="93" t="s">
        <v>22</v>
      </c>
      <c r="I74" s="93" t="s">
        <v>153</v>
      </c>
      <c r="J74" s="93" t="s">
        <v>2288</v>
      </c>
      <c r="K74" s="93" t="s">
        <v>154</v>
      </c>
      <c r="L74" s="93" t="s">
        <v>99</v>
      </c>
      <c r="M74" s="93">
        <v>2</v>
      </c>
      <c r="N74" s="94">
        <v>13795</v>
      </c>
      <c r="O74" s="82" t="s">
        <v>18</v>
      </c>
      <c r="P74" s="170"/>
      <c r="Q74" s="210"/>
    </row>
    <row r="75" spans="1:17" x14ac:dyDescent="0.2">
      <c r="A75" s="108" t="s">
        <v>129</v>
      </c>
      <c r="B75" s="113">
        <v>2021999</v>
      </c>
      <c r="C75" s="113">
        <v>57902</v>
      </c>
      <c r="D75" s="114" t="s">
        <v>130</v>
      </c>
      <c r="E75" s="113">
        <v>9</v>
      </c>
      <c r="F75" s="113" t="str">
        <f>IF(E75&lt;=20,"0-19",
IF(E75&lt;=50,"20-49",
IF(E75&lt;=80,"50-79","80+")))</f>
        <v>0-19</v>
      </c>
      <c r="G75" s="113" t="s">
        <v>131</v>
      </c>
      <c r="H75" s="113" t="s">
        <v>132</v>
      </c>
      <c r="I75" s="114" t="s">
        <v>133</v>
      </c>
      <c r="J75" s="114" t="s">
        <v>2288</v>
      </c>
      <c r="K75" s="114" t="s">
        <v>36</v>
      </c>
      <c r="L75" s="113" t="s">
        <v>42</v>
      </c>
      <c r="M75" s="114">
        <v>2</v>
      </c>
      <c r="N75" s="115">
        <v>56125</v>
      </c>
      <c r="O75" s="87" t="s">
        <v>18</v>
      </c>
      <c r="P75" s="171"/>
      <c r="Q75" s="210"/>
    </row>
    <row r="76" spans="1:17" x14ac:dyDescent="0.2">
      <c r="A76" s="105" t="s">
        <v>1690</v>
      </c>
      <c r="B76" s="82">
        <v>2011489</v>
      </c>
      <c r="C76" s="82">
        <v>4799</v>
      </c>
      <c r="D76" s="82" t="s">
        <v>1704</v>
      </c>
      <c r="E76" s="82">
        <v>64</v>
      </c>
      <c r="F76" s="82" t="str">
        <f>IF(E76&lt;=20,"0-19",
IF(E76&lt;=50,"20-49",
IF(E76&lt;=80,"50-79","80+")))</f>
        <v>50-79</v>
      </c>
      <c r="G76" s="82" t="s">
        <v>1705</v>
      </c>
      <c r="H76" s="82" t="s">
        <v>1706</v>
      </c>
      <c r="I76" s="92" t="s">
        <v>1707</v>
      </c>
      <c r="J76" s="92" t="s">
        <v>2288</v>
      </c>
      <c r="K76" s="82" t="s">
        <v>1543</v>
      </c>
      <c r="L76" s="82" t="s">
        <v>1551</v>
      </c>
      <c r="M76" s="82">
        <v>2</v>
      </c>
      <c r="N76" s="151">
        <v>91618</v>
      </c>
      <c r="O76" s="151" t="s">
        <v>2254</v>
      </c>
      <c r="P76" s="152">
        <v>254723747130</v>
      </c>
      <c r="Q76" s="210"/>
    </row>
    <row r="77" spans="1:17" x14ac:dyDescent="0.2">
      <c r="A77" s="104" t="s">
        <v>1672</v>
      </c>
      <c r="B77" s="87">
        <v>2004601</v>
      </c>
      <c r="C77" s="87">
        <v>69278</v>
      </c>
      <c r="D77" s="87" t="s">
        <v>1673</v>
      </c>
      <c r="E77" s="87">
        <v>46</v>
      </c>
      <c r="F77" s="87" t="str">
        <f>IF(E77&lt;=20,"0-19",
IF(E77&lt;=50,"20-49",
IF(E77&lt;=80,"50-79","80+")))</f>
        <v>20-49</v>
      </c>
      <c r="G77" s="87" t="s">
        <v>49</v>
      </c>
      <c r="H77" s="87" t="s">
        <v>15</v>
      </c>
      <c r="I77" s="86" t="s">
        <v>1674</v>
      </c>
      <c r="J77" s="86" t="s">
        <v>2288</v>
      </c>
      <c r="K77" s="87" t="s">
        <v>1551</v>
      </c>
      <c r="L77" s="87" t="s">
        <v>1675</v>
      </c>
      <c r="M77" s="87">
        <v>2</v>
      </c>
      <c r="N77" s="161">
        <v>64175</v>
      </c>
      <c r="O77" s="161" t="s">
        <v>2254</v>
      </c>
      <c r="P77" s="168">
        <v>254722864285</v>
      </c>
      <c r="Q77" s="210"/>
    </row>
    <row r="78" spans="1:17" x14ac:dyDescent="0.2">
      <c r="A78" s="105" t="s">
        <v>1672</v>
      </c>
      <c r="B78" s="82">
        <v>2004601</v>
      </c>
      <c r="C78" s="82">
        <v>69278</v>
      </c>
      <c r="D78" s="82" t="s">
        <v>1673</v>
      </c>
      <c r="E78" s="82">
        <v>46</v>
      </c>
      <c r="F78" s="82" t="str">
        <f>IF(E78&lt;=20,"0-19",
IF(E78&lt;=50,"20-49",
IF(E78&lt;=80,"50-79","80+")))</f>
        <v>20-49</v>
      </c>
      <c r="G78" s="82" t="s">
        <v>1939</v>
      </c>
      <c r="H78" s="82" t="s">
        <v>15</v>
      </c>
      <c r="I78" s="82" t="s">
        <v>1674</v>
      </c>
      <c r="J78" s="82" t="s">
        <v>2288</v>
      </c>
      <c r="K78" s="92" t="s">
        <v>1675</v>
      </c>
      <c r="L78" s="82" t="s">
        <v>1908</v>
      </c>
      <c r="M78" s="82">
        <v>2</v>
      </c>
      <c r="N78" s="151">
        <v>16015</v>
      </c>
      <c r="O78" s="151" t="s">
        <v>2254</v>
      </c>
      <c r="P78" s="152">
        <v>254721714802</v>
      </c>
      <c r="Q78" s="210"/>
    </row>
    <row r="79" spans="1:17" x14ac:dyDescent="0.2">
      <c r="A79" s="139" t="s">
        <v>19</v>
      </c>
      <c r="B79" s="87">
        <v>2001872</v>
      </c>
      <c r="C79" s="87">
        <v>13663</v>
      </c>
      <c r="D79" s="87" t="s">
        <v>105</v>
      </c>
      <c r="E79" s="86">
        <v>65</v>
      </c>
      <c r="F79" s="86" t="str">
        <f>IF(E79&lt;=20,"0-19",
IF(E79&lt;=50,"20-49",
IF(E79&lt;=80,"50-79","80+")))</f>
        <v>50-79</v>
      </c>
      <c r="G79" s="87" t="s">
        <v>106</v>
      </c>
      <c r="H79" s="87" t="s">
        <v>22</v>
      </c>
      <c r="I79" s="87" t="s">
        <v>107</v>
      </c>
      <c r="J79" s="87" t="s">
        <v>2288</v>
      </c>
      <c r="K79" s="86" t="s">
        <v>108</v>
      </c>
      <c r="L79" s="86" t="s">
        <v>85</v>
      </c>
      <c r="M79" s="87">
        <v>2</v>
      </c>
      <c r="N79" s="97">
        <v>111665</v>
      </c>
      <c r="O79" s="87" t="s">
        <v>18</v>
      </c>
      <c r="P79" s="171"/>
      <c r="Q79" s="210"/>
    </row>
    <row r="80" spans="1:17" x14ac:dyDescent="0.2">
      <c r="A80" s="105" t="s">
        <v>1565</v>
      </c>
      <c r="B80" s="82">
        <v>20160971</v>
      </c>
      <c r="C80" s="82">
        <v>35049</v>
      </c>
      <c r="D80" s="82" t="s">
        <v>2051</v>
      </c>
      <c r="E80" s="82">
        <v>9</v>
      </c>
      <c r="F80" s="82" t="str">
        <f>IF(E80&lt;=20,"0-19",
IF(E80&lt;=50,"20-49",
IF(E80&lt;=80,"50-79","80+")))</f>
        <v>0-19</v>
      </c>
      <c r="G80" s="82" t="s">
        <v>49</v>
      </c>
      <c r="H80" s="82" t="s">
        <v>132</v>
      </c>
      <c r="I80" s="82" t="s">
        <v>2052</v>
      </c>
      <c r="J80" s="82" t="s">
        <v>2288</v>
      </c>
      <c r="K80" s="92" t="s">
        <v>1921</v>
      </c>
      <c r="L80" s="82" t="s">
        <v>2016</v>
      </c>
      <c r="M80" s="82">
        <v>2</v>
      </c>
      <c r="N80" s="151">
        <v>68562</v>
      </c>
      <c r="O80" s="151" t="s">
        <v>2254</v>
      </c>
      <c r="P80" s="152">
        <v>254707717806</v>
      </c>
      <c r="Q80" s="210"/>
    </row>
    <row r="81" spans="1:17" x14ac:dyDescent="0.2">
      <c r="A81" s="104" t="s">
        <v>1331</v>
      </c>
      <c r="B81" s="87">
        <v>2023383</v>
      </c>
      <c r="C81" s="87">
        <v>63571</v>
      </c>
      <c r="D81" s="87" t="s">
        <v>1713</v>
      </c>
      <c r="E81" s="87">
        <v>8</v>
      </c>
      <c r="F81" s="87" t="str">
        <f>IF(E81&lt;=20,"0-19",
IF(E81&lt;=50,"20-49",
IF(E81&lt;=80,"50-79","80+")))</f>
        <v>0-19</v>
      </c>
      <c r="G81" s="87" t="s">
        <v>1714</v>
      </c>
      <c r="H81" s="87" t="s">
        <v>132</v>
      </c>
      <c r="I81" s="86" t="s">
        <v>1715</v>
      </c>
      <c r="J81" s="86" t="s">
        <v>2288</v>
      </c>
      <c r="K81" s="87" t="s">
        <v>1589</v>
      </c>
      <c r="L81" s="87" t="s">
        <v>1567</v>
      </c>
      <c r="M81" s="87">
        <v>2</v>
      </c>
      <c r="N81" s="161">
        <v>104300</v>
      </c>
      <c r="O81" s="161" t="s">
        <v>2254</v>
      </c>
      <c r="P81" s="168">
        <v>254720223134</v>
      </c>
      <c r="Q81" s="210"/>
    </row>
    <row r="82" spans="1:17" x14ac:dyDescent="0.2">
      <c r="A82" s="104" t="s">
        <v>72</v>
      </c>
      <c r="B82" s="87">
        <v>2501189</v>
      </c>
      <c r="C82" s="87">
        <v>60947</v>
      </c>
      <c r="D82" s="87" t="s">
        <v>168</v>
      </c>
      <c r="E82" s="86">
        <v>54</v>
      </c>
      <c r="F82" s="86" t="str">
        <f>IF(E82&lt;=20,"0-19",
IF(E82&lt;=50,"20-49",
IF(E82&lt;=80,"50-79","80+")))</f>
        <v>50-79</v>
      </c>
      <c r="G82" s="87" t="s">
        <v>169</v>
      </c>
      <c r="H82" s="87" t="s">
        <v>15</v>
      </c>
      <c r="I82" s="87" t="s">
        <v>170</v>
      </c>
      <c r="J82" s="87" t="s">
        <v>2288</v>
      </c>
      <c r="K82" s="86" t="s">
        <v>66</v>
      </c>
      <c r="L82" s="86" t="s">
        <v>62</v>
      </c>
      <c r="M82" s="87">
        <v>2</v>
      </c>
      <c r="N82" s="97">
        <v>340763</v>
      </c>
      <c r="O82" s="87" t="s">
        <v>18</v>
      </c>
      <c r="P82" s="171"/>
      <c r="Q82" s="210"/>
    </row>
    <row r="83" spans="1:17" x14ac:dyDescent="0.2">
      <c r="A83" s="103" t="s">
        <v>1977</v>
      </c>
      <c r="B83" s="82">
        <v>2003199</v>
      </c>
      <c r="C83" s="82">
        <v>20996</v>
      </c>
      <c r="D83" s="82" t="s">
        <v>1978</v>
      </c>
      <c r="E83" s="82">
        <v>61</v>
      </c>
      <c r="F83" s="82" t="str">
        <f>IF(E83&lt;=20,"0-19",
IF(E83&lt;=50,"20-49",
IF(E83&lt;=80,"50-79","80+")))</f>
        <v>50-79</v>
      </c>
      <c r="G83" s="82" t="s">
        <v>1979</v>
      </c>
      <c r="H83" s="82" t="s">
        <v>22</v>
      </c>
      <c r="I83" s="82" t="s">
        <v>1980</v>
      </c>
      <c r="J83" s="82" t="s">
        <v>2288</v>
      </c>
      <c r="K83" s="92" t="s">
        <v>1981</v>
      </c>
      <c r="L83" s="82" t="s">
        <v>1921</v>
      </c>
      <c r="M83" s="82">
        <v>2</v>
      </c>
      <c r="N83" s="151">
        <v>33977</v>
      </c>
      <c r="O83" s="151" t="s">
        <v>2254</v>
      </c>
      <c r="P83" s="152">
        <v>254722124363</v>
      </c>
      <c r="Q83" s="210"/>
    </row>
    <row r="84" spans="1:17" x14ac:dyDescent="0.2">
      <c r="A84" s="105" t="s">
        <v>63</v>
      </c>
      <c r="B84" s="82">
        <v>2014910</v>
      </c>
      <c r="C84" s="82">
        <v>31110</v>
      </c>
      <c r="D84" s="82" t="s">
        <v>1536</v>
      </c>
      <c r="E84" s="82">
        <v>59</v>
      </c>
      <c r="F84" s="82" t="str">
        <f>IF(E84&lt;=20,"0-19",
IF(E84&lt;=50,"20-49",
IF(E84&lt;=80,"50-79","80+")))</f>
        <v>50-79</v>
      </c>
      <c r="G84" s="82" t="s">
        <v>2194</v>
      </c>
      <c r="H84" s="82" t="s">
        <v>15</v>
      </c>
      <c r="I84" s="82" t="s">
        <v>2195</v>
      </c>
      <c r="J84" s="114" t="s">
        <v>2421</v>
      </c>
      <c r="K84" s="92" t="s">
        <v>1911</v>
      </c>
      <c r="L84" s="82" t="s">
        <v>1928</v>
      </c>
      <c r="M84" s="82">
        <v>2</v>
      </c>
      <c r="N84" s="151">
        <v>228856</v>
      </c>
      <c r="O84" s="151" t="s">
        <v>2254</v>
      </c>
      <c r="P84" s="152">
        <v>254710202545</v>
      </c>
      <c r="Q84" s="210"/>
    </row>
    <row r="85" spans="1:17" x14ac:dyDescent="0.2">
      <c r="A85" s="139" t="s">
        <v>874</v>
      </c>
      <c r="B85" s="82">
        <v>2020728</v>
      </c>
      <c r="C85" s="82">
        <v>55582</v>
      </c>
      <c r="D85" s="82" t="s">
        <v>893</v>
      </c>
      <c r="E85" s="82">
        <v>62</v>
      </c>
      <c r="F85" s="82" t="str">
        <f>IF(E85&lt;=20,"0-19",
IF(E85&lt;=50,"20-49",
IF(E85&lt;=80,"50-79","80+")))</f>
        <v>50-79</v>
      </c>
      <c r="G85" s="82" t="s">
        <v>894</v>
      </c>
      <c r="H85" s="82" t="s">
        <v>22</v>
      </c>
      <c r="I85" s="92" t="s">
        <v>895</v>
      </c>
      <c r="J85" s="92" t="s">
        <v>2295</v>
      </c>
      <c r="K85" s="92" t="s">
        <v>896</v>
      </c>
      <c r="L85" s="82" t="s">
        <v>851</v>
      </c>
      <c r="M85" s="82">
        <v>2</v>
      </c>
      <c r="N85" s="84">
        <v>343972</v>
      </c>
      <c r="O85" s="82" t="s">
        <v>832</v>
      </c>
      <c r="P85" s="170"/>
      <c r="Q85" s="210"/>
    </row>
    <row r="86" spans="1:17" ht="21" x14ac:dyDescent="0.2">
      <c r="A86" s="139" t="s">
        <v>1509</v>
      </c>
      <c r="B86" s="92">
        <v>2017014</v>
      </c>
      <c r="C86" s="82">
        <v>59161</v>
      </c>
      <c r="D86" s="92" t="s">
        <v>1510</v>
      </c>
      <c r="E86" s="92">
        <v>64</v>
      </c>
      <c r="F86" s="92" t="str">
        <f>IF(E86&lt;=20,"0-19",
IF(E86&lt;=50,"20-49",
IF(E86&lt;=80,"50-79","80+")))</f>
        <v>50-79</v>
      </c>
      <c r="G86" s="92" t="s">
        <v>60</v>
      </c>
      <c r="H86" s="92" t="s">
        <v>22</v>
      </c>
      <c r="I86" s="92" t="s">
        <v>1511</v>
      </c>
      <c r="J86" s="92" t="s">
        <v>2295</v>
      </c>
      <c r="K86" s="92" t="s">
        <v>1512</v>
      </c>
      <c r="L86" s="93" t="s">
        <v>1254</v>
      </c>
      <c r="M86" s="93">
        <v>2</v>
      </c>
      <c r="N86" s="94">
        <v>27175.1</v>
      </c>
      <c r="O86" s="82" t="s">
        <v>832</v>
      </c>
      <c r="P86" s="171"/>
      <c r="Q86" s="210"/>
    </row>
    <row r="87" spans="1:17" x14ac:dyDescent="0.2">
      <c r="A87" s="139" t="s">
        <v>856</v>
      </c>
      <c r="B87" s="82">
        <v>2001511</v>
      </c>
      <c r="C87" s="82">
        <v>18974</v>
      </c>
      <c r="D87" s="82" t="s">
        <v>1345</v>
      </c>
      <c r="E87" s="82">
        <v>56</v>
      </c>
      <c r="F87" s="82" t="str">
        <f>IF(E87&lt;=20,"0-19",
IF(E87&lt;=50,"20-49",
IF(E87&lt;=80,"50-79","80+")))</f>
        <v>50-79</v>
      </c>
      <c r="G87" s="82" t="s">
        <v>60</v>
      </c>
      <c r="H87" s="82" t="s">
        <v>22</v>
      </c>
      <c r="I87" s="92" t="s">
        <v>1346</v>
      </c>
      <c r="J87" s="92" t="s">
        <v>2295</v>
      </c>
      <c r="K87" s="92" t="s">
        <v>1236</v>
      </c>
      <c r="L87" s="92" t="s">
        <v>1238</v>
      </c>
      <c r="M87" s="82">
        <v>2</v>
      </c>
      <c r="N87" s="84">
        <v>293763.32</v>
      </c>
      <c r="O87" s="82" t="s">
        <v>832</v>
      </c>
      <c r="P87" s="171"/>
      <c r="Q87" s="210"/>
    </row>
    <row r="88" spans="1:17" x14ac:dyDescent="0.2">
      <c r="A88" s="139" t="s">
        <v>1336</v>
      </c>
      <c r="B88" s="82">
        <v>2009536</v>
      </c>
      <c r="C88" s="82">
        <v>100555</v>
      </c>
      <c r="D88" s="82" t="s">
        <v>1337</v>
      </c>
      <c r="E88" s="82">
        <v>52</v>
      </c>
      <c r="F88" s="82" t="str">
        <f>IF(E88&lt;=20,"0-19",
IF(E88&lt;=50,"20-49",
IF(E88&lt;=80,"50-79","80+")))</f>
        <v>50-79</v>
      </c>
      <c r="G88" s="82" t="s">
        <v>1338</v>
      </c>
      <c r="H88" s="82" t="s">
        <v>15</v>
      </c>
      <c r="I88" s="82" t="s">
        <v>1339</v>
      </c>
      <c r="J88" s="82" t="s">
        <v>2295</v>
      </c>
      <c r="K88" s="82" t="s">
        <v>1238</v>
      </c>
      <c r="L88" s="82" t="s">
        <v>1249</v>
      </c>
      <c r="M88" s="82">
        <v>2</v>
      </c>
      <c r="N88" s="84">
        <v>33530</v>
      </c>
      <c r="O88" s="82" t="s">
        <v>832</v>
      </c>
      <c r="P88" s="170"/>
      <c r="Q88" s="210"/>
    </row>
    <row r="89" spans="1:17" x14ac:dyDescent="0.2">
      <c r="A89" s="139" t="s">
        <v>155</v>
      </c>
      <c r="B89" s="113">
        <v>2012605</v>
      </c>
      <c r="C89" s="113">
        <v>74105</v>
      </c>
      <c r="D89" s="114" t="s">
        <v>156</v>
      </c>
      <c r="E89" s="113">
        <v>42</v>
      </c>
      <c r="F89" s="113" t="str">
        <f>IF(E89&lt;=20,"0-19",
IF(E89&lt;=50,"20-49",
IF(E89&lt;=80,"50-79","80+")))</f>
        <v>20-49</v>
      </c>
      <c r="G89" s="113" t="s">
        <v>157</v>
      </c>
      <c r="H89" s="113" t="s">
        <v>15</v>
      </c>
      <c r="I89" s="114" t="s">
        <v>158</v>
      </c>
      <c r="J89" s="114" t="s">
        <v>2295</v>
      </c>
      <c r="K89" s="114" t="s">
        <v>25</v>
      </c>
      <c r="L89" s="113" t="s">
        <v>52</v>
      </c>
      <c r="M89" s="114">
        <v>2</v>
      </c>
      <c r="N89" s="115">
        <v>248967</v>
      </c>
      <c r="O89" s="87" t="s">
        <v>18</v>
      </c>
      <c r="P89" s="171"/>
      <c r="Q89" s="210"/>
    </row>
    <row r="90" spans="1:17" x14ac:dyDescent="0.2">
      <c r="A90" s="139" t="s">
        <v>1482</v>
      </c>
      <c r="B90" s="93">
        <v>2022978</v>
      </c>
      <c r="C90" s="82">
        <v>61074</v>
      </c>
      <c r="D90" s="92" t="s">
        <v>861</v>
      </c>
      <c r="E90" s="92">
        <v>62</v>
      </c>
      <c r="F90" s="92" t="str">
        <f>IF(E90&lt;=20,"0-19",
IF(E90&lt;=50,"20-49",
IF(E90&lt;=80,"50-79","80+")))</f>
        <v>50-79</v>
      </c>
      <c r="G90" s="92" t="s">
        <v>862</v>
      </c>
      <c r="H90" s="93" t="s">
        <v>22</v>
      </c>
      <c r="I90" s="93" t="s">
        <v>863</v>
      </c>
      <c r="J90" s="93" t="s">
        <v>2295</v>
      </c>
      <c r="K90" s="93" t="s">
        <v>834</v>
      </c>
      <c r="L90" s="93" t="s">
        <v>843</v>
      </c>
      <c r="M90" s="93">
        <v>2</v>
      </c>
      <c r="N90" s="94">
        <v>88917.6</v>
      </c>
      <c r="O90" s="82" t="s">
        <v>832</v>
      </c>
      <c r="P90" s="170"/>
      <c r="Q90" s="210"/>
    </row>
    <row r="91" spans="1:17" x14ac:dyDescent="0.2">
      <c r="A91" s="139" t="s">
        <v>897</v>
      </c>
      <c r="B91" s="82">
        <v>2022557</v>
      </c>
      <c r="C91" s="82">
        <v>56098</v>
      </c>
      <c r="D91" s="82" t="s">
        <v>902</v>
      </c>
      <c r="E91" s="82">
        <v>59</v>
      </c>
      <c r="F91" s="82" t="str">
        <f>IF(E91&lt;=20,"0-19",
IF(E91&lt;=50,"20-49",
IF(E91&lt;=80,"50-79","80+")))</f>
        <v>50-79</v>
      </c>
      <c r="G91" s="82" t="s">
        <v>903</v>
      </c>
      <c r="H91" s="82" t="s">
        <v>15</v>
      </c>
      <c r="I91" s="92" t="s">
        <v>904</v>
      </c>
      <c r="J91" s="92" t="s">
        <v>2295</v>
      </c>
      <c r="K91" s="92" t="s">
        <v>880</v>
      </c>
      <c r="L91" s="82" t="s">
        <v>831</v>
      </c>
      <c r="M91" s="82">
        <v>2</v>
      </c>
      <c r="N91" s="84">
        <v>47510</v>
      </c>
      <c r="O91" s="82" t="s">
        <v>832</v>
      </c>
      <c r="P91" s="171"/>
      <c r="Q91" s="210"/>
    </row>
    <row r="92" spans="1:17" x14ac:dyDescent="0.2">
      <c r="A92" s="139" t="s">
        <v>373</v>
      </c>
      <c r="B92" s="82">
        <v>2010324</v>
      </c>
      <c r="C92" s="82">
        <v>8409</v>
      </c>
      <c r="D92" s="82" t="s">
        <v>1473</v>
      </c>
      <c r="E92" s="82">
        <v>63</v>
      </c>
      <c r="F92" s="82" t="str">
        <f>IF(E92&lt;=20,"0-19",
IF(E92&lt;=50,"20-49",
IF(E92&lt;=80,"50-79","80+")))</f>
        <v>50-79</v>
      </c>
      <c r="G92" s="82" t="s">
        <v>1474</v>
      </c>
      <c r="H92" s="82" t="s">
        <v>15</v>
      </c>
      <c r="I92" s="82" t="s">
        <v>1475</v>
      </c>
      <c r="J92" s="82" t="s">
        <v>2270</v>
      </c>
      <c r="K92" s="82" t="s">
        <v>1241</v>
      </c>
      <c r="L92" s="82" t="s">
        <v>1288</v>
      </c>
      <c r="M92" s="82">
        <v>2</v>
      </c>
      <c r="N92" s="84">
        <v>117892</v>
      </c>
      <c r="O92" s="82" t="s">
        <v>832</v>
      </c>
      <c r="P92" s="171"/>
      <c r="Q92" s="210"/>
    </row>
    <row r="93" spans="1:17" x14ac:dyDescent="0.2">
      <c r="A93" s="138" t="s">
        <v>146</v>
      </c>
      <c r="B93" s="111">
        <v>2011757</v>
      </c>
      <c r="C93" s="111">
        <v>18873</v>
      </c>
      <c r="D93" s="111" t="s">
        <v>147</v>
      </c>
      <c r="E93" s="111">
        <v>69</v>
      </c>
      <c r="F93" s="111" t="str">
        <f>IF(E93&lt;=20,"0-19",
IF(E93&lt;=50,"20-49",
IF(E93&lt;=80,"50-79","80+")))</f>
        <v>50-79</v>
      </c>
      <c r="G93" s="111" t="s">
        <v>148</v>
      </c>
      <c r="H93" s="111" t="s">
        <v>15</v>
      </c>
      <c r="I93" s="111" t="s">
        <v>149</v>
      </c>
      <c r="J93" s="114" t="s">
        <v>2546</v>
      </c>
      <c r="K93" s="111" t="s">
        <v>103</v>
      </c>
      <c r="L93" s="111" t="s">
        <v>104</v>
      </c>
      <c r="M93" s="111">
        <v>2</v>
      </c>
      <c r="N93" s="112">
        <v>54106.77</v>
      </c>
      <c r="O93" s="87" t="s">
        <v>18</v>
      </c>
      <c r="P93" s="171"/>
      <c r="Q93" s="210"/>
    </row>
    <row r="94" spans="1:17" x14ac:dyDescent="0.2">
      <c r="A94" s="105" t="s">
        <v>1331</v>
      </c>
      <c r="B94" s="82">
        <v>2019973</v>
      </c>
      <c r="C94" s="82">
        <v>60703</v>
      </c>
      <c r="D94" s="82" t="s">
        <v>2034</v>
      </c>
      <c r="E94" s="82">
        <v>49</v>
      </c>
      <c r="F94" s="82" t="str">
        <f>IF(E94&lt;=20,"0-19",
IF(E94&lt;=50,"20-49",
IF(E94&lt;=80,"50-79","80+")))</f>
        <v>20-49</v>
      </c>
      <c r="G94" s="82" t="s">
        <v>2035</v>
      </c>
      <c r="H94" s="82" t="s">
        <v>15</v>
      </c>
      <c r="I94" s="82" t="s">
        <v>2036</v>
      </c>
      <c r="J94" s="114" t="s">
        <v>2546</v>
      </c>
      <c r="K94" s="92" t="s">
        <v>1898</v>
      </c>
      <c r="L94" s="82" t="s">
        <v>1921</v>
      </c>
      <c r="M94" s="82">
        <v>2</v>
      </c>
      <c r="N94" s="151">
        <v>60275</v>
      </c>
      <c r="O94" s="151" t="s">
        <v>2254</v>
      </c>
      <c r="P94" s="152">
        <v>254726386129</v>
      </c>
      <c r="Q94" s="210"/>
    </row>
    <row r="95" spans="1:17" ht="21" x14ac:dyDescent="0.2">
      <c r="A95" s="105" t="s">
        <v>72</v>
      </c>
      <c r="B95" s="114">
        <v>2020535</v>
      </c>
      <c r="C95" s="114">
        <v>62383</v>
      </c>
      <c r="D95" s="114" t="s">
        <v>165</v>
      </c>
      <c r="E95" s="114">
        <v>54</v>
      </c>
      <c r="F95" s="114" t="str">
        <f>IF(E95&lt;=20,"0-19",
IF(E95&lt;=50,"20-49",
IF(E95&lt;=80,"50-79","80+")))</f>
        <v>50-79</v>
      </c>
      <c r="G95" s="114" t="s">
        <v>166</v>
      </c>
      <c r="H95" s="114" t="s">
        <v>15</v>
      </c>
      <c r="I95" s="114" t="s">
        <v>167</v>
      </c>
      <c r="J95" s="114" t="s">
        <v>2546</v>
      </c>
      <c r="K95" s="114" t="s">
        <v>104</v>
      </c>
      <c r="L95" s="111" t="s">
        <v>121</v>
      </c>
      <c r="M95" s="114">
        <v>2</v>
      </c>
      <c r="N95" s="116">
        <v>76170</v>
      </c>
      <c r="O95" s="82" t="s">
        <v>18</v>
      </c>
      <c r="P95" s="170"/>
      <c r="Q95" s="210"/>
    </row>
    <row r="96" spans="1:17" x14ac:dyDescent="0.2">
      <c r="A96" s="139" t="s">
        <v>142</v>
      </c>
      <c r="B96" s="113">
        <v>2507087</v>
      </c>
      <c r="C96" s="113">
        <v>62819</v>
      </c>
      <c r="D96" s="114" t="s">
        <v>143</v>
      </c>
      <c r="E96" s="113">
        <v>50</v>
      </c>
      <c r="F96" s="113" t="str">
        <f>IF(E96&lt;=20,"0-19",
IF(E96&lt;=50,"20-49",
IF(E96&lt;=80,"50-79","80+")))</f>
        <v>20-49</v>
      </c>
      <c r="G96" s="113" t="s">
        <v>144</v>
      </c>
      <c r="H96" s="113" t="s">
        <v>15</v>
      </c>
      <c r="I96" s="114" t="s">
        <v>145</v>
      </c>
      <c r="J96" s="114" t="s">
        <v>2546</v>
      </c>
      <c r="K96" s="114" t="s">
        <v>71</v>
      </c>
      <c r="L96" s="113" t="s">
        <v>37</v>
      </c>
      <c r="M96" s="114">
        <v>2</v>
      </c>
      <c r="N96" s="115">
        <v>146404</v>
      </c>
      <c r="O96" s="82" t="s">
        <v>18</v>
      </c>
      <c r="P96" s="170"/>
      <c r="Q96" s="210"/>
    </row>
    <row r="97" spans="1:17" x14ac:dyDescent="0.2">
      <c r="A97" s="139" t="s">
        <v>142</v>
      </c>
      <c r="B97" s="92">
        <v>2004684</v>
      </c>
      <c r="C97" s="92">
        <v>34706</v>
      </c>
      <c r="D97" s="92" t="s">
        <v>871</v>
      </c>
      <c r="E97" s="92">
        <v>11</v>
      </c>
      <c r="F97" s="92" t="str">
        <f>IF(E97&lt;=20,"0-19",
IF(E97&lt;=50,"20-49",
IF(E97&lt;=80,"50-79","80+")))</f>
        <v>0-19</v>
      </c>
      <c r="G97" s="92" t="s">
        <v>49</v>
      </c>
      <c r="H97" s="92" t="s">
        <v>132</v>
      </c>
      <c r="I97" s="92" t="s">
        <v>872</v>
      </c>
      <c r="J97" s="114" t="s">
        <v>2546</v>
      </c>
      <c r="K97" s="92" t="s">
        <v>289</v>
      </c>
      <c r="L97" s="93" t="s">
        <v>873</v>
      </c>
      <c r="M97" s="92">
        <v>2</v>
      </c>
      <c r="N97" s="109">
        <v>58712.02</v>
      </c>
      <c r="O97" s="82" t="s">
        <v>832</v>
      </c>
      <c r="P97" s="170"/>
      <c r="Q97" s="210"/>
    </row>
    <row r="98" spans="1:17" x14ac:dyDescent="0.2">
      <c r="A98" s="139" t="s">
        <v>159</v>
      </c>
      <c r="B98" s="113">
        <v>2019692</v>
      </c>
      <c r="C98" s="113">
        <v>55598</v>
      </c>
      <c r="D98" s="114" t="s">
        <v>160</v>
      </c>
      <c r="E98" s="113">
        <v>57</v>
      </c>
      <c r="F98" s="113" t="str">
        <f>IF(E98&lt;=20,"0-19",
IF(E98&lt;=50,"20-49",
IF(E98&lt;=80,"50-79","80+")))</f>
        <v>50-79</v>
      </c>
      <c r="G98" s="113" t="s">
        <v>49</v>
      </c>
      <c r="H98" s="113" t="s">
        <v>15</v>
      </c>
      <c r="I98" s="114" t="s">
        <v>161</v>
      </c>
      <c r="J98" s="114" t="s">
        <v>2546</v>
      </c>
      <c r="K98" s="114" t="s">
        <v>51</v>
      </c>
      <c r="L98" s="113" t="s">
        <v>71</v>
      </c>
      <c r="M98" s="114">
        <v>2</v>
      </c>
      <c r="N98" s="115">
        <v>39390</v>
      </c>
      <c r="O98" s="82" t="s">
        <v>18</v>
      </c>
      <c r="P98" s="170"/>
      <c r="Q98" s="210"/>
    </row>
    <row r="99" spans="1:17" x14ac:dyDescent="0.2">
      <c r="A99" s="139" t="s">
        <v>897</v>
      </c>
      <c r="B99" s="82">
        <v>2022008</v>
      </c>
      <c r="C99" s="82">
        <v>99272</v>
      </c>
      <c r="D99" s="82" t="s">
        <v>898</v>
      </c>
      <c r="E99" s="82">
        <v>9</v>
      </c>
      <c r="F99" s="82" t="str">
        <f>IF(E99&lt;=20,"0-19",
IF(E99&lt;=50,"20-49",
IF(E99&lt;=80,"50-79","80+")))</f>
        <v>0-19</v>
      </c>
      <c r="G99" s="82" t="s">
        <v>899</v>
      </c>
      <c r="H99" s="82" t="s">
        <v>132</v>
      </c>
      <c r="I99" s="92" t="s">
        <v>900</v>
      </c>
      <c r="J99" s="114" t="s">
        <v>2546</v>
      </c>
      <c r="K99" s="92" t="s">
        <v>846</v>
      </c>
      <c r="L99" s="82" t="s">
        <v>901</v>
      </c>
      <c r="M99" s="82">
        <v>2</v>
      </c>
      <c r="N99" s="84">
        <v>55900</v>
      </c>
      <c r="O99" s="82" t="s">
        <v>832</v>
      </c>
      <c r="P99" s="170"/>
      <c r="Q99" s="210"/>
    </row>
    <row r="100" spans="1:17" x14ac:dyDescent="0.2">
      <c r="A100" s="139" t="s">
        <v>889</v>
      </c>
      <c r="B100" s="82">
        <v>2020377</v>
      </c>
      <c r="C100" s="82">
        <v>60366</v>
      </c>
      <c r="D100" s="82" t="s">
        <v>890</v>
      </c>
      <c r="E100" s="82">
        <v>19</v>
      </c>
      <c r="F100" s="82" t="str">
        <f>IF(E100&lt;=20,"0-19",
IF(E100&lt;=50,"20-49",
IF(E100&lt;=80,"50-79","80+")))</f>
        <v>0-19</v>
      </c>
      <c r="G100" s="82" t="s">
        <v>891</v>
      </c>
      <c r="H100" s="82" t="s">
        <v>132</v>
      </c>
      <c r="I100" s="92" t="s">
        <v>892</v>
      </c>
      <c r="J100" s="114" t="s">
        <v>2546</v>
      </c>
      <c r="K100" s="92" t="s">
        <v>880</v>
      </c>
      <c r="L100" s="82" t="s">
        <v>831</v>
      </c>
      <c r="M100" s="82">
        <v>2</v>
      </c>
      <c r="N100" s="84">
        <v>52590</v>
      </c>
      <c r="O100" s="82" t="s">
        <v>832</v>
      </c>
      <c r="P100" s="170"/>
      <c r="Q100" s="210"/>
    </row>
    <row r="101" spans="1:17" ht="21" x14ac:dyDescent="0.2">
      <c r="A101" s="139" t="s">
        <v>373</v>
      </c>
      <c r="B101" s="82">
        <v>2001379</v>
      </c>
      <c r="C101" s="82">
        <v>5803</v>
      </c>
      <c r="D101" s="82" t="s">
        <v>611</v>
      </c>
      <c r="E101" s="82">
        <v>73</v>
      </c>
      <c r="F101" s="82" t="str">
        <f>IF(E101&lt;=20,"0-19",
IF(E101&lt;=50,"20-49",
IF(E101&lt;=80,"50-79","80+")))</f>
        <v>50-79</v>
      </c>
      <c r="G101" s="82" t="s">
        <v>60</v>
      </c>
      <c r="H101" s="82" t="s">
        <v>22</v>
      </c>
      <c r="I101" s="82" t="s">
        <v>866</v>
      </c>
      <c r="J101" s="114" t="s">
        <v>2546</v>
      </c>
      <c r="K101" s="92" t="s">
        <v>867</v>
      </c>
      <c r="L101" s="92" t="s">
        <v>860</v>
      </c>
      <c r="M101" s="82">
        <v>2</v>
      </c>
      <c r="N101" s="84">
        <v>421392</v>
      </c>
      <c r="O101" s="82" t="s">
        <v>832</v>
      </c>
      <c r="P101" s="170"/>
      <c r="Q101" s="210"/>
    </row>
    <row r="102" spans="1:17" x14ac:dyDescent="0.2">
      <c r="A102" s="139" t="s">
        <v>856</v>
      </c>
      <c r="B102" s="92">
        <v>2408051</v>
      </c>
      <c r="C102" s="82">
        <v>35699</v>
      </c>
      <c r="D102" s="92" t="s">
        <v>1350</v>
      </c>
      <c r="E102" s="92">
        <v>7</v>
      </c>
      <c r="F102" s="92" t="str">
        <f>IF(E102&lt;=20,"0-19",
IF(E102&lt;=50,"20-49",
IF(E102&lt;=80,"50-79","80+")))</f>
        <v>0-19</v>
      </c>
      <c r="G102" s="92" t="s">
        <v>1351</v>
      </c>
      <c r="H102" s="92" t="s">
        <v>132</v>
      </c>
      <c r="I102" s="92" t="s">
        <v>1352</v>
      </c>
      <c r="J102" s="114" t="s">
        <v>2546</v>
      </c>
      <c r="K102" s="92" t="s">
        <v>1232</v>
      </c>
      <c r="L102" s="93" t="s">
        <v>1264</v>
      </c>
      <c r="M102" s="93">
        <v>2</v>
      </c>
      <c r="N102" s="94">
        <v>42507.45</v>
      </c>
      <c r="O102" s="82" t="s">
        <v>832</v>
      </c>
      <c r="P102" s="171"/>
      <c r="Q102" s="210"/>
    </row>
    <row r="103" spans="1:17" x14ac:dyDescent="0.2">
      <c r="A103" s="139" t="s">
        <v>907</v>
      </c>
      <c r="B103" s="92">
        <v>2505128</v>
      </c>
      <c r="C103" s="82">
        <v>13883</v>
      </c>
      <c r="D103" s="92" t="s">
        <v>202</v>
      </c>
      <c r="E103" s="92">
        <v>66</v>
      </c>
      <c r="F103" s="92" t="str">
        <f>IF(E103&lt;=20,"0-19",
IF(E103&lt;=50,"20-49",
IF(E103&lt;=80,"50-79","80+")))</f>
        <v>50-79</v>
      </c>
      <c r="G103" s="92" t="s">
        <v>203</v>
      </c>
      <c r="H103" s="92" t="s">
        <v>22</v>
      </c>
      <c r="I103" s="92" t="s">
        <v>908</v>
      </c>
      <c r="J103" s="114" t="s">
        <v>2546</v>
      </c>
      <c r="K103" s="92" t="s">
        <v>851</v>
      </c>
      <c r="L103" s="92" t="s">
        <v>909</v>
      </c>
      <c r="M103" s="92">
        <v>2</v>
      </c>
      <c r="N103" s="101">
        <v>35600</v>
      </c>
      <c r="O103" s="82" t="s">
        <v>832</v>
      </c>
      <c r="P103" s="170"/>
      <c r="Q103" s="210"/>
    </row>
    <row r="104" spans="1:17" x14ac:dyDescent="0.2">
      <c r="A104" s="108" t="s">
        <v>2012</v>
      </c>
      <c r="B104" s="87">
        <v>2407421</v>
      </c>
      <c r="C104" s="87">
        <v>58673</v>
      </c>
      <c r="D104" s="87" t="s">
        <v>2013</v>
      </c>
      <c r="E104" s="87">
        <v>59</v>
      </c>
      <c r="F104" s="87" t="str">
        <f>IF(E104&lt;=20,"0-19",
IF(E104&lt;=50,"20-49",
IF(E104&lt;=80,"50-79","80+")))</f>
        <v>50-79</v>
      </c>
      <c r="G104" s="87" t="s">
        <v>2014</v>
      </c>
      <c r="H104" s="87" t="s">
        <v>22</v>
      </c>
      <c r="I104" s="87" t="s">
        <v>2015</v>
      </c>
      <c r="J104" s="114" t="s">
        <v>2546</v>
      </c>
      <c r="K104" s="86" t="s">
        <v>2016</v>
      </c>
      <c r="L104" s="87" t="s">
        <v>1922</v>
      </c>
      <c r="M104" s="87">
        <v>2</v>
      </c>
      <c r="N104" s="161">
        <v>50799</v>
      </c>
      <c r="O104" s="161" t="s">
        <v>2254</v>
      </c>
      <c r="P104" s="168">
        <v>254721250193</v>
      </c>
      <c r="Q104" s="210"/>
    </row>
    <row r="105" spans="1:17" ht="21" x14ac:dyDescent="0.2">
      <c r="A105" s="105" t="s">
        <v>1768</v>
      </c>
      <c r="B105" s="92">
        <v>2008696</v>
      </c>
      <c r="C105" s="82">
        <v>77683</v>
      </c>
      <c r="D105" s="92" t="s">
        <v>2029</v>
      </c>
      <c r="E105" s="92">
        <v>11</v>
      </c>
      <c r="F105" s="92" t="str">
        <f>IF(E105&lt;=20,"0-19",
IF(E105&lt;=50,"20-49",
IF(E105&lt;=80,"50-79","80+")))</f>
        <v>0-19</v>
      </c>
      <c r="G105" s="92" t="s">
        <v>2030</v>
      </c>
      <c r="H105" s="92" t="s">
        <v>132</v>
      </c>
      <c r="I105" s="92" t="s">
        <v>2031</v>
      </c>
      <c r="J105" s="114" t="s">
        <v>2546</v>
      </c>
      <c r="K105" s="92" t="s">
        <v>1675</v>
      </c>
      <c r="L105" s="92" t="s">
        <v>1911</v>
      </c>
      <c r="M105" s="92">
        <v>2</v>
      </c>
      <c r="N105" s="166">
        <v>56226</v>
      </c>
      <c r="O105" s="166" t="s">
        <v>2254</v>
      </c>
      <c r="P105" s="152">
        <v>254722691221</v>
      </c>
      <c r="Q105" s="210"/>
    </row>
    <row r="106" spans="1:17" x14ac:dyDescent="0.2">
      <c r="A106" s="105" t="s">
        <v>1565</v>
      </c>
      <c r="B106" s="82">
        <v>2018859</v>
      </c>
      <c r="C106" s="82">
        <v>59484</v>
      </c>
      <c r="D106" s="82" t="s">
        <v>2095</v>
      </c>
      <c r="E106" s="82">
        <v>59</v>
      </c>
      <c r="F106" s="82" t="str">
        <f>IF(E106&lt;=20,"0-19",
IF(E106&lt;=50,"20-49",
IF(E106&lt;=80,"50-79","80+")))</f>
        <v>50-79</v>
      </c>
      <c r="G106" s="82" t="s">
        <v>2096</v>
      </c>
      <c r="H106" s="82" t="s">
        <v>15</v>
      </c>
      <c r="I106" s="82" t="s">
        <v>2097</v>
      </c>
      <c r="J106" s="114" t="s">
        <v>2546</v>
      </c>
      <c r="K106" s="92" t="s">
        <v>1908</v>
      </c>
      <c r="L106" s="82" t="s">
        <v>1895</v>
      </c>
      <c r="M106" s="82">
        <v>2</v>
      </c>
      <c r="N106" s="151">
        <v>88735</v>
      </c>
      <c r="O106" s="151" t="s">
        <v>2254</v>
      </c>
      <c r="P106" s="152">
        <v>254716662512</v>
      </c>
      <c r="Q106" s="210"/>
    </row>
    <row r="107" spans="1:17" x14ac:dyDescent="0.2">
      <c r="A107" s="108" t="s">
        <v>182</v>
      </c>
      <c r="B107" s="87">
        <v>2022640</v>
      </c>
      <c r="C107" s="87">
        <v>62828</v>
      </c>
      <c r="D107" s="87" t="s">
        <v>183</v>
      </c>
      <c r="E107" s="86">
        <v>47</v>
      </c>
      <c r="F107" s="86" t="str">
        <f>IF(E107&lt;=20,"0-19",
IF(E107&lt;=50,"20-49",
IF(E107&lt;=80,"50-79","80+")))</f>
        <v>20-49</v>
      </c>
      <c r="G107" s="87" t="s">
        <v>49</v>
      </c>
      <c r="H107" s="87" t="s">
        <v>15</v>
      </c>
      <c r="I107" s="87" t="s">
        <v>184</v>
      </c>
      <c r="J107" s="114" t="s">
        <v>2546</v>
      </c>
      <c r="K107" s="86" t="s">
        <v>66</v>
      </c>
      <c r="L107" s="86" t="s">
        <v>62</v>
      </c>
      <c r="M107" s="87">
        <v>2</v>
      </c>
      <c r="N107" s="97">
        <v>40300</v>
      </c>
      <c r="O107" s="87" t="s">
        <v>18</v>
      </c>
      <c r="P107" s="171"/>
      <c r="Q107" s="210"/>
    </row>
    <row r="108" spans="1:17" ht="21" x14ac:dyDescent="0.2">
      <c r="A108" s="139" t="s">
        <v>113</v>
      </c>
      <c r="B108" s="113">
        <v>2409155</v>
      </c>
      <c r="C108" s="113">
        <v>32116</v>
      </c>
      <c r="D108" s="114" t="s">
        <v>114</v>
      </c>
      <c r="E108" s="113">
        <v>46</v>
      </c>
      <c r="F108" s="113" t="str">
        <f>IF(E108&lt;=20,"0-19",
IF(E108&lt;=50,"20-49",
IF(E108&lt;=80,"50-79","80+")))</f>
        <v>20-49</v>
      </c>
      <c r="G108" s="113" t="s">
        <v>115</v>
      </c>
      <c r="H108" s="113" t="s">
        <v>15</v>
      </c>
      <c r="I108" s="114" t="s">
        <v>116</v>
      </c>
      <c r="J108" s="114" t="s">
        <v>2546</v>
      </c>
      <c r="K108" s="114" t="s">
        <v>25</v>
      </c>
      <c r="L108" s="113" t="s">
        <v>52</v>
      </c>
      <c r="M108" s="114">
        <v>2</v>
      </c>
      <c r="N108" s="115">
        <v>90000</v>
      </c>
      <c r="O108" s="87" t="s">
        <v>18</v>
      </c>
      <c r="P108" s="171"/>
      <c r="Q108" s="210"/>
    </row>
    <row r="109" spans="1:17" x14ac:dyDescent="0.2">
      <c r="A109" s="105" t="s">
        <v>1656</v>
      </c>
      <c r="B109" s="82">
        <v>2015865</v>
      </c>
      <c r="C109" s="82">
        <v>71430</v>
      </c>
      <c r="D109" s="82" t="s">
        <v>1964</v>
      </c>
      <c r="E109" s="82">
        <v>15</v>
      </c>
      <c r="F109" s="82" t="str">
        <f>IF(E109&lt;=20,"0-19",
IF(E109&lt;=50,"20-49",
IF(E109&lt;=80,"50-79","80+")))</f>
        <v>0-19</v>
      </c>
      <c r="G109" s="82" t="s">
        <v>1965</v>
      </c>
      <c r="H109" s="82" t="s">
        <v>132</v>
      </c>
      <c r="I109" s="82" t="s">
        <v>1966</v>
      </c>
      <c r="J109" s="114" t="s">
        <v>2546</v>
      </c>
      <c r="K109" s="92" t="s">
        <v>1967</v>
      </c>
      <c r="L109" s="82" t="s">
        <v>1922</v>
      </c>
      <c r="M109" s="82">
        <v>2</v>
      </c>
      <c r="N109" s="151">
        <v>30089.57</v>
      </c>
      <c r="O109" s="151" t="s">
        <v>2254</v>
      </c>
      <c r="P109" s="152">
        <v>254725742854</v>
      </c>
      <c r="Q109" s="210"/>
    </row>
    <row r="110" spans="1:17" x14ac:dyDescent="0.2">
      <c r="A110" s="139" t="s">
        <v>1227</v>
      </c>
      <c r="B110" s="92">
        <v>2507031</v>
      </c>
      <c r="C110" s="82">
        <v>68066</v>
      </c>
      <c r="D110" s="92" t="s">
        <v>1228</v>
      </c>
      <c r="E110" s="92">
        <v>57</v>
      </c>
      <c r="F110" s="92" t="str">
        <f>IF(E110&lt;=20,"0-19",
IF(E110&lt;=50,"20-49",
IF(E110&lt;=80,"50-79","80+")))</f>
        <v>50-79</v>
      </c>
      <c r="G110" s="92" t="s">
        <v>1229</v>
      </c>
      <c r="H110" s="92" t="s">
        <v>22</v>
      </c>
      <c r="I110" s="92" t="s">
        <v>1230</v>
      </c>
      <c r="J110" s="92" t="s">
        <v>2310</v>
      </c>
      <c r="K110" s="92" t="s">
        <v>1231</v>
      </c>
      <c r="L110" s="93" t="s">
        <v>1232</v>
      </c>
      <c r="M110" s="93">
        <v>2</v>
      </c>
      <c r="N110" s="94">
        <v>306406.28000000003</v>
      </c>
      <c r="O110" s="82" t="s">
        <v>832</v>
      </c>
      <c r="P110" s="170"/>
      <c r="Q110" s="210"/>
    </row>
    <row r="111" spans="1:17" x14ac:dyDescent="0.2">
      <c r="A111" s="139" t="s">
        <v>43</v>
      </c>
      <c r="B111" s="82">
        <v>2003938</v>
      </c>
      <c r="C111" s="82">
        <v>101178</v>
      </c>
      <c r="D111" s="82" t="s">
        <v>1320</v>
      </c>
      <c r="E111" s="82">
        <v>67</v>
      </c>
      <c r="F111" s="82" t="str">
        <f>IF(E111&lt;=20,"0-19",
IF(E111&lt;=50,"20-49",
IF(E111&lt;=80,"50-79","80+")))</f>
        <v>50-79</v>
      </c>
      <c r="G111" s="82" t="s">
        <v>938</v>
      </c>
      <c r="H111" s="82" t="s">
        <v>22</v>
      </c>
      <c r="I111" s="82" t="s">
        <v>1321</v>
      </c>
      <c r="J111" s="82" t="s">
        <v>2310</v>
      </c>
      <c r="K111" s="82" t="s">
        <v>1322</v>
      </c>
      <c r="L111" s="82" t="s">
        <v>1288</v>
      </c>
      <c r="M111" s="82">
        <v>2</v>
      </c>
      <c r="N111" s="84">
        <v>338877.33</v>
      </c>
      <c r="O111" s="82" t="s">
        <v>832</v>
      </c>
      <c r="P111" s="171"/>
      <c r="Q111" s="210"/>
    </row>
    <row r="112" spans="1:17" x14ac:dyDescent="0.2">
      <c r="A112" s="139" t="s">
        <v>137</v>
      </c>
      <c r="B112" s="87">
        <v>2020896</v>
      </c>
      <c r="C112" s="87">
        <v>63312</v>
      </c>
      <c r="D112" s="87" t="s">
        <v>138</v>
      </c>
      <c r="E112" s="86">
        <v>56</v>
      </c>
      <c r="F112" s="86" t="str">
        <f>IF(E112&lt;=20,"0-19",
IF(E112&lt;=50,"20-49",
IF(E112&lt;=80,"50-79","80+")))</f>
        <v>50-79</v>
      </c>
      <c r="G112" s="87" t="s">
        <v>139</v>
      </c>
      <c r="H112" s="87" t="s">
        <v>22</v>
      </c>
      <c r="I112" s="87" t="s">
        <v>140</v>
      </c>
      <c r="J112" s="87" t="s">
        <v>2310</v>
      </c>
      <c r="K112" s="86" t="s">
        <v>78</v>
      </c>
      <c r="L112" s="86" t="s">
        <v>141</v>
      </c>
      <c r="M112" s="87">
        <v>2</v>
      </c>
      <c r="N112" s="97">
        <v>40460</v>
      </c>
      <c r="O112" s="87" t="s">
        <v>18</v>
      </c>
      <c r="P112" s="171"/>
      <c r="Q112" s="210"/>
    </row>
    <row r="113" spans="1:17" x14ac:dyDescent="0.2">
      <c r="A113" s="104" t="s">
        <v>1590</v>
      </c>
      <c r="B113" s="88">
        <v>2017014</v>
      </c>
      <c r="C113" s="87">
        <v>59161</v>
      </c>
      <c r="D113" s="88" t="s">
        <v>1959</v>
      </c>
      <c r="E113" s="88">
        <v>63</v>
      </c>
      <c r="F113" s="88" t="str">
        <f>IF(E113&lt;=20,"0-19",
IF(E113&lt;=50,"20-49",
IF(E113&lt;=80,"50-79","80+")))</f>
        <v>50-79</v>
      </c>
      <c r="G113" s="88" t="s">
        <v>60</v>
      </c>
      <c r="H113" s="88" t="s">
        <v>22</v>
      </c>
      <c r="I113" s="86" t="s">
        <v>1960</v>
      </c>
      <c r="J113" s="86" t="s">
        <v>2310</v>
      </c>
      <c r="K113" s="86" t="s">
        <v>1288</v>
      </c>
      <c r="L113" s="86" t="s">
        <v>1231</v>
      </c>
      <c r="M113" s="88">
        <v>2</v>
      </c>
      <c r="N113" s="163">
        <v>27175.1</v>
      </c>
      <c r="O113" s="163" t="s">
        <v>2254</v>
      </c>
      <c r="P113" s="168">
        <v>254722961245</v>
      </c>
      <c r="Q113" s="210"/>
    </row>
    <row r="114" spans="1:17" ht="21" x14ac:dyDescent="0.2">
      <c r="A114" s="104" t="s">
        <v>1590</v>
      </c>
      <c r="B114" s="88">
        <v>2407241</v>
      </c>
      <c r="C114" s="87">
        <v>63110</v>
      </c>
      <c r="D114" s="88" t="s">
        <v>1591</v>
      </c>
      <c r="E114" s="88">
        <v>50</v>
      </c>
      <c r="F114" s="88" t="str">
        <f>IF(E114&lt;=20,"0-19",
IF(E114&lt;=50,"20-49",
IF(E114&lt;=80,"50-79","80+")))</f>
        <v>20-49</v>
      </c>
      <c r="G114" s="88" t="s">
        <v>1592</v>
      </c>
      <c r="H114" s="88" t="s">
        <v>15</v>
      </c>
      <c r="I114" s="88" t="s">
        <v>1593</v>
      </c>
      <c r="J114" s="88" t="s">
        <v>2310</v>
      </c>
      <c r="K114" s="88" t="s">
        <v>1594</v>
      </c>
      <c r="L114" s="86" t="s">
        <v>1562</v>
      </c>
      <c r="M114" s="88">
        <v>2</v>
      </c>
      <c r="N114" s="163">
        <v>24133.75</v>
      </c>
      <c r="O114" s="163" t="s">
        <v>2254</v>
      </c>
      <c r="P114" s="168">
        <v>254728490591</v>
      </c>
      <c r="Q114" s="210"/>
    </row>
    <row r="115" spans="1:17" x14ac:dyDescent="0.2">
      <c r="A115" s="104" t="s">
        <v>1565</v>
      </c>
      <c r="B115" s="87">
        <v>2014771</v>
      </c>
      <c r="C115" s="87">
        <v>32378</v>
      </c>
      <c r="D115" s="87" t="s">
        <v>1650</v>
      </c>
      <c r="E115" s="87">
        <v>17</v>
      </c>
      <c r="F115" s="87" t="str">
        <f>IF(E115&lt;=20,"0-19",
IF(E115&lt;=50,"20-49",
IF(E115&lt;=80,"50-79","80+")))</f>
        <v>0-19</v>
      </c>
      <c r="G115" s="87" t="s">
        <v>1651</v>
      </c>
      <c r="H115" s="87" t="s">
        <v>132</v>
      </c>
      <c r="I115" s="86" t="s">
        <v>1652</v>
      </c>
      <c r="J115" s="114" t="s">
        <v>2270</v>
      </c>
      <c r="K115" s="87" t="s">
        <v>1562</v>
      </c>
      <c r="L115" s="87" t="s">
        <v>1546</v>
      </c>
      <c r="M115" s="87">
        <v>2</v>
      </c>
      <c r="N115" s="161">
        <v>56339</v>
      </c>
      <c r="O115" s="161" t="s">
        <v>2254</v>
      </c>
      <c r="P115" s="168">
        <v>254798188015</v>
      </c>
      <c r="Q115" s="210"/>
    </row>
    <row r="116" spans="1:17" x14ac:dyDescent="0.2">
      <c r="A116" s="103" t="s">
        <v>90</v>
      </c>
      <c r="B116" s="82">
        <v>2005385</v>
      </c>
      <c r="C116" s="82">
        <v>18536</v>
      </c>
      <c r="D116" s="82" t="s">
        <v>91</v>
      </c>
      <c r="E116" s="92">
        <v>66</v>
      </c>
      <c r="F116" s="92" t="str">
        <f>IF(E116&lt;=20,"0-19",
IF(E116&lt;=50,"20-49",
IF(E116&lt;=80,"50-79","80+")))</f>
        <v>50-79</v>
      </c>
      <c r="G116" s="82" t="s">
        <v>92</v>
      </c>
      <c r="H116" s="82" t="s">
        <v>15</v>
      </c>
      <c r="I116" s="82" t="s">
        <v>93</v>
      </c>
      <c r="J116" s="82" t="s">
        <v>2328</v>
      </c>
      <c r="K116" s="92" t="s">
        <v>94</v>
      </c>
      <c r="L116" s="92" t="s">
        <v>95</v>
      </c>
      <c r="M116" s="82">
        <v>2</v>
      </c>
      <c r="N116" s="101">
        <v>346723</v>
      </c>
      <c r="O116" s="82" t="s">
        <v>18</v>
      </c>
      <c r="P116" s="170"/>
      <c r="Q116" s="210"/>
    </row>
    <row r="117" spans="1:17" ht="21" x14ac:dyDescent="0.2">
      <c r="A117" s="139" t="s">
        <v>874</v>
      </c>
      <c r="B117" s="82">
        <v>2014961</v>
      </c>
      <c r="C117" s="82">
        <v>57853</v>
      </c>
      <c r="D117" s="82" t="s">
        <v>887</v>
      </c>
      <c r="E117" s="82">
        <v>64</v>
      </c>
      <c r="F117" s="82" t="str">
        <f>IF(E117&lt;=20,"0-19",
IF(E117&lt;=50,"20-49",
IF(E117&lt;=80,"50-79","80+")))</f>
        <v>50-79</v>
      </c>
      <c r="G117" s="82" t="s">
        <v>126</v>
      </c>
      <c r="H117" s="82" t="s">
        <v>22</v>
      </c>
      <c r="I117" s="92" t="s">
        <v>888</v>
      </c>
      <c r="J117" s="92" t="s">
        <v>2328</v>
      </c>
      <c r="K117" s="92" t="s">
        <v>843</v>
      </c>
      <c r="L117" s="82" t="s">
        <v>846</v>
      </c>
      <c r="M117" s="82">
        <v>2</v>
      </c>
      <c r="N117" s="84">
        <v>80193</v>
      </c>
      <c r="O117" s="82" t="s">
        <v>832</v>
      </c>
      <c r="P117" s="171"/>
      <c r="Q117" s="210"/>
    </row>
    <row r="118" spans="1:17" ht="21" x14ac:dyDescent="0.2">
      <c r="A118" s="139" t="s">
        <v>38</v>
      </c>
      <c r="B118" s="113">
        <v>2002992</v>
      </c>
      <c r="C118" s="113">
        <v>13568</v>
      </c>
      <c r="D118" s="114" t="s">
        <v>122</v>
      </c>
      <c r="E118" s="113">
        <v>68</v>
      </c>
      <c r="F118" s="113" t="str">
        <f>IF(E118&lt;=20,"0-19",
IF(E118&lt;=50,"20-49",
IF(E118&lt;=80,"50-79","80+")))</f>
        <v>50-79</v>
      </c>
      <c r="G118" s="113" t="s">
        <v>123</v>
      </c>
      <c r="H118" s="113" t="s">
        <v>22</v>
      </c>
      <c r="I118" s="114" t="s">
        <v>124</v>
      </c>
      <c r="J118" s="114" t="s">
        <v>2328</v>
      </c>
      <c r="K118" s="114" t="s">
        <v>25</v>
      </c>
      <c r="L118" s="113" t="s">
        <v>52</v>
      </c>
      <c r="M118" s="114">
        <v>2</v>
      </c>
      <c r="N118" s="115">
        <v>98332</v>
      </c>
      <c r="O118" s="87" t="s">
        <v>18</v>
      </c>
      <c r="P118" s="171"/>
      <c r="Q118" s="210"/>
    </row>
    <row r="119" spans="1:17" x14ac:dyDescent="0.2">
      <c r="A119" s="139" t="s">
        <v>847</v>
      </c>
      <c r="B119" s="82">
        <v>2003515</v>
      </c>
      <c r="C119" s="82">
        <v>100864</v>
      </c>
      <c r="D119" s="82" t="s">
        <v>868</v>
      </c>
      <c r="E119" s="82">
        <v>68</v>
      </c>
      <c r="F119" s="82" t="str">
        <f>IF(E119&lt;=20,"0-19",
IF(E119&lt;=50,"20-49",
IF(E119&lt;=80,"50-79","80+")))</f>
        <v>50-79</v>
      </c>
      <c r="G119" s="82" t="s">
        <v>869</v>
      </c>
      <c r="H119" s="82" t="s">
        <v>22</v>
      </c>
      <c r="I119" s="82" t="s">
        <v>870</v>
      </c>
      <c r="J119" s="82" t="s">
        <v>2314</v>
      </c>
      <c r="K119" s="92" t="s">
        <v>855</v>
      </c>
      <c r="L119" s="92" t="s">
        <v>859</v>
      </c>
      <c r="M119" s="82">
        <v>2</v>
      </c>
      <c r="N119" s="84">
        <v>258781</v>
      </c>
      <c r="O119" s="82" t="s">
        <v>832</v>
      </c>
      <c r="P119" s="170"/>
      <c r="Q119" s="210"/>
    </row>
    <row r="120" spans="1:17" x14ac:dyDescent="0.2">
      <c r="A120" s="104" t="s">
        <v>72</v>
      </c>
      <c r="B120" s="87">
        <v>2002637</v>
      </c>
      <c r="C120" s="87">
        <v>8913</v>
      </c>
      <c r="D120" s="87" t="s">
        <v>1850</v>
      </c>
      <c r="E120" s="87">
        <v>70</v>
      </c>
      <c r="F120" s="87" t="str">
        <f>IF(E120&lt;=20,"0-19",
IF(E120&lt;=50,"20-49",
IF(E120&lt;=80,"50-79","80+")))</f>
        <v>50-79</v>
      </c>
      <c r="G120" s="87" t="s">
        <v>1851</v>
      </c>
      <c r="H120" s="87" t="s">
        <v>22</v>
      </c>
      <c r="I120" s="86" t="s">
        <v>1852</v>
      </c>
      <c r="J120" s="86" t="s">
        <v>2314</v>
      </c>
      <c r="K120" s="87" t="s">
        <v>1567</v>
      </c>
      <c r="L120" s="87" t="s">
        <v>1559</v>
      </c>
      <c r="M120" s="87">
        <v>2</v>
      </c>
      <c r="N120" s="161">
        <v>415544.2</v>
      </c>
      <c r="O120" s="161" t="s">
        <v>2254</v>
      </c>
      <c r="P120" s="168">
        <v>254703972911</v>
      </c>
      <c r="Q120" s="210"/>
    </row>
    <row r="121" spans="1:17" x14ac:dyDescent="0.2">
      <c r="A121" s="139" t="s">
        <v>874</v>
      </c>
      <c r="B121" s="82">
        <v>2407407</v>
      </c>
      <c r="C121" s="82">
        <v>67066</v>
      </c>
      <c r="D121" s="82" t="s">
        <v>905</v>
      </c>
      <c r="E121" s="82">
        <v>60</v>
      </c>
      <c r="F121" s="82" t="str">
        <f>IF(E121&lt;=20,"0-19",
IF(E121&lt;=50,"20-49",
IF(E121&lt;=80,"50-79","80+")))</f>
        <v>50-79</v>
      </c>
      <c r="G121" s="82" t="s">
        <v>60</v>
      </c>
      <c r="H121" s="82" t="s">
        <v>22</v>
      </c>
      <c r="I121" s="82" t="s">
        <v>906</v>
      </c>
      <c r="J121" s="82" t="s">
        <v>2314</v>
      </c>
      <c r="K121" s="92" t="s">
        <v>855</v>
      </c>
      <c r="L121" s="92" t="s">
        <v>860</v>
      </c>
      <c r="M121" s="82">
        <v>2</v>
      </c>
      <c r="N121" s="84">
        <v>119766</v>
      </c>
      <c r="O121" s="82" t="s">
        <v>832</v>
      </c>
      <c r="P121" s="170"/>
      <c r="Q121" s="210"/>
    </row>
    <row r="122" spans="1:17" x14ac:dyDescent="0.2">
      <c r="A122" s="105" t="s">
        <v>1672</v>
      </c>
      <c r="B122" s="82">
        <v>2011320</v>
      </c>
      <c r="C122" s="82">
        <v>74047</v>
      </c>
      <c r="D122" s="82" t="s">
        <v>2040</v>
      </c>
      <c r="E122" s="82">
        <v>9</v>
      </c>
      <c r="F122" s="82" t="str">
        <f>IF(E122&lt;=20,"0-19",
IF(E122&lt;=50,"20-49",
IF(E122&lt;=80,"50-79","80+")))</f>
        <v>0-19</v>
      </c>
      <c r="G122" s="82" t="s">
        <v>2041</v>
      </c>
      <c r="H122" s="82" t="s">
        <v>132</v>
      </c>
      <c r="I122" s="82" t="s">
        <v>2042</v>
      </c>
      <c r="J122" s="114" t="s">
        <v>2295</v>
      </c>
      <c r="K122" s="92" t="s">
        <v>1911</v>
      </c>
      <c r="L122" s="82" t="s">
        <v>1928</v>
      </c>
      <c r="M122" s="82">
        <v>2</v>
      </c>
      <c r="N122" s="151">
        <v>63002</v>
      </c>
      <c r="O122" s="151" t="s">
        <v>2254</v>
      </c>
      <c r="P122" s="152">
        <v>254726386129</v>
      </c>
      <c r="Q122" s="210"/>
    </row>
    <row r="123" spans="1:17" ht="22.5" x14ac:dyDescent="0.2">
      <c r="A123" s="187" t="s">
        <v>185</v>
      </c>
      <c r="B123" s="189">
        <v>2004761</v>
      </c>
      <c r="C123" s="189">
        <v>31664</v>
      </c>
      <c r="D123" s="189" t="s">
        <v>186</v>
      </c>
      <c r="E123" s="189">
        <v>63</v>
      </c>
      <c r="F123" s="189" t="str">
        <f>IF(E123&lt;=20,"0-19",
IF(E123&lt;=50,"20-49",
IF(E123&lt;=80,"50-79","80+")))</f>
        <v>50-79</v>
      </c>
      <c r="G123" s="189" t="s">
        <v>187</v>
      </c>
      <c r="H123" s="189" t="s">
        <v>15</v>
      </c>
      <c r="I123" s="189" t="s">
        <v>188</v>
      </c>
      <c r="J123" s="189" t="s">
        <v>2270</v>
      </c>
      <c r="K123" s="189" t="s">
        <v>2258</v>
      </c>
      <c r="L123" s="190" t="s">
        <v>190</v>
      </c>
      <c r="M123" s="92">
        <v>2</v>
      </c>
      <c r="N123" s="193">
        <v>433492.51</v>
      </c>
      <c r="O123" s="82" t="s">
        <v>18</v>
      </c>
      <c r="P123" s="170"/>
      <c r="Q123" s="210"/>
    </row>
    <row r="124" spans="1:17" ht="21" x14ac:dyDescent="0.2">
      <c r="A124" s="139" t="s">
        <v>1237</v>
      </c>
      <c r="B124" s="93">
        <v>2014720</v>
      </c>
      <c r="C124" s="82">
        <v>37099</v>
      </c>
      <c r="D124" s="93" t="s">
        <v>719</v>
      </c>
      <c r="E124" s="93">
        <v>67</v>
      </c>
      <c r="F124" s="93" t="str">
        <f>IF(E124&lt;=20,"0-19",
IF(E124&lt;=50,"20-49",
IF(E124&lt;=80,"50-79","80+")))</f>
        <v>50-79</v>
      </c>
      <c r="G124" s="93" t="s">
        <v>885</v>
      </c>
      <c r="H124" s="93" t="s">
        <v>15</v>
      </c>
      <c r="I124" s="93" t="s">
        <v>886</v>
      </c>
      <c r="J124" s="93" t="s">
        <v>2270</v>
      </c>
      <c r="K124" s="93" t="s">
        <v>835</v>
      </c>
      <c r="L124" s="93" t="s">
        <v>880</v>
      </c>
      <c r="M124" s="93">
        <v>2</v>
      </c>
      <c r="N124" s="94">
        <v>143848</v>
      </c>
      <c r="O124" s="82" t="s">
        <v>832</v>
      </c>
      <c r="P124" s="171"/>
      <c r="Q124" s="210"/>
    </row>
    <row r="125" spans="1:17" x14ac:dyDescent="0.2">
      <c r="A125" s="139" t="s">
        <v>19</v>
      </c>
      <c r="B125" s="114">
        <v>2016395</v>
      </c>
      <c r="C125" s="114">
        <v>56269</v>
      </c>
      <c r="D125" s="114" t="s">
        <v>100</v>
      </c>
      <c r="E125" s="114">
        <v>62</v>
      </c>
      <c r="F125" s="114" t="str">
        <f>IF(E125&lt;=20,"0-19",
IF(E125&lt;=50,"20-49",
IF(E125&lt;=80,"50-79","80+")))</f>
        <v>50-79</v>
      </c>
      <c r="G125" s="114" t="s">
        <v>101</v>
      </c>
      <c r="H125" s="114" t="s">
        <v>22</v>
      </c>
      <c r="I125" s="114" t="s">
        <v>102</v>
      </c>
      <c r="J125" s="111" t="s">
        <v>2270</v>
      </c>
      <c r="K125" s="114" t="s">
        <v>103</v>
      </c>
      <c r="L125" s="114" t="s">
        <v>104</v>
      </c>
      <c r="M125" s="114">
        <v>2</v>
      </c>
      <c r="N125" s="116">
        <v>66007.199999999997</v>
      </c>
      <c r="O125" s="82" t="s">
        <v>18</v>
      </c>
      <c r="P125" s="170"/>
      <c r="Q125" s="210"/>
    </row>
    <row r="126" spans="1:17" ht="21" x14ac:dyDescent="0.2">
      <c r="A126" s="105" t="s">
        <v>354</v>
      </c>
      <c r="B126" s="92">
        <v>2013966</v>
      </c>
      <c r="C126" s="82">
        <v>54092</v>
      </c>
      <c r="D126" s="92" t="s">
        <v>1994</v>
      </c>
      <c r="E126" s="92">
        <v>62</v>
      </c>
      <c r="F126" s="92" t="str">
        <f>IF(E126&lt;=20,"0-19",
IF(E126&lt;=50,"20-49",
IF(E126&lt;=80,"50-79","80+")))</f>
        <v>50-79</v>
      </c>
      <c r="G126" s="92" t="s">
        <v>1995</v>
      </c>
      <c r="H126" s="92" t="s">
        <v>15</v>
      </c>
      <c r="I126" s="92" t="s">
        <v>1996</v>
      </c>
      <c r="J126" s="114" t="s">
        <v>2311</v>
      </c>
      <c r="K126" s="92" t="s">
        <v>1675</v>
      </c>
      <c r="L126" s="92" t="s">
        <v>1911</v>
      </c>
      <c r="M126" s="92">
        <v>2</v>
      </c>
      <c r="N126" s="166">
        <v>41922.17</v>
      </c>
      <c r="O126" s="166" t="s">
        <v>2254</v>
      </c>
      <c r="P126" s="152">
        <v>254720010099</v>
      </c>
      <c r="Q126" s="210"/>
    </row>
    <row r="127" spans="1:17" x14ac:dyDescent="0.2">
      <c r="A127" s="105" t="s">
        <v>1656</v>
      </c>
      <c r="B127" s="82">
        <v>2506006</v>
      </c>
      <c r="C127" s="82">
        <v>65497</v>
      </c>
      <c r="D127" s="82" t="s">
        <v>1657</v>
      </c>
      <c r="E127" s="82">
        <v>7</v>
      </c>
      <c r="F127" s="82" t="str">
        <f>IF(E127&lt;=20,"0-19",
IF(E127&lt;=50,"20-49",
IF(E127&lt;=80,"50-79","80+")))</f>
        <v>0-19</v>
      </c>
      <c r="G127" s="82" t="s">
        <v>1658</v>
      </c>
      <c r="H127" s="82" t="s">
        <v>88</v>
      </c>
      <c r="I127" s="92" t="s">
        <v>1659</v>
      </c>
      <c r="J127" s="114" t="s">
        <v>2311</v>
      </c>
      <c r="K127" s="82" t="s">
        <v>1660</v>
      </c>
      <c r="L127" s="82" t="s">
        <v>1589</v>
      </c>
      <c r="M127" s="82">
        <v>2</v>
      </c>
      <c r="N127" s="151">
        <v>59735</v>
      </c>
      <c r="O127" s="151" t="s">
        <v>2254</v>
      </c>
      <c r="P127" s="152">
        <v>254726967415</v>
      </c>
      <c r="Q127" s="210"/>
    </row>
    <row r="128" spans="1:17" x14ac:dyDescent="0.2">
      <c r="A128" s="139" t="s">
        <v>208</v>
      </c>
      <c r="B128" s="82">
        <v>2019296</v>
      </c>
      <c r="C128" s="82">
        <v>104424</v>
      </c>
      <c r="D128" s="82" t="s">
        <v>1272</v>
      </c>
      <c r="E128" s="82">
        <v>15</v>
      </c>
      <c r="F128" s="82" t="str">
        <f>IF(E128&lt;=20,"0-19",
IF(E128&lt;=50,"20-49",
IF(E128&lt;=80,"50-79","80+")))</f>
        <v>0-19</v>
      </c>
      <c r="G128" s="82" t="s">
        <v>1273</v>
      </c>
      <c r="H128" s="82" t="s">
        <v>132</v>
      </c>
      <c r="I128" s="82" t="s">
        <v>1274</v>
      </c>
      <c r="J128" s="114" t="s">
        <v>2311</v>
      </c>
      <c r="K128" s="82" t="s">
        <v>860</v>
      </c>
      <c r="L128" s="82" t="s">
        <v>1236</v>
      </c>
      <c r="M128" s="82">
        <v>2</v>
      </c>
      <c r="N128" s="84">
        <v>61410</v>
      </c>
      <c r="O128" s="82" t="s">
        <v>832</v>
      </c>
      <c r="P128" s="170"/>
      <c r="Q128" s="210"/>
    </row>
    <row r="129" spans="1:17" ht="21" x14ac:dyDescent="0.2">
      <c r="A129" s="139" t="s">
        <v>117</v>
      </c>
      <c r="B129" s="113">
        <v>2021219</v>
      </c>
      <c r="C129" s="113">
        <v>8847</v>
      </c>
      <c r="D129" s="114" t="s">
        <v>118</v>
      </c>
      <c r="E129" s="113">
        <v>17</v>
      </c>
      <c r="F129" s="113" t="str">
        <f>IF(E129&lt;=20,"0-19",
IF(E129&lt;=50,"20-49",
IF(E129&lt;=80,"50-79","80+")))</f>
        <v>0-19</v>
      </c>
      <c r="G129" s="113" t="s">
        <v>119</v>
      </c>
      <c r="H129" s="113" t="s">
        <v>88</v>
      </c>
      <c r="I129" s="114" t="s">
        <v>120</v>
      </c>
      <c r="J129" s="114" t="s">
        <v>2328</v>
      </c>
      <c r="K129" s="114" t="s">
        <v>121</v>
      </c>
      <c r="L129" s="113" t="s">
        <v>25</v>
      </c>
      <c r="M129" s="114">
        <v>2</v>
      </c>
      <c r="N129" s="115">
        <v>35915</v>
      </c>
      <c r="O129" s="82" t="s">
        <v>18</v>
      </c>
      <c r="P129" s="170"/>
      <c r="Q129" s="210"/>
    </row>
    <row r="130" spans="1:17" x14ac:dyDescent="0.2">
      <c r="A130" s="105" t="s">
        <v>274</v>
      </c>
      <c r="B130" s="82">
        <v>2512287</v>
      </c>
      <c r="C130" s="82">
        <v>108867</v>
      </c>
      <c r="D130" s="82" t="s">
        <v>1642</v>
      </c>
      <c r="E130" s="82">
        <v>3</v>
      </c>
      <c r="F130" s="82" t="str">
        <f>IF(E130&lt;=20,"0-19",
IF(E130&lt;=50,"20-49",
IF(E130&lt;=80,"50-79","80+")))</f>
        <v>0-19</v>
      </c>
      <c r="G130" s="82" t="s">
        <v>1643</v>
      </c>
      <c r="H130" s="82" t="s">
        <v>132</v>
      </c>
      <c r="I130" s="92" t="s">
        <v>1644</v>
      </c>
      <c r="J130" s="92" t="s">
        <v>2322</v>
      </c>
      <c r="K130" s="82" t="s">
        <v>1543</v>
      </c>
      <c r="L130" s="82" t="s">
        <v>1551</v>
      </c>
      <c r="M130" s="82">
        <v>2</v>
      </c>
      <c r="N130" s="151">
        <v>45173.32</v>
      </c>
      <c r="O130" s="151" t="s">
        <v>2254</v>
      </c>
      <c r="P130" s="152">
        <v>254722235122</v>
      </c>
      <c r="Q130" s="210"/>
    </row>
    <row r="131" spans="1:17" x14ac:dyDescent="0.2">
      <c r="A131" s="139" t="s">
        <v>1371</v>
      </c>
      <c r="B131" s="82">
        <v>2011817</v>
      </c>
      <c r="C131" s="82">
        <v>56558</v>
      </c>
      <c r="D131" s="82" t="s">
        <v>884</v>
      </c>
      <c r="E131" s="82">
        <v>58</v>
      </c>
      <c r="F131" s="82" t="str">
        <f>IF(E131&lt;=20,"0-19",
IF(E131&lt;=50,"20-49",
IF(E131&lt;=80,"50-79","80+")))</f>
        <v>50-79</v>
      </c>
      <c r="G131" s="82" t="s">
        <v>14</v>
      </c>
      <c r="H131" s="82" t="s">
        <v>15</v>
      </c>
      <c r="I131" s="92" t="s">
        <v>164</v>
      </c>
      <c r="J131" s="92" t="s">
        <v>2322</v>
      </c>
      <c r="K131" s="92" t="s">
        <v>843</v>
      </c>
      <c r="L131" s="82" t="s">
        <v>846</v>
      </c>
      <c r="M131" s="82">
        <v>2</v>
      </c>
      <c r="N131" s="84">
        <v>268640</v>
      </c>
      <c r="O131" s="82" t="s">
        <v>832</v>
      </c>
      <c r="P131" s="170"/>
      <c r="Q131" s="210"/>
    </row>
    <row r="132" spans="1:17" x14ac:dyDescent="0.2">
      <c r="A132" s="104" t="s">
        <v>72</v>
      </c>
      <c r="B132" s="87">
        <v>2005908</v>
      </c>
      <c r="C132" s="87">
        <v>35410</v>
      </c>
      <c r="D132" s="87" t="s">
        <v>162</v>
      </c>
      <c r="E132" s="86">
        <v>39</v>
      </c>
      <c r="F132" s="86" t="str">
        <f>IF(E132&lt;=20,"0-19",
IF(E132&lt;=50,"20-49",
IF(E132&lt;=80,"50-79","80+")))</f>
        <v>20-49</v>
      </c>
      <c r="G132" s="87" t="s">
        <v>163</v>
      </c>
      <c r="H132" s="87" t="s">
        <v>15</v>
      </c>
      <c r="I132" s="87" t="s">
        <v>164</v>
      </c>
      <c r="J132" s="87" t="s">
        <v>2322</v>
      </c>
      <c r="K132" s="86" t="s">
        <v>94</v>
      </c>
      <c r="L132" s="86" t="s">
        <v>95</v>
      </c>
      <c r="M132" s="87">
        <v>2</v>
      </c>
      <c r="N132" s="97">
        <v>258825</v>
      </c>
      <c r="O132" s="87" t="s">
        <v>18</v>
      </c>
      <c r="P132" s="171"/>
      <c r="Q132" s="210"/>
    </row>
    <row r="133" spans="1:17" x14ac:dyDescent="0.2">
      <c r="A133" s="138" t="s">
        <v>178</v>
      </c>
      <c r="B133" s="111">
        <v>2014328</v>
      </c>
      <c r="C133" s="111">
        <v>7632</v>
      </c>
      <c r="D133" s="111" t="s">
        <v>179</v>
      </c>
      <c r="E133" s="111">
        <v>68</v>
      </c>
      <c r="F133" s="111" t="str">
        <f>IF(E133&lt;=20,"0-19",
IF(E133&lt;=50,"20-49",
IF(E133&lt;=80,"50-79","80+")))</f>
        <v>50-79</v>
      </c>
      <c r="G133" s="111" t="s">
        <v>180</v>
      </c>
      <c r="H133" s="111" t="s">
        <v>22</v>
      </c>
      <c r="I133" s="111" t="s">
        <v>181</v>
      </c>
      <c r="J133" s="114" t="s">
        <v>2314</v>
      </c>
      <c r="K133" s="111" t="s">
        <v>103</v>
      </c>
      <c r="L133" s="111" t="s">
        <v>104</v>
      </c>
      <c r="M133" s="111">
        <v>2</v>
      </c>
      <c r="N133" s="112">
        <v>36019</v>
      </c>
      <c r="O133" s="82" t="s">
        <v>18</v>
      </c>
      <c r="P133" s="170"/>
      <c r="Q133" s="210"/>
    </row>
    <row r="134" spans="1:17" x14ac:dyDescent="0.2">
      <c r="A134" s="108" t="s">
        <v>2063</v>
      </c>
      <c r="B134" s="87">
        <v>2014847</v>
      </c>
      <c r="C134" s="87">
        <v>19118</v>
      </c>
      <c r="D134" s="87" t="s">
        <v>2064</v>
      </c>
      <c r="E134" s="87">
        <v>17</v>
      </c>
      <c r="F134" s="87" t="str">
        <f>IF(E134&lt;=20,"0-19",
IF(E134&lt;=50,"20-49",
IF(E134&lt;=80,"50-79","80+")))</f>
        <v>0-19</v>
      </c>
      <c r="G134" s="87" t="s">
        <v>2065</v>
      </c>
      <c r="H134" s="87" t="s">
        <v>132</v>
      </c>
      <c r="I134" s="87" t="s">
        <v>2066</v>
      </c>
      <c r="J134" s="114" t="s">
        <v>2546</v>
      </c>
      <c r="K134" s="86" t="s">
        <v>1911</v>
      </c>
      <c r="L134" s="87" t="s">
        <v>1916</v>
      </c>
      <c r="M134" s="87">
        <v>2</v>
      </c>
      <c r="N134" s="161">
        <v>76305</v>
      </c>
      <c r="O134" s="161" t="s">
        <v>2254</v>
      </c>
      <c r="P134" s="168">
        <v>254727778715</v>
      </c>
      <c r="Q134" s="210"/>
    </row>
    <row r="135" spans="1:17" x14ac:dyDescent="0.2">
      <c r="A135" s="139" t="s">
        <v>86</v>
      </c>
      <c r="B135" s="111">
        <v>2009872</v>
      </c>
      <c r="C135" s="111">
        <v>61492</v>
      </c>
      <c r="D135" s="111" t="s">
        <v>87</v>
      </c>
      <c r="E135" s="111">
        <v>17</v>
      </c>
      <c r="F135" s="111" t="str">
        <f>IF(E135&lt;=20,"0-19",
IF(E135&lt;=50,"20-49",
IF(E135&lt;=80,"50-79","80+")))</f>
        <v>0-19</v>
      </c>
      <c r="G135" s="111" t="s">
        <v>14</v>
      </c>
      <c r="H135" s="111" t="s">
        <v>88</v>
      </c>
      <c r="I135" s="111" t="s">
        <v>89</v>
      </c>
      <c r="J135" s="114" t="s">
        <v>2546</v>
      </c>
      <c r="K135" s="111" t="s">
        <v>17</v>
      </c>
      <c r="L135" s="111" t="s">
        <v>46</v>
      </c>
      <c r="M135" s="111">
        <v>2</v>
      </c>
      <c r="N135" s="112">
        <v>89757</v>
      </c>
      <c r="O135" s="87" t="s">
        <v>18</v>
      </c>
      <c r="P135" s="171"/>
      <c r="Q135" s="210"/>
    </row>
    <row r="136" spans="1:17" ht="21" x14ac:dyDescent="0.2">
      <c r="A136" s="105" t="s">
        <v>1622</v>
      </c>
      <c r="B136" s="92">
        <v>2009830</v>
      </c>
      <c r="C136" s="82">
        <v>18739</v>
      </c>
      <c r="D136" s="92" t="s">
        <v>1623</v>
      </c>
      <c r="E136" s="92">
        <v>58</v>
      </c>
      <c r="F136" s="92" t="str">
        <f>IF(E136&lt;=20,"0-19",
IF(E136&lt;=50,"20-49",
IF(E136&lt;=80,"50-79","80+")))</f>
        <v>50-79</v>
      </c>
      <c r="G136" s="92" t="s">
        <v>1624</v>
      </c>
      <c r="H136" s="92" t="s">
        <v>15</v>
      </c>
      <c r="I136" s="92" t="s">
        <v>1625</v>
      </c>
      <c r="J136" s="92" t="s">
        <v>2283</v>
      </c>
      <c r="K136" s="92" t="s">
        <v>1594</v>
      </c>
      <c r="L136" s="92" t="s">
        <v>1562</v>
      </c>
      <c r="M136" s="93">
        <v>2</v>
      </c>
      <c r="N136" s="159">
        <v>36720</v>
      </c>
      <c r="O136" s="159" t="s">
        <v>2254</v>
      </c>
      <c r="P136" s="152">
        <v>254721898644</v>
      </c>
      <c r="Q136" s="210"/>
    </row>
    <row r="137" spans="1:17" x14ac:dyDescent="0.2">
      <c r="A137" s="139" t="s">
        <v>1503</v>
      </c>
      <c r="B137" s="82">
        <v>2022483</v>
      </c>
      <c r="C137" s="82">
        <v>80695</v>
      </c>
      <c r="D137" s="82" t="s">
        <v>1496</v>
      </c>
      <c r="E137" s="82">
        <v>3</v>
      </c>
      <c r="F137" s="82" t="str">
        <f>IF(E137&lt;=20,"0-19",
IF(E137&lt;=50,"20-49",
IF(E137&lt;=80,"50-79","80+")))</f>
        <v>0-19</v>
      </c>
      <c r="G137" s="82" t="s">
        <v>1497</v>
      </c>
      <c r="H137" s="82" t="s">
        <v>132</v>
      </c>
      <c r="I137" s="82" t="s">
        <v>1526</v>
      </c>
      <c r="J137" s="82" t="s">
        <v>2283</v>
      </c>
      <c r="K137" s="82" t="s">
        <v>860</v>
      </c>
      <c r="L137" s="82" t="s">
        <v>1236</v>
      </c>
      <c r="M137" s="82">
        <v>2</v>
      </c>
      <c r="N137" s="84">
        <v>34629</v>
      </c>
      <c r="O137" s="82" t="s">
        <v>832</v>
      </c>
      <c r="P137" s="171"/>
      <c r="Q137" s="210"/>
    </row>
    <row r="138" spans="1:17" x14ac:dyDescent="0.2">
      <c r="A138" s="108" t="s">
        <v>249</v>
      </c>
      <c r="B138" s="87">
        <v>2001045</v>
      </c>
      <c r="C138" s="87">
        <v>17578</v>
      </c>
      <c r="D138" s="87" t="s">
        <v>2092</v>
      </c>
      <c r="E138" s="87">
        <v>80</v>
      </c>
      <c r="F138" s="87" t="str">
        <f>IF(E138&lt;=20,"0-19",
IF(E138&lt;=50,"20-49",
IF(E138&lt;=80,"50-79","80+")))</f>
        <v>50-79</v>
      </c>
      <c r="G138" s="87" t="s">
        <v>2093</v>
      </c>
      <c r="H138" s="87" t="s">
        <v>22</v>
      </c>
      <c r="I138" s="87" t="s">
        <v>2094</v>
      </c>
      <c r="J138" s="87" t="s">
        <v>2283</v>
      </c>
      <c r="K138" s="86" t="s">
        <v>1898</v>
      </c>
      <c r="L138" s="87" t="s">
        <v>2016</v>
      </c>
      <c r="M138" s="87">
        <v>2</v>
      </c>
      <c r="N138" s="161">
        <v>88097</v>
      </c>
      <c r="O138" s="161" t="s">
        <v>2254</v>
      </c>
      <c r="P138" s="168">
        <v>254720369501</v>
      </c>
      <c r="Q138" s="210"/>
    </row>
    <row r="139" spans="1:17" x14ac:dyDescent="0.2">
      <c r="A139" s="139" t="s">
        <v>1503</v>
      </c>
      <c r="B139" s="82">
        <v>2023609</v>
      </c>
      <c r="C139" s="82">
        <v>21313</v>
      </c>
      <c r="D139" s="82" t="s">
        <v>1524</v>
      </c>
      <c r="E139" s="82">
        <v>49</v>
      </c>
      <c r="F139" s="82" t="str">
        <f>IF(E139&lt;=20,"0-19",
IF(E139&lt;=50,"20-49",
IF(E139&lt;=80,"50-79","80+")))</f>
        <v>20-49</v>
      </c>
      <c r="G139" s="82" t="s">
        <v>1525</v>
      </c>
      <c r="H139" s="82" t="s">
        <v>15</v>
      </c>
      <c r="I139" s="82" t="s">
        <v>1157</v>
      </c>
      <c r="J139" s="82" t="s">
        <v>2283</v>
      </c>
      <c r="K139" s="82" t="s">
        <v>860</v>
      </c>
      <c r="L139" s="82" t="s">
        <v>1236</v>
      </c>
      <c r="M139" s="82">
        <v>2</v>
      </c>
      <c r="N139" s="84">
        <v>52463.34</v>
      </c>
      <c r="O139" s="82" t="s">
        <v>832</v>
      </c>
      <c r="P139" s="170"/>
      <c r="Q139" s="210"/>
    </row>
    <row r="140" spans="1:17" x14ac:dyDescent="0.2">
      <c r="A140" s="139" t="s">
        <v>146</v>
      </c>
      <c r="B140" s="82">
        <v>2004023</v>
      </c>
      <c r="C140" s="82">
        <v>61041</v>
      </c>
      <c r="D140" s="82" t="s">
        <v>1414</v>
      </c>
      <c r="E140" s="82">
        <v>65</v>
      </c>
      <c r="F140" s="82" t="str">
        <f>IF(E140&lt;=20,"0-19",
IF(E140&lt;=50,"20-49",
IF(E140&lt;=80,"50-79","80+")))</f>
        <v>50-79</v>
      </c>
      <c r="G140" s="82" t="s">
        <v>1415</v>
      </c>
      <c r="H140" s="82" t="s">
        <v>22</v>
      </c>
      <c r="I140" s="92" t="s">
        <v>1416</v>
      </c>
      <c r="J140" s="114" t="s">
        <v>2295</v>
      </c>
      <c r="K140" s="92" t="s">
        <v>1366</v>
      </c>
      <c r="L140" s="92" t="s">
        <v>1242</v>
      </c>
      <c r="M140" s="82">
        <v>2</v>
      </c>
      <c r="N140" s="84">
        <v>51297</v>
      </c>
      <c r="O140" s="82" t="s">
        <v>832</v>
      </c>
      <c r="P140" s="171"/>
      <c r="Q140" s="210"/>
    </row>
    <row r="141" spans="1:17" x14ac:dyDescent="0.2">
      <c r="A141" s="139" t="s">
        <v>53</v>
      </c>
      <c r="B141" s="82">
        <v>2020767</v>
      </c>
      <c r="C141" s="82">
        <v>105075</v>
      </c>
      <c r="D141" s="82" t="s">
        <v>1355</v>
      </c>
      <c r="E141" s="82">
        <v>52</v>
      </c>
      <c r="F141" s="82" t="str">
        <f>IF(E141&lt;=20,"0-19",
IF(E141&lt;=50,"20-49",
IF(E141&lt;=80,"50-79","80+")))</f>
        <v>50-79</v>
      </c>
      <c r="G141" s="82" t="s">
        <v>1356</v>
      </c>
      <c r="H141" s="82" t="s">
        <v>15</v>
      </c>
      <c r="I141" s="92" t="s">
        <v>1357</v>
      </c>
      <c r="J141" s="92" t="s">
        <v>2275</v>
      </c>
      <c r="K141" s="92" t="s">
        <v>1236</v>
      </c>
      <c r="L141" s="92" t="s">
        <v>1241</v>
      </c>
      <c r="M141" s="82">
        <v>3</v>
      </c>
      <c r="N141" s="84">
        <v>307973</v>
      </c>
      <c r="O141" s="82" t="s">
        <v>832</v>
      </c>
      <c r="P141" s="170"/>
      <c r="Q141" s="210"/>
    </row>
    <row r="142" spans="1:17" x14ac:dyDescent="0.2">
      <c r="A142" s="139" t="s">
        <v>267</v>
      </c>
      <c r="B142" s="113">
        <v>2015860</v>
      </c>
      <c r="C142" s="113">
        <v>52961</v>
      </c>
      <c r="D142" s="114" t="s">
        <v>271</v>
      </c>
      <c r="E142" s="113">
        <v>63</v>
      </c>
      <c r="F142" s="113" t="str">
        <f>IF(E142&lt;=20,"0-19",
IF(E142&lt;=50,"20-49",
IF(E142&lt;=80,"50-79","80+")))</f>
        <v>50-79</v>
      </c>
      <c r="G142" s="113" t="s">
        <v>272</v>
      </c>
      <c r="H142" s="113" t="s">
        <v>15</v>
      </c>
      <c r="I142" s="114" t="s">
        <v>273</v>
      </c>
      <c r="J142" s="114" t="s">
        <v>2275</v>
      </c>
      <c r="K142" s="114" t="s">
        <v>71</v>
      </c>
      <c r="L142" s="113" t="s">
        <v>42</v>
      </c>
      <c r="M142" s="114">
        <v>3</v>
      </c>
      <c r="N142" s="115">
        <v>70958.53</v>
      </c>
      <c r="O142" s="82" t="s">
        <v>18</v>
      </c>
      <c r="P142" s="170"/>
      <c r="Q142" s="210"/>
    </row>
    <row r="143" spans="1:17" ht="21" x14ac:dyDescent="0.2">
      <c r="A143" s="139" t="s">
        <v>53</v>
      </c>
      <c r="B143" s="82">
        <v>2004100</v>
      </c>
      <c r="C143" s="82">
        <v>100573</v>
      </c>
      <c r="D143" s="82" t="s">
        <v>83</v>
      </c>
      <c r="E143" s="82">
        <v>68</v>
      </c>
      <c r="F143" s="82" t="str">
        <f>IF(E143&lt;=20,"0-19",
IF(E143&lt;=50,"20-49",
IF(E143&lt;=80,"50-79","80+")))</f>
        <v>50-79</v>
      </c>
      <c r="G143" s="82" t="s">
        <v>941</v>
      </c>
      <c r="H143" s="82" t="s">
        <v>22</v>
      </c>
      <c r="I143" s="92" t="s">
        <v>942</v>
      </c>
      <c r="J143" s="92" t="s">
        <v>2275</v>
      </c>
      <c r="K143" s="92" t="s">
        <v>943</v>
      </c>
      <c r="L143" s="82" t="s">
        <v>831</v>
      </c>
      <c r="M143" s="82">
        <v>3</v>
      </c>
      <c r="N143" s="84">
        <v>344000</v>
      </c>
      <c r="O143" s="82" t="s">
        <v>832</v>
      </c>
      <c r="P143" s="171"/>
      <c r="Q143" s="210"/>
    </row>
    <row r="144" spans="1:17" x14ac:dyDescent="0.2">
      <c r="A144" s="139" t="s">
        <v>836</v>
      </c>
      <c r="B144" s="82">
        <v>2014390</v>
      </c>
      <c r="C144" s="82">
        <v>13704</v>
      </c>
      <c r="D144" s="82" t="s">
        <v>1436</v>
      </c>
      <c r="E144" s="82">
        <v>66</v>
      </c>
      <c r="F144" s="82" t="str">
        <f>IF(E144&lt;=20,"0-19",
IF(E144&lt;=50,"20-49",
IF(E144&lt;=80,"50-79","80+")))</f>
        <v>50-79</v>
      </c>
      <c r="G144" s="82" t="s">
        <v>1437</v>
      </c>
      <c r="H144" s="82" t="s">
        <v>15</v>
      </c>
      <c r="I144" s="82" t="s">
        <v>1438</v>
      </c>
      <c r="J144" s="82" t="s">
        <v>2275</v>
      </c>
      <c r="K144" s="82" t="s">
        <v>1439</v>
      </c>
      <c r="L144" s="82" t="s">
        <v>1288</v>
      </c>
      <c r="M144" s="82">
        <v>3</v>
      </c>
      <c r="N144" s="84">
        <v>460510.8</v>
      </c>
      <c r="O144" s="82" t="s">
        <v>832</v>
      </c>
      <c r="P144" s="170"/>
      <c r="Q144" s="210"/>
    </row>
    <row r="145" spans="1:17" x14ac:dyDescent="0.2">
      <c r="A145" s="104" t="s">
        <v>1653</v>
      </c>
      <c r="B145" s="87">
        <v>2020141</v>
      </c>
      <c r="C145" s="87">
        <v>16148</v>
      </c>
      <c r="D145" s="87" t="s">
        <v>1788</v>
      </c>
      <c r="E145" s="87">
        <v>65</v>
      </c>
      <c r="F145" s="87" t="str">
        <f>IF(E145&lt;=20,"0-19",
IF(E145&lt;=50,"20-49",
IF(E145&lt;=80,"50-79","80+")))</f>
        <v>50-79</v>
      </c>
      <c r="G145" s="87" t="s">
        <v>1789</v>
      </c>
      <c r="H145" s="87" t="s">
        <v>22</v>
      </c>
      <c r="I145" s="86" t="s">
        <v>1790</v>
      </c>
      <c r="J145" s="86" t="s">
        <v>2275</v>
      </c>
      <c r="K145" s="87" t="s">
        <v>1562</v>
      </c>
      <c r="L145" s="87" t="s">
        <v>1549</v>
      </c>
      <c r="M145" s="87">
        <v>3</v>
      </c>
      <c r="N145" s="161">
        <v>243679</v>
      </c>
      <c r="O145" s="161" t="s">
        <v>2254</v>
      </c>
      <c r="P145" s="168">
        <v>254728238081</v>
      </c>
      <c r="Q145" s="210"/>
    </row>
    <row r="146" spans="1:17" ht="21" x14ac:dyDescent="0.2">
      <c r="A146" s="187" t="s">
        <v>285</v>
      </c>
      <c r="B146" s="189">
        <v>2022134</v>
      </c>
      <c r="C146" s="189">
        <v>32050</v>
      </c>
      <c r="D146" s="189" t="s">
        <v>286</v>
      </c>
      <c r="E146" s="189">
        <v>54</v>
      </c>
      <c r="F146" s="189" t="str">
        <f>IF(E146&lt;=20,"0-19",
IF(E146&lt;=50,"20-49",
IF(E146&lt;=80,"50-79","80+")))</f>
        <v>50-79</v>
      </c>
      <c r="G146" s="189" t="s">
        <v>287</v>
      </c>
      <c r="H146" s="189" t="s">
        <v>15</v>
      </c>
      <c r="I146" s="189" t="s">
        <v>288</v>
      </c>
      <c r="J146" s="189" t="s">
        <v>2275</v>
      </c>
      <c r="K146" s="189" t="s">
        <v>108</v>
      </c>
      <c r="L146" s="190" t="s">
        <v>289</v>
      </c>
      <c r="M146" s="92">
        <v>3</v>
      </c>
      <c r="N146" s="193">
        <v>99489</v>
      </c>
      <c r="O146" s="82" t="s">
        <v>18</v>
      </c>
      <c r="P146" s="170"/>
      <c r="Q146" s="210"/>
    </row>
    <row r="147" spans="1:17" x14ac:dyDescent="0.2">
      <c r="A147" s="105" t="s">
        <v>221</v>
      </c>
      <c r="B147" s="92">
        <v>2002470</v>
      </c>
      <c r="C147" s="82">
        <v>18751</v>
      </c>
      <c r="D147" s="92" t="s">
        <v>1669</v>
      </c>
      <c r="E147" s="92">
        <v>61</v>
      </c>
      <c r="F147" s="92" t="str">
        <f>IF(E147&lt;=20,"0-19",
IF(E147&lt;=50,"20-49",
IF(E147&lt;=80,"50-79","80+")))</f>
        <v>50-79</v>
      </c>
      <c r="G147" s="92" t="s">
        <v>1670</v>
      </c>
      <c r="H147" s="92" t="s">
        <v>22</v>
      </c>
      <c r="I147" s="92" t="s">
        <v>1671</v>
      </c>
      <c r="J147" s="92" t="s">
        <v>2275</v>
      </c>
      <c r="K147" s="92" t="s">
        <v>1264</v>
      </c>
      <c r="L147" s="93" t="s">
        <v>1553</v>
      </c>
      <c r="M147" s="93">
        <v>3</v>
      </c>
      <c r="N147" s="159">
        <v>63113</v>
      </c>
      <c r="O147" s="159" t="s">
        <v>2254</v>
      </c>
      <c r="P147" s="152">
        <v>254722864285</v>
      </c>
      <c r="Q147" s="210"/>
    </row>
    <row r="148" spans="1:17" ht="21" x14ac:dyDescent="0.2">
      <c r="A148" s="105" t="s">
        <v>1575</v>
      </c>
      <c r="B148" s="82">
        <v>2023119</v>
      </c>
      <c r="C148" s="82">
        <v>54726</v>
      </c>
      <c r="D148" s="82" t="s">
        <v>2045</v>
      </c>
      <c r="E148" s="82">
        <v>58</v>
      </c>
      <c r="F148" s="82" t="str">
        <f>IF(E148&lt;=20,"0-19",
IF(E148&lt;=50,"20-49",
IF(E148&lt;=80,"50-79","80+")))</f>
        <v>50-79</v>
      </c>
      <c r="G148" s="82" t="s">
        <v>2046</v>
      </c>
      <c r="H148" s="82" t="s">
        <v>15</v>
      </c>
      <c r="I148" s="82" t="s">
        <v>2047</v>
      </c>
      <c r="J148" s="82" t="s">
        <v>2275</v>
      </c>
      <c r="K148" s="92" t="s">
        <v>1928</v>
      </c>
      <c r="L148" s="82" t="s">
        <v>2048</v>
      </c>
      <c r="M148" s="82">
        <v>3</v>
      </c>
      <c r="N148" s="151">
        <v>64450</v>
      </c>
      <c r="O148" s="151" t="s">
        <v>2254</v>
      </c>
      <c r="P148" s="152">
        <v>254717992592</v>
      </c>
      <c r="Q148" s="210"/>
    </row>
    <row r="149" spans="1:17" ht="21" x14ac:dyDescent="0.2">
      <c r="A149" s="104" t="s">
        <v>1690</v>
      </c>
      <c r="B149" s="86">
        <v>2011288</v>
      </c>
      <c r="C149" s="87">
        <v>52601</v>
      </c>
      <c r="D149" s="86" t="s">
        <v>1823</v>
      </c>
      <c r="E149" s="86">
        <v>59</v>
      </c>
      <c r="F149" s="86" t="str">
        <f>IF(E149&lt;=20,"0-19",
IF(E149&lt;=50,"20-49",
IF(E149&lt;=80,"50-79","80+")))</f>
        <v>50-79</v>
      </c>
      <c r="G149" s="86" t="s">
        <v>1824</v>
      </c>
      <c r="H149" s="86" t="s">
        <v>15</v>
      </c>
      <c r="I149" s="86" t="s">
        <v>1825</v>
      </c>
      <c r="J149" s="86" t="s">
        <v>2275</v>
      </c>
      <c r="K149" s="86" t="s">
        <v>1264</v>
      </c>
      <c r="L149" s="88" t="s">
        <v>1553</v>
      </c>
      <c r="M149" s="88">
        <v>3</v>
      </c>
      <c r="N149" s="163">
        <v>321878</v>
      </c>
      <c r="O149" s="163" t="s">
        <v>2254</v>
      </c>
      <c r="P149" s="168">
        <v>254721542824</v>
      </c>
      <c r="Q149" s="210"/>
    </row>
    <row r="150" spans="1:17" x14ac:dyDescent="0.2">
      <c r="A150" s="108" t="s">
        <v>75</v>
      </c>
      <c r="B150" s="87">
        <v>2003903</v>
      </c>
      <c r="C150" s="87">
        <v>12834</v>
      </c>
      <c r="D150" s="87" t="s">
        <v>264</v>
      </c>
      <c r="E150" s="86">
        <v>67</v>
      </c>
      <c r="F150" s="86" t="str">
        <f>IF(E150&lt;=20,"0-19",
IF(E150&lt;=50,"20-49",
IF(E150&lt;=80,"50-79","80+")))</f>
        <v>50-79</v>
      </c>
      <c r="G150" s="87" t="s">
        <v>265</v>
      </c>
      <c r="H150" s="87" t="s">
        <v>22</v>
      </c>
      <c r="I150" s="87" t="s">
        <v>266</v>
      </c>
      <c r="J150" s="87" t="s">
        <v>2275</v>
      </c>
      <c r="K150" s="86" t="s">
        <v>37</v>
      </c>
      <c r="L150" s="86" t="s">
        <v>79</v>
      </c>
      <c r="M150" s="87">
        <v>3</v>
      </c>
      <c r="N150" s="97">
        <v>55674</v>
      </c>
      <c r="O150" s="87" t="s">
        <v>18</v>
      </c>
      <c r="P150" s="171"/>
      <c r="Q150" s="210"/>
    </row>
    <row r="151" spans="1:17" x14ac:dyDescent="0.2">
      <c r="A151" s="139" t="s">
        <v>19</v>
      </c>
      <c r="B151" s="82">
        <v>2012273</v>
      </c>
      <c r="C151" s="82">
        <v>9967</v>
      </c>
      <c r="D151" s="82" t="s">
        <v>1257</v>
      </c>
      <c r="E151" s="82">
        <v>67</v>
      </c>
      <c r="F151" s="82" t="str">
        <f>IF(E151&lt;=20,"0-19",
IF(E151&lt;=50,"20-49",
IF(E151&lt;=80,"50-79","80+")))</f>
        <v>50-79</v>
      </c>
      <c r="G151" s="82" t="s">
        <v>1258</v>
      </c>
      <c r="H151" s="82" t="s">
        <v>22</v>
      </c>
      <c r="I151" s="82" t="s">
        <v>1259</v>
      </c>
      <c r="J151" s="82" t="s">
        <v>2304</v>
      </c>
      <c r="K151" s="82" t="s">
        <v>1231</v>
      </c>
      <c r="L151" s="82" t="s">
        <v>1225</v>
      </c>
      <c r="M151" s="82">
        <v>3</v>
      </c>
      <c r="N151" s="84">
        <v>135746.5</v>
      </c>
      <c r="O151" s="82" t="s">
        <v>832</v>
      </c>
      <c r="P151" s="170"/>
      <c r="Q151" s="210"/>
    </row>
    <row r="152" spans="1:17" x14ac:dyDescent="0.2">
      <c r="A152" s="139" t="s">
        <v>43</v>
      </c>
      <c r="B152" s="82">
        <v>2001143</v>
      </c>
      <c r="C152" s="82">
        <v>14236</v>
      </c>
      <c r="D152" s="82" t="s">
        <v>920</v>
      </c>
      <c r="E152" s="82">
        <v>64</v>
      </c>
      <c r="F152" s="82" t="str">
        <f>IF(E152&lt;=20,"0-19",
IF(E152&lt;=50,"20-49",
IF(E152&lt;=80,"50-79","80+")))</f>
        <v>50-79</v>
      </c>
      <c r="G152" s="82" t="s">
        <v>921</v>
      </c>
      <c r="H152" s="82" t="s">
        <v>15</v>
      </c>
      <c r="I152" s="92" t="s">
        <v>922</v>
      </c>
      <c r="J152" s="92" t="s">
        <v>2304</v>
      </c>
      <c r="K152" s="92" t="s">
        <v>880</v>
      </c>
      <c r="L152" s="82" t="s">
        <v>846</v>
      </c>
      <c r="M152" s="82">
        <v>3</v>
      </c>
      <c r="N152" s="84">
        <v>120908.61</v>
      </c>
      <c r="O152" s="82" t="s">
        <v>832</v>
      </c>
      <c r="P152" s="170"/>
      <c r="Q152" s="210"/>
    </row>
    <row r="153" spans="1:17" x14ac:dyDescent="0.2">
      <c r="A153" s="139" t="s">
        <v>933</v>
      </c>
      <c r="B153" s="93">
        <v>2003093</v>
      </c>
      <c r="C153" s="82">
        <v>103537</v>
      </c>
      <c r="D153" s="93" t="s">
        <v>934</v>
      </c>
      <c r="E153" s="93">
        <v>66</v>
      </c>
      <c r="F153" s="93" t="str">
        <f>IF(E153&lt;=20,"0-19",
IF(E153&lt;=50,"20-49",
IF(E153&lt;=80,"50-79","80+")))</f>
        <v>50-79</v>
      </c>
      <c r="G153" s="93" t="s">
        <v>935</v>
      </c>
      <c r="H153" s="93" t="s">
        <v>22</v>
      </c>
      <c r="I153" s="93" t="s">
        <v>936</v>
      </c>
      <c r="J153" s="93" t="s">
        <v>2304</v>
      </c>
      <c r="K153" s="93" t="s">
        <v>289</v>
      </c>
      <c r="L153" s="93" t="s">
        <v>835</v>
      </c>
      <c r="M153" s="93">
        <v>3</v>
      </c>
      <c r="N153" s="94">
        <v>59130</v>
      </c>
      <c r="O153" s="82" t="s">
        <v>832</v>
      </c>
      <c r="P153" s="171"/>
      <c r="Q153" s="210"/>
    </row>
    <row r="154" spans="1:17" ht="21" x14ac:dyDescent="0.2">
      <c r="A154" s="139" t="s">
        <v>1503</v>
      </c>
      <c r="B154" s="93">
        <v>2021624</v>
      </c>
      <c r="C154" s="82">
        <v>55434</v>
      </c>
      <c r="D154" s="93" t="s">
        <v>976</v>
      </c>
      <c r="E154" s="93">
        <v>55</v>
      </c>
      <c r="F154" s="93" t="str">
        <f>IF(E154&lt;=20,"0-19",
IF(E154&lt;=50,"20-49",
IF(E154&lt;=80,"50-79","80+")))</f>
        <v>50-79</v>
      </c>
      <c r="G154" s="93" t="s">
        <v>977</v>
      </c>
      <c r="H154" s="93" t="s">
        <v>15</v>
      </c>
      <c r="I154" s="93" t="s">
        <v>978</v>
      </c>
      <c r="J154" s="93" t="s">
        <v>2304</v>
      </c>
      <c r="K154" s="93" t="s">
        <v>873</v>
      </c>
      <c r="L154" s="93" t="s">
        <v>880</v>
      </c>
      <c r="M154" s="93">
        <v>3</v>
      </c>
      <c r="N154" s="94">
        <v>85084</v>
      </c>
      <c r="O154" s="82" t="s">
        <v>832</v>
      </c>
      <c r="P154" s="171"/>
      <c r="Q154" s="210"/>
    </row>
    <row r="155" spans="1:17" ht="21" x14ac:dyDescent="0.2">
      <c r="A155" s="139" t="s">
        <v>155</v>
      </c>
      <c r="B155" s="92">
        <v>2407209</v>
      </c>
      <c r="C155" s="82">
        <v>58921</v>
      </c>
      <c r="D155" s="92" t="s">
        <v>864</v>
      </c>
      <c r="E155" s="92">
        <v>44</v>
      </c>
      <c r="F155" s="92" t="str">
        <f>IF(E155&lt;=20,"0-19",
IF(E155&lt;=50,"20-49",
IF(E155&lt;=80,"50-79","80+")))</f>
        <v>20-49</v>
      </c>
      <c r="G155" s="92" t="s">
        <v>1421</v>
      </c>
      <c r="H155" s="92" t="s">
        <v>15</v>
      </c>
      <c r="I155" s="92" t="s">
        <v>865</v>
      </c>
      <c r="J155" s="92" t="s">
        <v>2304</v>
      </c>
      <c r="K155" s="92" t="s">
        <v>860</v>
      </c>
      <c r="L155" s="92" t="s">
        <v>1260</v>
      </c>
      <c r="M155" s="92">
        <v>3</v>
      </c>
      <c r="N155" s="101">
        <v>83032</v>
      </c>
      <c r="O155" s="82" t="s">
        <v>832</v>
      </c>
      <c r="P155" s="170"/>
      <c r="Q155" s="210"/>
    </row>
    <row r="156" spans="1:17" x14ac:dyDescent="0.2">
      <c r="A156" s="104" t="s">
        <v>354</v>
      </c>
      <c r="B156" s="87">
        <v>2010295</v>
      </c>
      <c r="C156" s="87">
        <v>100193</v>
      </c>
      <c r="D156" s="87" t="s">
        <v>1633</v>
      </c>
      <c r="E156" s="87">
        <v>63</v>
      </c>
      <c r="F156" s="87" t="str">
        <f>IF(E156&lt;=20,"0-19",
IF(E156&lt;=50,"20-49",
IF(E156&lt;=80,"50-79","80+")))</f>
        <v>50-79</v>
      </c>
      <c r="G156" s="87" t="s">
        <v>1634</v>
      </c>
      <c r="H156" s="87" t="s">
        <v>15</v>
      </c>
      <c r="I156" s="86" t="s">
        <v>1635</v>
      </c>
      <c r="J156" s="86" t="s">
        <v>2304</v>
      </c>
      <c r="K156" s="87" t="s">
        <v>1543</v>
      </c>
      <c r="L156" s="87" t="s">
        <v>1551</v>
      </c>
      <c r="M156" s="87">
        <v>3</v>
      </c>
      <c r="N156" s="161">
        <v>41552.06</v>
      </c>
      <c r="O156" s="161" t="s">
        <v>2254</v>
      </c>
      <c r="P156" s="168">
        <v>254723975317</v>
      </c>
      <c r="Q156" s="210"/>
    </row>
    <row r="157" spans="1:17" x14ac:dyDescent="0.2">
      <c r="A157" s="139" t="s">
        <v>53</v>
      </c>
      <c r="B157" s="82">
        <v>2002779</v>
      </c>
      <c r="C157" s="82">
        <v>54318</v>
      </c>
      <c r="D157" s="82" t="s">
        <v>928</v>
      </c>
      <c r="E157" s="82">
        <v>70</v>
      </c>
      <c r="F157" s="82" t="str">
        <f>IF(E157&lt;=20,"0-19",
IF(E157&lt;=50,"20-49",
IF(E157&lt;=80,"50-79","80+")))</f>
        <v>50-79</v>
      </c>
      <c r="G157" s="82" t="s">
        <v>135</v>
      </c>
      <c r="H157" s="82" t="s">
        <v>22</v>
      </c>
      <c r="I157" s="92" t="s">
        <v>929</v>
      </c>
      <c r="J157" s="92" t="s">
        <v>2304</v>
      </c>
      <c r="K157" s="92" t="s">
        <v>896</v>
      </c>
      <c r="L157" s="82" t="s">
        <v>855</v>
      </c>
      <c r="M157" s="82">
        <v>3</v>
      </c>
      <c r="N157" s="84">
        <v>90023.64</v>
      </c>
      <c r="O157" s="82" t="s">
        <v>832</v>
      </c>
      <c r="P157" s="170"/>
      <c r="Q157" s="210"/>
    </row>
    <row r="158" spans="1:17" ht="31.5" x14ac:dyDescent="0.2">
      <c r="A158" s="108" t="s">
        <v>274</v>
      </c>
      <c r="B158" s="87">
        <v>2015037</v>
      </c>
      <c r="C158" s="87">
        <v>19683</v>
      </c>
      <c r="D158" s="87" t="s">
        <v>275</v>
      </c>
      <c r="E158" s="86">
        <v>61</v>
      </c>
      <c r="F158" s="86" t="str">
        <f>IF(E158&lt;=20,"0-19",
IF(E158&lt;=50,"20-49",
IF(E158&lt;=80,"50-79","80+")))</f>
        <v>50-79</v>
      </c>
      <c r="G158" s="87" t="s">
        <v>276</v>
      </c>
      <c r="H158" s="87" t="s">
        <v>22</v>
      </c>
      <c r="I158" s="87" t="s">
        <v>277</v>
      </c>
      <c r="J158" s="114" t="s">
        <v>2527</v>
      </c>
      <c r="K158" s="86" t="s">
        <v>278</v>
      </c>
      <c r="L158" s="86" t="s">
        <v>31</v>
      </c>
      <c r="M158" s="87">
        <v>3</v>
      </c>
      <c r="N158" s="97">
        <v>95262</v>
      </c>
      <c r="O158" s="87" t="s">
        <v>18</v>
      </c>
      <c r="P158" s="171"/>
      <c r="Q158" s="210"/>
    </row>
    <row r="159" spans="1:17" x14ac:dyDescent="0.2">
      <c r="A159" s="104" t="s">
        <v>72</v>
      </c>
      <c r="B159" s="87">
        <v>2013832</v>
      </c>
      <c r="C159" s="87">
        <v>15912</v>
      </c>
      <c r="D159" s="87" t="s">
        <v>282</v>
      </c>
      <c r="E159" s="86">
        <v>61</v>
      </c>
      <c r="F159" s="86" t="str">
        <f>IF(E159&lt;=20,"0-19",
IF(E159&lt;=50,"20-49",
IF(E159&lt;=80,"50-79","80+")))</f>
        <v>50-79</v>
      </c>
      <c r="G159" s="87" t="s">
        <v>283</v>
      </c>
      <c r="H159" s="87" t="s">
        <v>15</v>
      </c>
      <c r="I159" s="87" t="s">
        <v>284</v>
      </c>
      <c r="J159" s="87" t="s">
        <v>2328</v>
      </c>
      <c r="K159" s="86" t="s">
        <v>37</v>
      </c>
      <c r="L159" s="86" t="s">
        <v>141</v>
      </c>
      <c r="M159" s="87">
        <v>3</v>
      </c>
      <c r="N159" s="97">
        <v>467078.09</v>
      </c>
      <c r="O159" s="87" t="s">
        <v>18</v>
      </c>
      <c r="P159" s="171"/>
      <c r="Q159" s="210"/>
    </row>
    <row r="160" spans="1:17" x14ac:dyDescent="0.2">
      <c r="A160" s="139" t="s">
        <v>208</v>
      </c>
      <c r="B160" s="93">
        <v>2012902</v>
      </c>
      <c r="C160" s="82">
        <v>55794</v>
      </c>
      <c r="D160" s="93" t="s">
        <v>957</v>
      </c>
      <c r="E160" s="93">
        <v>63</v>
      </c>
      <c r="F160" s="93" t="str">
        <f>IF(E160&lt;=20,"0-19",
IF(E160&lt;=50,"20-49",
IF(E160&lt;=80,"50-79","80+")))</f>
        <v>50-79</v>
      </c>
      <c r="G160" s="92" t="s">
        <v>14</v>
      </c>
      <c r="H160" s="92" t="s">
        <v>15</v>
      </c>
      <c r="I160" s="93" t="s">
        <v>958</v>
      </c>
      <c r="J160" s="114" t="s">
        <v>2539</v>
      </c>
      <c r="K160" s="93" t="s">
        <v>901</v>
      </c>
      <c r="L160" s="92" t="s">
        <v>909</v>
      </c>
      <c r="M160" s="92">
        <v>3</v>
      </c>
      <c r="N160" s="94">
        <v>148005</v>
      </c>
      <c r="O160" s="82" t="s">
        <v>832</v>
      </c>
      <c r="P160" s="171"/>
      <c r="Q160" s="210"/>
    </row>
    <row r="161" spans="1:17" x14ac:dyDescent="0.2">
      <c r="A161" s="104" t="s">
        <v>1452</v>
      </c>
      <c r="B161" s="87">
        <v>2503198</v>
      </c>
      <c r="C161" s="87">
        <v>75071</v>
      </c>
      <c r="D161" s="87" t="s">
        <v>1579</v>
      </c>
      <c r="E161" s="183">
        <v>1.25</v>
      </c>
      <c r="F161" s="211" t="str">
        <f>IF(E161&lt;=20,"0-19",
IF(E161&lt;=50,"20-49",
IF(E161&lt;=80,"50-79","80+")))</f>
        <v>0-19</v>
      </c>
      <c r="G161" s="87" t="s">
        <v>1580</v>
      </c>
      <c r="H161" s="87" t="s">
        <v>88</v>
      </c>
      <c r="I161" s="86" t="s">
        <v>1581</v>
      </c>
      <c r="J161" s="114" t="s">
        <v>2311</v>
      </c>
      <c r="K161" s="87" t="s">
        <v>1542</v>
      </c>
      <c r="L161" s="87" t="s">
        <v>1556</v>
      </c>
      <c r="M161" s="87">
        <v>3</v>
      </c>
      <c r="N161" s="161">
        <v>15000</v>
      </c>
      <c r="O161" s="161" t="s">
        <v>2254</v>
      </c>
      <c r="P161" s="168">
        <v>254715509227</v>
      </c>
      <c r="Q161" s="210"/>
    </row>
    <row r="162" spans="1:17" x14ac:dyDescent="0.2">
      <c r="A162" s="139" t="s">
        <v>208</v>
      </c>
      <c r="B162" s="114">
        <v>2001925</v>
      </c>
      <c r="C162" s="113">
        <v>11055</v>
      </c>
      <c r="D162" s="114" t="s">
        <v>209</v>
      </c>
      <c r="E162" s="114">
        <v>70</v>
      </c>
      <c r="F162" s="114" t="str">
        <f>IF(E162&lt;=20,"0-19",
IF(E162&lt;=50,"20-49",
IF(E162&lt;=80,"50-79","80+")))</f>
        <v>50-79</v>
      </c>
      <c r="G162" s="114" t="s">
        <v>210</v>
      </c>
      <c r="H162" s="114" t="s">
        <v>22</v>
      </c>
      <c r="I162" s="114" t="s">
        <v>211</v>
      </c>
      <c r="J162" s="92" t="s">
        <v>2288</v>
      </c>
      <c r="K162" s="114" t="s">
        <v>104</v>
      </c>
      <c r="L162" s="111" t="s">
        <v>24</v>
      </c>
      <c r="M162" s="114">
        <v>3</v>
      </c>
      <c r="N162" s="116">
        <v>218615</v>
      </c>
      <c r="O162" s="87" t="s">
        <v>18</v>
      </c>
      <c r="P162" s="171"/>
      <c r="Q162" s="210"/>
    </row>
    <row r="163" spans="1:17" ht="21" x14ac:dyDescent="0.2">
      <c r="A163" s="139" t="s">
        <v>53</v>
      </c>
      <c r="B163" s="82">
        <v>2020238</v>
      </c>
      <c r="C163" s="82">
        <v>43253</v>
      </c>
      <c r="D163" s="82" t="s">
        <v>964</v>
      </c>
      <c r="E163" s="82">
        <v>62</v>
      </c>
      <c r="F163" s="82" t="str">
        <f>IF(E163&lt;=20,"0-19",
IF(E163&lt;=50,"20-49",
IF(E163&lt;=80,"50-79","80+")))</f>
        <v>50-79</v>
      </c>
      <c r="G163" s="82" t="s">
        <v>965</v>
      </c>
      <c r="H163" s="82" t="s">
        <v>15</v>
      </c>
      <c r="I163" s="82" t="s">
        <v>966</v>
      </c>
      <c r="J163" s="92" t="s">
        <v>2288</v>
      </c>
      <c r="K163" s="92" t="s">
        <v>967</v>
      </c>
      <c r="L163" s="92" t="s">
        <v>919</v>
      </c>
      <c r="M163" s="82">
        <v>3</v>
      </c>
      <c r="N163" s="84">
        <v>336560</v>
      </c>
      <c r="O163" s="82" t="s">
        <v>832</v>
      </c>
      <c r="P163" s="170"/>
      <c r="Q163" s="210"/>
    </row>
    <row r="164" spans="1:17" ht="21" x14ac:dyDescent="0.2">
      <c r="A164" s="139" t="s">
        <v>267</v>
      </c>
      <c r="B164" s="113">
        <v>2005735</v>
      </c>
      <c r="C164" s="113">
        <v>74055</v>
      </c>
      <c r="D164" s="114" t="s">
        <v>268</v>
      </c>
      <c r="E164" s="113">
        <v>17</v>
      </c>
      <c r="F164" s="113" t="str">
        <f>IF(E164&lt;=20,"0-19",
IF(E164&lt;=50,"20-49",
IF(E164&lt;=80,"50-79","80+")))</f>
        <v>0-19</v>
      </c>
      <c r="G164" s="113" t="s">
        <v>49</v>
      </c>
      <c r="H164" s="113" t="s">
        <v>132</v>
      </c>
      <c r="I164" s="114" t="s">
        <v>269</v>
      </c>
      <c r="J164" s="114" t="s">
        <v>2288</v>
      </c>
      <c r="K164" s="114" t="s">
        <v>270</v>
      </c>
      <c r="L164" s="113" t="s">
        <v>42</v>
      </c>
      <c r="M164" s="114">
        <v>3</v>
      </c>
      <c r="N164" s="115">
        <v>115518.16</v>
      </c>
      <c r="O164" s="87" t="s">
        <v>18</v>
      </c>
      <c r="P164" s="171"/>
      <c r="Q164" s="210"/>
    </row>
    <row r="165" spans="1:17" x14ac:dyDescent="0.2">
      <c r="A165" s="139" t="s">
        <v>19</v>
      </c>
      <c r="B165" s="87">
        <v>2001872</v>
      </c>
      <c r="C165" s="87">
        <v>13663</v>
      </c>
      <c r="D165" s="87" t="s">
        <v>105</v>
      </c>
      <c r="E165" s="86">
        <v>65</v>
      </c>
      <c r="F165" s="86" t="str">
        <f>IF(E165&lt;=20,"0-19",
IF(E165&lt;=50,"20-49",
IF(E165&lt;=80,"50-79","80+")))</f>
        <v>50-79</v>
      </c>
      <c r="G165" s="87" t="s">
        <v>106</v>
      </c>
      <c r="H165" s="87" t="s">
        <v>22</v>
      </c>
      <c r="I165" s="87" t="s">
        <v>197</v>
      </c>
      <c r="J165" s="87" t="s">
        <v>2288</v>
      </c>
      <c r="K165" s="86" t="s">
        <v>79</v>
      </c>
      <c r="L165" s="86" t="s">
        <v>94</v>
      </c>
      <c r="M165" s="87">
        <v>3</v>
      </c>
      <c r="N165" s="97">
        <v>88268</v>
      </c>
      <c r="O165" s="87" t="s">
        <v>18</v>
      </c>
      <c r="P165" s="171"/>
      <c r="Q165" s="210"/>
    </row>
    <row r="166" spans="1:17" x14ac:dyDescent="0.2">
      <c r="A166" s="104" t="s">
        <v>1606</v>
      </c>
      <c r="B166" s="87">
        <v>2009707</v>
      </c>
      <c r="C166" s="87">
        <v>14326</v>
      </c>
      <c r="D166" s="87" t="s">
        <v>1607</v>
      </c>
      <c r="E166" s="87">
        <v>68</v>
      </c>
      <c r="F166" s="87" t="str">
        <f>IF(E166&lt;=20,"0-19",
IF(E166&lt;=50,"20-49",
IF(E166&lt;=80,"50-79","80+")))</f>
        <v>50-79</v>
      </c>
      <c r="G166" s="87" t="s">
        <v>1608</v>
      </c>
      <c r="H166" s="87" t="s">
        <v>15</v>
      </c>
      <c r="I166" s="86" t="s">
        <v>1609</v>
      </c>
      <c r="J166" s="86" t="s">
        <v>2288</v>
      </c>
      <c r="K166" s="87" t="s">
        <v>1546</v>
      </c>
      <c r="L166" s="87" t="s">
        <v>1610</v>
      </c>
      <c r="M166" s="87">
        <v>3</v>
      </c>
      <c r="N166" s="161">
        <v>30440</v>
      </c>
      <c r="O166" s="161" t="s">
        <v>2254</v>
      </c>
      <c r="P166" s="168">
        <v>254711511665</v>
      </c>
      <c r="Q166" s="210"/>
    </row>
    <row r="167" spans="1:17" x14ac:dyDescent="0.2">
      <c r="A167" s="139" t="s">
        <v>53</v>
      </c>
      <c r="B167" s="82">
        <v>2014783</v>
      </c>
      <c r="C167" s="82">
        <v>100701</v>
      </c>
      <c r="D167" s="82" t="s">
        <v>1361</v>
      </c>
      <c r="E167" s="82">
        <v>61</v>
      </c>
      <c r="F167" s="82" t="str">
        <f>IF(E167&lt;=20,"0-19",
IF(E167&lt;=50,"20-49",
IF(E167&lt;=80,"50-79","80+")))</f>
        <v>50-79</v>
      </c>
      <c r="G167" s="82" t="s">
        <v>1362</v>
      </c>
      <c r="H167" s="82" t="s">
        <v>15</v>
      </c>
      <c r="I167" s="82" t="s">
        <v>1363</v>
      </c>
      <c r="J167" s="82" t="s">
        <v>2288</v>
      </c>
      <c r="K167" s="82" t="s">
        <v>1260</v>
      </c>
      <c r="L167" s="82" t="s">
        <v>1249</v>
      </c>
      <c r="M167" s="82">
        <v>3</v>
      </c>
      <c r="N167" s="84">
        <v>84812.43</v>
      </c>
      <c r="O167" s="82" t="s">
        <v>832</v>
      </c>
      <c r="P167" s="171"/>
      <c r="Q167" s="210"/>
    </row>
    <row r="168" spans="1:17" ht="21" x14ac:dyDescent="0.2">
      <c r="A168" s="104" t="s">
        <v>373</v>
      </c>
      <c r="B168" s="86">
        <v>2009449</v>
      </c>
      <c r="C168" s="87">
        <v>17555</v>
      </c>
      <c r="D168" s="86" t="s">
        <v>2198</v>
      </c>
      <c r="E168" s="86">
        <v>67</v>
      </c>
      <c r="F168" s="86" t="str">
        <f>IF(E168&lt;=20,"0-19",
IF(E168&lt;=50,"20-49",
IF(E168&lt;=80,"50-79","80+")))</f>
        <v>50-79</v>
      </c>
      <c r="G168" s="86" t="s">
        <v>2199</v>
      </c>
      <c r="H168" s="86" t="s">
        <v>15</v>
      </c>
      <c r="I168" s="86" t="s">
        <v>2200</v>
      </c>
      <c r="J168" s="86" t="s">
        <v>2288</v>
      </c>
      <c r="K168" s="86" t="s">
        <v>1923</v>
      </c>
      <c r="L168" s="88" t="s">
        <v>1906</v>
      </c>
      <c r="M168" s="86">
        <v>3</v>
      </c>
      <c r="N168" s="163">
        <v>248222.88</v>
      </c>
      <c r="O168" s="163" t="s">
        <v>2254</v>
      </c>
      <c r="P168" s="168">
        <v>254720659401</v>
      </c>
      <c r="Q168" s="210"/>
    </row>
    <row r="169" spans="1:17" ht="21" x14ac:dyDescent="0.2">
      <c r="A169" s="108" t="s">
        <v>1459</v>
      </c>
      <c r="B169" s="87">
        <v>2013670</v>
      </c>
      <c r="C169" s="87">
        <v>11644</v>
      </c>
      <c r="D169" s="87" t="s">
        <v>1973</v>
      </c>
      <c r="E169" s="87">
        <v>64</v>
      </c>
      <c r="F169" s="87" t="str">
        <f>IF(E169&lt;=20,"0-19",
IF(E169&lt;=50,"20-49",
IF(E169&lt;=80,"50-79","80+")))</f>
        <v>50-79</v>
      </c>
      <c r="G169" s="87" t="s">
        <v>1974</v>
      </c>
      <c r="H169" s="87" t="s">
        <v>15</v>
      </c>
      <c r="I169" s="87" t="s">
        <v>1975</v>
      </c>
      <c r="J169" s="87" t="s">
        <v>2288</v>
      </c>
      <c r="K169" s="86" t="s">
        <v>1976</v>
      </c>
      <c r="L169" s="87" t="s">
        <v>1928</v>
      </c>
      <c r="M169" s="87">
        <v>3</v>
      </c>
      <c r="N169" s="161">
        <v>33655</v>
      </c>
      <c r="O169" s="161" t="s">
        <v>2254</v>
      </c>
      <c r="P169" s="168">
        <v>254722111751</v>
      </c>
      <c r="Q169" s="210"/>
    </row>
    <row r="170" spans="1:17" x14ac:dyDescent="0.2">
      <c r="A170" s="139" t="s">
        <v>1482</v>
      </c>
      <c r="B170" s="82">
        <v>2007595</v>
      </c>
      <c r="C170" s="82">
        <v>17708</v>
      </c>
      <c r="D170" s="82" t="s">
        <v>852</v>
      </c>
      <c r="E170" s="82">
        <v>65</v>
      </c>
      <c r="F170" s="82" t="str">
        <f>IF(E170&lt;=20,"0-19",
IF(E170&lt;=50,"20-49",
IF(E170&lt;=80,"50-79","80+")))</f>
        <v>50-79</v>
      </c>
      <c r="G170" s="82" t="s">
        <v>1499</v>
      </c>
      <c r="H170" s="82" t="s">
        <v>15</v>
      </c>
      <c r="I170" s="82" t="s">
        <v>1500</v>
      </c>
      <c r="J170" s="82" t="s">
        <v>2288</v>
      </c>
      <c r="K170" s="82" t="s">
        <v>1249</v>
      </c>
      <c r="L170" s="82" t="s">
        <v>1231</v>
      </c>
      <c r="M170" s="82">
        <v>3</v>
      </c>
      <c r="N170" s="84">
        <v>68426</v>
      </c>
      <c r="O170" s="82" t="s">
        <v>832</v>
      </c>
      <c r="P170" s="170"/>
      <c r="Q170" s="210"/>
    </row>
    <row r="171" spans="1:17" x14ac:dyDescent="0.2">
      <c r="A171" s="105" t="s">
        <v>1810</v>
      </c>
      <c r="B171" s="82">
        <v>2022238</v>
      </c>
      <c r="C171" s="82">
        <v>60548</v>
      </c>
      <c r="D171" s="82" t="s">
        <v>1811</v>
      </c>
      <c r="E171" s="82">
        <v>62</v>
      </c>
      <c r="F171" s="82" t="str">
        <f>IF(E171&lt;=20,"0-19",
IF(E171&lt;=50,"20-49",
IF(E171&lt;=80,"50-79","80+")))</f>
        <v>50-79</v>
      </c>
      <c r="G171" s="82" t="s">
        <v>1812</v>
      </c>
      <c r="H171" s="82" t="s">
        <v>22</v>
      </c>
      <c r="I171" s="92" t="s">
        <v>1813</v>
      </c>
      <c r="J171" s="92" t="s">
        <v>2288</v>
      </c>
      <c r="K171" s="82" t="s">
        <v>1814</v>
      </c>
      <c r="L171" s="82" t="s">
        <v>1610</v>
      </c>
      <c r="M171" s="82">
        <v>3</v>
      </c>
      <c r="N171" s="151">
        <v>289814.13</v>
      </c>
      <c r="O171" s="151" t="s">
        <v>2254</v>
      </c>
      <c r="P171" s="152">
        <v>254722845819</v>
      </c>
      <c r="Q171" s="210"/>
    </row>
    <row r="172" spans="1:17" ht="21" x14ac:dyDescent="0.2">
      <c r="A172" s="139" t="s">
        <v>889</v>
      </c>
      <c r="B172" s="92">
        <v>2021140</v>
      </c>
      <c r="C172" s="92">
        <v>15630</v>
      </c>
      <c r="D172" s="92" t="s">
        <v>973</v>
      </c>
      <c r="E172" s="92">
        <v>54</v>
      </c>
      <c r="F172" s="92" t="str">
        <f>IF(E172&lt;=20,"0-19",
IF(E172&lt;=50,"20-49",
IF(E172&lt;=80,"50-79","80+")))</f>
        <v>50-79</v>
      </c>
      <c r="G172" s="92" t="s">
        <v>49</v>
      </c>
      <c r="H172" s="92" t="s">
        <v>15</v>
      </c>
      <c r="I172" s="92" t="s">
        <v>974</v>
      </c>
      <c r="J172" s="92" t="s">
        <v>2288</v>
      </c>
      <c r="K172" s="92" t="s">
        <v>975</v>
      </c>
      <c r="L172" s="93" t="s">
        <v>835</v>
      </c>
      <c r="M172" s="92">
        <v>3</v>
      </c>
      <c r="N172" s="101">
        <v>253940</v>
      </c>
      <c r="O172" s="82" t="s">
        <v>832</v>
      </c>
      <c r="P172" s="171"/>
      <c r="Q172" s="210"/>
    </row>
    <row r="173" spans="1:17" x14ac:dyDescent="0.2">
      <c r="A173" s="105" t="s">
        <v>544</v>
      </c>
      <c r="B173" s="82">
        <v>2602004</v>
      </c>
      <c r="C173" s="82">
        <v>62092</v>
      </c>
      <c r="D173" s="82" t="s">
        <v>1021</v>
      </c>
      <c r="E173" s="82">
        <v>59</v>
      </c>
      <c r="F173" s="82" t="str">
        <f>IF(E173&lt;=20,"0-19",
IF(E173&lt;=50,"20-49",
IF(E173&lt;=80,"50-79","80+")))</f>
        <v>50-79</v>
      </c>
      <c r="G173" s="82" t="s">
        <v>1022</v>
      </c>
      <c r="H173" s="82" t="s">
        <v>22</v>
      </c>
      <c r="I173" s="92" t="s">
        <v>1781</v>
      </c>
      <c r="J173" s="92" t="s">
        <v>2288</v>
      </c>
      <c r="K173" s="82" t="s">
        <v>1589</v>
      </c>
      <c r="L173" s="82" t="s">
        <v>1559</v>
      </c>
      <c r="M173" s="82">
        <v>3</v>
      </c>
      <c r="N173" s="151">
        <v>237918</v>
      </c>
      <c r="O173" s="151" t="s">
        <v>2254</v>
      </c>
      <c r="P173" s="152">
        <v>254722422235</v>
      </c>
      <c r="Q173" s="210"/>
    </row>
    <row r="174" spans="1:17" x14ac:dyDescent="0.2">
      <c r="A174" s="105" t="s">
        <v>515</v>
      </c>
      <c r="B174" s="92">
        <v>2002987</v>
      </c>
      <c r="C174" s="82">
        <v>60750</v>
      </c>
      <c r="D174" s="92" t="s">
        <v>1724</v>
      </c>
      <c r="E174" s="92">
        <v>51</v>
      </c>
      <c r="F174" s="92" t="str">
        <f>IF(E174&lt;=20,"0-19",
IF(E174&lt;=50,"20-49",
IF(E174&lt;=80,"50-79","80+")))</f>
        <v>50-79</v>
      </c>
      <c r="G174" s="92" t="s">
        <v>1067</v>
      </c>
      <c r="H174" s="92" t="s">
        <v>22</v>
      </c>
      <c r="I174" s="92" t="s">
        <v>1725</v>
      </c>
      <c r="J174" s="92" t="s">
        <v>2288</v>
      </c>
      <c r="K174" s="92" t="s">
        <v>1254</v>
      </c>
      <c r="L174" s="92" t="s">
        <v>1562</v>
      </c>
      <c r="M174" s="93">
        <v>3</v>
      </c>
      <c r="N174" s="159">
        <v>109828</v>
      </c>
      <c r="O174" s="159" t="s">
        <v>2254</v>
      </c>
      <c r="P174" s="152">
        <v>254722881608</v>
      </c>
      <c r="Q174" s="210"/>
    </row>
    <row r="175" spans="1:17" x14ac:dyDescent="0.2">
      <c r="A175" s="139" t="s">
        <v>58</v>
      </c>
      <c r="B175" s="82">
        <v>2004386</v>
      </c>
      <c r="C175" s="82">
        <v>13390</v>
      </c>
      <c r="D175" s="82" t="s">
        <v>1380</v>
      </c>
      <c r="E175" s="82">
        <v>65</v>
      </c>
      <c r="F175" s="82" t="str">
        <f>IF(E175&lt;=20,"0-19",
IF(E175&lt;=50,"20-49",
IF(E175&lt;=80,"50-79","80+")))</f>
        <v>50-79</v>
      </c>
      <c r="G175" s="82" t="s">
        <v>1381</v>
      </c>
      <c r="H175" s="82" t="s">
        <v>22</v>
      </c>
      <c r="I175" s="92" t="s">
        <v>1382</v>
      </c>
      <c r="J175" s="92" t="s">
        <v>2288</v>
      </c>
      <c r="K175" s="92" t="s">
        <v>1288</v>
      </c>
      <c r="L175" s="92" t="s">
        <v>1242</v>
      </c>
      <c r="M175" s="82">
        <v>3</v>
      </c>
      <c r="N175" s="84">
        <v>61539</v>
      </c>
      <c r="O175" s="82" t="s">
        <v>832</v>
      </c>
      <c r="P175" s="171"/>
      <c r="Q175" s="210"/>
    </row>
    <row r="176" spans="1:17" ht="21" x14ac:dyDescent="0.2">
      <c r="A176" s="139" t="s">
        <v>562</v>
      </c>
      <c r="B176" s="92">
        <v>2011543</v>
      </c>
      <c r="C176" s="82">
        <v>9552</v>
      </c>
      <c r="D176" s="92" t="s">
        <v>953</v>
      </c>
      <c r="E176" s="92">
        <v>21</v>
      </c>
      <c r="F176" s="92" t="str">
        <f>IF(E176&lt;=20,"0-19",
IF(E176&lt;=50,"20-49",
IF(E176&lt;=80,"50-79","80+")))</f>
        <v>20-49</v>
      </c>
      <c r="G176" s="92" t="s">
        <v>954</v>
      </c>
      <c r="H176" s="92" t="s">
        <v>955</v>
      </c>
      <c r="I176" s="92" t="s">
        <v>956</v>
      </c>
      <c r="J176" s="92" t="s">
        <v>2288</v>
      </c>
      <c r="K176" s="92" t="s">
        <v>835</v>
      </c>
      <c r="L176" s="93" t="s">
        <v>843</v>
      </c>
      <c r="M176" s="92">
        <v>3</v>
      </c>
      <c r="N176" s="101">
        <v>56677</v>
      </c>
      <c r="O176" s="82" t="s">
        <v>832</v>
      </c>
      <c r="P176" s="171"/>
      <c r="Q176" s="210"/>
    </row>
    <row r="177" spans="1:17" x14ac:dyDescent="0.2">
      <c r="A177" s="138" t="s">
        <v>249</v>
      </c>
      <c r="B177" s="111">
        <v>2003623</v>
      </c>
      <c r="C177" s="111">
        <v>10135</v>
      </c>
      <c r="D177" s="111" t="s">
        <v>250</v>
      </c>
      <c r="E177" s="111">
        <v>60</v>
      </c>
      <c r="F177" s="111" t="str">
        <f>IF(E177&lt;=20,"0-19",
IF(E177&lt;=50,"20-49",
IF(E177&lt;=80,"50-79","80+")))</f>
        <v>50-79</v>
      </c>
      <c r="G177" s="111" t="s">
        <v>251</v>
      </c>
      <c r="H177" s="111" t="s">
        <v>22</v>
      </c>
      <c r="I177" s="111" t="s">
        <v>252</v>
      </c>
      <c r="J177" s="114" t="s">
        <v>2421</v>
      </c>
      <c r="K177" s="111" t="s">
        <v>103</v>
      </c>
      <c r="L177" s="111" t="s">
        <v>46</v>
      </c>
      <c r="M177" s="111">
        <v>3</v>
      </c>
      <c r="N177" s="112">
        <v>100000</v>
      </c>
      <c r="O177" s="87" t="s">
        <v>18</v>
      </c>
      <c r="P177" s="171"/>
      <c r="Q177" s="210"/>
    </row>
    <row r="178" spans="1:17" x14ac:dyDescent="0.2">
      <c r="A178" s="139" t="s">
        <v>874</v>
      </c>
      <c r="B178" s="92">
        <v>2020728</v>
      </c>
      <c r="C178" s="92">
        <v>55582</v>
      </c>
      <c r="D178" s="92" t="s">
        <v>971</v>
      </c>
      <c r="E178" s="92">
        <v>62</v>
      </c>
      <c r="F178" s="92" t="str">
        <f>IF(E178&lt;=20,"0-19",
IF(E178&lt;=50,"20-49",
IF(E178&lt;=80,"50-79","80+")))</f>
        <v>50-79</v>
      </c>
      <c r="G178" s="92" t="s">
        <v>894</v>
      </c>
      <c r="H178" s="92" t="s">
        <v>22</v>
      </c>
      <c r="I178" s="92" t="s">
        <v>972</v>
      </c>
      <c r="J178" s="92" t="s">
        <v>2295</v>
      </c>
      <c r="K178" s="92" t="s">
        <v>193</v>
      </c>
      <c r="L178" s="93" t="s">
        <v>873</v>
      </c>
      <c r="M178" s="92">
        <v>3</v>
      </c>
      <c r="N178" s="101">
        <v>75372</v>
      </c>
      <c r="O178" s="82" t="s">
        <v>832</v>
      </c>
      <c r="P178" s="170"/>
      <c r="Q178" s="210"/>
    </row>
    <row r="179" spans="1:17" ht="21" x14ac:dyDescent="0.2">
      <c r="A179" s="139" t="s">
        <v>923</v>
      </c>
      <c r="B179" s="93">
        <v>2001511</v>
      </c>
      <c r="C179" s="82">
        <v>18974</v>
      </c>
      <c r="D179" s="93" t="s">
        <v>924</v>
      </c>
      <c r="E179" s="93">
        <v>56</v>
      </c>
      <c r="F179" s="93" t="str">
        <f>IF(E179&lt;=20,"0-19",
IF(E179&lt;=50,"20-49",
IF(E179&lt;=80,"50-79","80+")))</f>
        <v>50-79</v>
      </c>
      <c r="G179" s="93" t="s">
        <v>925</v>
      </c>
      <c r="H179" s="93" t="s">
        <v>22</v>
      </c>
      <c r="I179" s="93" t="s">
        <v>926</v>
      </c>
      <c r="J179" s="93" t="s">
        <v>2295</v>
      </c>
      <c r="K179" s="93" t="s">
        <v>927</v>
      </c>
      <c r="L179" s="93" t="s">
        <v>880</v>
      </c>
      <c r="M179" s="93">
        <v>3</v>
      </c>
      <c r="N179" s="94">
        <v>636441.79</v>
      </c>
      <c r="O179" s="82" t="s">
        <v>832</v>
      </c>
      <c r="P179" s="171"/>
      <c r="Q179" s="210"/>
    </row>
    <row r="180" spans="1:17" x14ac:dyDescent="0.2">
      <c r="A180" s="139" t="s">
        <v>58</v>
      </c>
      <c r="B180" s="82">
        <v>2020764</v>
      </c>
      <c r="C180" s="82">
        <v>42528</v>
      </c>
      <c r="D180" s="82" t="s">
        <v>1377</v>
      </c>
      <c r="E180" s="82">
        <v>64</v>
      </c>
      <c r="F180" s="82" t="str">
        <f>IF(E180&lt;=20,"0-19",
IF(E180&lt;=50,"20-49",
IF(E180&lt;=80,"50-79","80+")))</f>
        <v>50-79</v>
      </c>
      <c r="G180" s="82" t="s">
        <v>1378</v>
      </c>
      <c r="H180" s="82" t="s">
        <v>22</v>
      </c>
      <c r="I180" s="82" t="s">
        <v>1379</v>
      </c>
      <c r="J180" s="82" t="s">
        <v>2295</v>
      </c>
      <c r="K180" s="82" t="s">
        <v>1260</v>
      </c>
      <c r="L180" s="82" t="s">
        <v>1288</v>
      </c>
      <c r="M180" s="82">
        <v>3</v>
      </c>
      <c r="N180" s="84">
        <v>404929</v>
      </c>
      <c r="O180" s="82" t="s">
        <v>832</v>
      </c>
      <c r="P180" s="170"/>
      <c r="Q180" s="210"/>
    </row>
    <row r="181" spans="1:17" x14ac:dyDescent="0.2">
      <c r="A181" s="103" t="s">
        <v>129</v>
      </c>
      <c r="B181" s="82">
        <v>2407508</v>
      </c>
      <c r="C181" s="82">
        <v>57704</v>
      </c>
      <c r="D181" s="82" t="s">
        <v>225</v>
      </c>
      <c r="E181" s="92">
        <v>61</v>
      </c>
      <c r="F181" s="92" t="str">
        <f>IF(E181&lt;=20,"0-19",
IF(E181&lt;=50,"20-49",
IF(E181&lt;=80,"50-79","80+")))</f>
        <v>50-79</v>
      </c>
      <c r="G181" s="82" t="s">
        <v>226</v>
      </c>
      <c r="H181" s="82" t="s">
        <v>22</v>
      </c>
      <c r="I181" s="82" t="s">
        <v>227</v>
      </c>
      <c r="J181" s="82" t="s">
        <v>2295</v>
      </c>
      <c r="K181" s="92" t="s">
        <v>62</v>
      </c>
      <c r="L181" s="92" t="s">
        <v>108</v>
      </c>
      <c r="M181" s="82">
        <v>3</v>
      </c>
      <c r="N181" s="101">
        <v>266375</v>
      </c>
      <c r="O181" s="82" t="s">
        <v>18</v>
      </c>
      <c r="P181" s="170"/>
      <c r="Q181" s="210"/>
    </row>
    <row r="182" spans="1:17" x14ac:dyDescent="0.2">
      <c r="A182" s="105" t="s">
        <v>72</v>
      </c>
      <c r="B182" s="82">
        <v>2005052</v>
      </c>
      <c r="C182" s="82">
        <v>13711</v>
      </c>
      <c r="D182" s="82" t="s">
        <v>279</v>
      </c>
      <c r="E182" s="92">
        <v>57</v>
      </c>
      <c r="F182" s="92" t="str">
        <f>IF(E182&lt;=20,"0-19",
IF(E182&lt;=50,"20-49",
IF(E182&lt;=80,"50-79","80+")))</f>
        <v>50-79</v>
      </c>
      <c r="G182" s="82" t="s">
        <v>280</v>
      </c>
      <c r="H182" s="82" t="s">
        <v>15</v>
      </c>
      <c r="I182" s="82" t="s">
        <v>281</v>
      </c>
      <c r="J182" s="82" t="s">
        <v>2295</v>
      </c>
      <c r="K182" s="92" t="s">
        <v>37</v>
      </c>
      <c r="L182" s="92" t="s">
        <v>141</v>
      </c>
      <c r="M182" s="82">
        <v>3</v>
      </c>
      <c r="N182" s="101">
        <v>286504.59999999998</v>
      </c>
      <c r="O182" s="82" t="s">
        <v>18</v>
      </c>
      <c r="P182" s="170"/>
      <c r="Q182" s="210"/>
    </row>
    <row r="183" spans="1:17" x14ac:dyDescent="0.2">
      <c r="A183" s="139" t="s">
        <v>1502</v>
      </c>
      <c r="B183" s="82">
        <v>2020636</v>
      </c>
      <c r="C183" s="82">
        <v>18572</v>
      </c>
      <c r="D183" s="82" t="s">
        <v>968</v>
      </c>
      <c r="E183" s="82">
        <v>63</v>
      </c>
      <c r="F183" s="82" t="str">
        <f>IF(E183&lt;=20,"0-19",
IF(E183&lt;=50,"20-49",
IF(E183&lt;=80,"50-79","80+")))</f>
        <v>50-79</v>
      </c>
      <c r="G183" s="82" t="s">
        <v>969</v>
      </c>
      <c r="H183" s="82" t="s">
        <v>22</v>
      </c>
      <c r="I183" s="92" t="s">
        <v>970</v>
      </c>
      <c r="J183" s="92" t="s">
        <v>2295</v>
      </c>
      <c r="K183" s="92" t="s">
        <v>831</v>
      </c>
      <c r="L183" s="82" t="s">
        <v>901</v>
      </c>
      <c r="M183" s="82">
        <v>3</v>
      </c>
      <c r="N183" s="84">
        <v>127240</v>
      </c>
      <c r="O183" s="82" t="s">
        <v>832</v>
      </c>
      <c r="P183" s="171"/>
      <c r="Q183" s="210"/>
    </row>
    <row r="184" spans="1:17" ht="21" x14ac:dyDescent="0.2">
      <c r="A184" s="103" t="s">
        <v>212</v>
      </c>
      <c r="B184" s="82">
        <v>2003111</v>
      </c>
      <c r="C184" s="82">
        <v>53272</v>
      </c>
      <c r="D184" s="82" t="s">
        <v>59</v>
      </c>
      <c r="E184" s="92">
        <v>67</v>
      </c>
      <c r="F184" s="92" t="str">
        <f>IF(E184&lt;=20,"0-19",
IF(E184&lt;=50,"20-49",
IF(E184&lt;=80,"50-79","80+")))</f>
        <v>50-79</v>
      </c>
      <c r="G184" s="82" t="s">
        <v>213</v>
      </c>
      <c r="H184" s="82" t="s">
        <v>22</v>
      </c>
      <c r="I184" s="82" t="s">
        <v>214</v>
      </c>
      <c r="J184" s="82" t="s">
        <v>2295</v>
      </c>
      <c r="K184" s="92" t="s">
        <v>215</v>
      </c>
      <c r="L184" s="92" t="s">
        <v>66</v>
      </c>
      <c r="M184" s="82">
        <v>3</v>
      </c>
      <c r="N184" s="101">
        <v>30457</v>
      </c>
      <c r="O184" s="82" t="s">
        <v>18</v>
      </c>
      <c r="P184" s="170"/>
      <c r="Q184" s="210"/>
    </row>
    <row r="185" spans="1:17" x14ac:dyDescent="0.2">
      <c r="A185" s="139" t="s">
        <v>63</v>
      </c>
      <c r="B185" s="82">
        <v>2602058</v>
      </c>
      <c r="C185" s="82">
        <v>65446</v>
      </c>
      <c r="D185" s="82" t="s">
        <v>1392</v>
      </c>
      <c r="E185" s="82">
        <v>61</v>
      </c>
      <c r="F185" s="82" t="str">
        <f>IF(E185&lt;=20,"0-19",
IF(E185&lt;=50,"20-49",
IF(E185&lt;=80,"50-79","80+")))</f>
        <v>50-79</v>
      </c>
      <c r="G185" s="82" t="s">
        <v>1393</v>
      </c>
      <c r="H185" s="82" t="s">
        <v>22</v>
      </c>
      <c r="I185" s="92" t="s">
        <v>1394</v>
      </c>
      <c r="J185" s="92" t="s">
        <v>2295</v>
      </c>
      <c r="K185" s="92" t="s">
        <v>1236</v>
      </c>
      <c r="L185" s="92" t="s">
        <v>1241</v>
      </c>
      <c r="M185" s="82">
        <v>3</v>
      </c>
      <c r="N185" s="84">
        <v>357533</v>
      </c>
      <c r="O185" s="82" t="s">
        <v>832</v>
      </c>
      <c r="P185" s="170"/>
      <c r="Q185" s="210"/>
    </row>
    <row r="186" spans="1:17" ht="21" x14ac:dyDescent="0.2">
      <c r="A186" s="107" t="s">
        <v>198</v>
      </c>
      <c r="B186" s="82">
        <v>2022970</v>
      </c>
      <c r="C186" s="82">
        <v>59899</v>
      </c>
      <c r="D186" s="82" t="s">
        <v>205</v>
      </c>
      <c r="E186" s="92">
        <v>63</v>
      </c>
      <c r="F186" s="92" t="str">
        <f>IF(E186&lt;=20,"0-19",
IF(E186&lt;=50,"20-49",
IF(E186&lt;=80,"50-79","80+")))</f>
        <v>50-79</v>
      </c>
      <c r="G186" s="82" t="s">
        <v>60</v>
      </c>
      <c r="H186" s="82" t="s">
        <v>22</v>
      </c>
      <c r="I186" s="82" t="s">
        <v>206</v>
      </c>
      <c r="J186" s="82" t="s">
        <v>2295</v>
      </c>
      <c r="K186" s="92" t="s">
        <v>207</v>
      </c>
      <c r="L186" s="92" t="s">
        <v>193</v>
      </c>
      <c r="M186" s="82">
        <v>3</v>
      </c>
      <c r="N186" s="101">
        <v>48100</v>
      </c>
      <c r="O186" s="82" t="s">
        <v>18</v>
      </c>
      <c r="P186" s="170"/>
      <c r="Q186" s="210"/>
    </row>
    <row r="187" spans="1:17" x14ac:dyDescent="0.2">
      <c r="A187" s="139" t="s">
        <v>208</v>
      </c>
      <c r="B187" s="82">
        <v>2011255</v>
      </c>
      <c r="C187" s="82">
        <v>11055</v>
      </c>
      <c r="D187" s="82" t="s">
        <v>950</v>
      </c>
      <c r="E187" s="82">
        <v>20</v>
      </c>
      <c r="F187" s="82" t="str">
        <f>IF(E187&lt;=20,"0-19",
IF(E187&lt;=50,"20-49",
IF(E187&lt;=80,"50-79","80+")))</f>
        <v>0-19</v>
      </c>
      <c r="G187" s="82" t="s">
        <v>951</v>
      </c>
      <c r="H187" s="82" t="s">
        <v>132</v>
      </c>
      <c r="I187" s="92" t="s">
        <v>952</v>
      </c>
      <c r="J187" s="92" t="s">
        <v>2270</v>
      </c>
      <c r="K187" s="92" t="s">
        <v>190</v>
      </c>
      <c r="L187" s="82" t="s">
        <v>834</v>
      </c>
      <c r="M187" s="82">
        <v>3</v>
      </c>
      <c r="N187" s="84">
        <v>132500</v>
      </c>
      <c r="O187" s="82" t="s">
        <v>832</v>
      </c>
      <c r="P187" s="171"/>
      <c r="Q187" s="210"/>
    </row>
    <row r="188" spans="1:17" ht="21" x14ac:dyDescent="0.2">
      <c r="A188" s="138" t="s">
        <v>249</v>
      </c>
      <c r="B188" s="111">
        <v>2011690</v>
      </c>
      <c r="C188" s="111">
        <v>6844</v>
      </c>
      <c r="D188" s="111" t="s">
        <v>253</v>
      </c>
      <c r="E188" s="111">
        <v>67</v>
      </c>
      <c r="F188" s="111" t="str">
        <f>IF(E188&lt;=20,"0-19",
IF(E188&lt;=50,"20-49",
IF(E188&lt;=80,"50-79","80+")))</f>
        <v>50-79</v>
      </c>
      <c r="G188" s="111" t="s">
        <v>254</v>
      </c>
      <c r="H188" s="111" t="s">
        <v>15</v>
      </c>
      <c r="I188" s="111" t="s">
        <v>255</v>
      </c>
      <c r="J188" s="114" t="s">
        <v>2288</v>
      </c>
      <c r="K188" s="111" t="s">
        <v>2259</v>
      </c>
      <c r="L188" s="111" t="s">
        <v>46</v>
      </c>
      <c r="M188" s="111">
        <v>3</v>
      </c>
      <c r="N188" s="112">
        <v>106968</v>
      </c>
      <c r="O188" s="82" t="s">
        <v>18</v>
      </c>
      <c r="P188" s="170"/>
      <c r="Q188" s="210"/>
    </row>
    <row r="189" spans="1:17" x14ac:dyDescent="0.2">
      <c r="A189" s="106" t="s">
        <v>198</v>
      </c>
      <c r="B189" s="87">
        <v>2505128</v>
      </c>
      <c r="C189" s="87">
        <v>13883</v>
      </c>
      <c r="D189" s="87" t="s">
        <v>202</v>
      </c>
      <c r="E189" s="86">
        <v>66</v>
      </c>
      <c r="F189" s="86" t="str">
        <f>IF(E189&lt;=20,"0-19",
IF(E189&lt;=50,"20-49",
IF(E189&lt;=80,"50-79","80+")))</f>
        <v>50-79</v>
      </c>
      <c r="G189" s="87" t="s">
        <v>203</v>
      </c>
      <c r="H189" s="87" t="s">
        <v>22</v>
      </c>
      <c r="I189" s="87" t="s">
        <v>204</v>
      </c>
      <c r="J189" s="114" t="s">
        <v>2546</v>
      </c>
      <c r="K189" s="86" t="s">
        <v>94</v>
      </c>
      <c r="L189" s="86" t="s">
        <v>66</v>
      </c>
      <c r="M189" s="87">
        <v>3</v>
      </c>
      <c r="N189" s="97">
        <v>70060</v>
      </c>
      <c r="O189" s="87" t="s">
        <v>18</v>
      </c>
      <c r="P189" s="171"/>
      <c r="Q189" s="210"/>
    </row>
    <row r="190" spans="1:17" x14ac:dyDescent="0.2">
      <c r="A190" s="138" t="s">
        <v>109</v>
      </c>
      <c r="B190" s="111">
        <v>2018563</v>
      </c>
      <c r="C190" s="111">
        <v>32126</v>
      </c>
      <c r="D190" s="111" t="s">
        <v>216</v>
      </c>
      <c r="E190" s="111">
        <v>64</v>
      </c>
      <c r="F190" s="111" t="str">
        <f>IF(E190&lt;=20,"0-19",
IF(E190&lt;=50,"20-49",
IF(E190&lt;=80,"50-79","80+")))</f>
        <v>50-79</v>
      </c>
      <c r="G190" s="111" t="s">
        <v>217</v>
      </c>
      <c r="H190" s="111" t="s">
        <v>22</v>
      </c>
      <c r="I190" s="111" t="s">
        <v>149</v>
      </c>
      <c r="J190" s="114" t="s">
        <v>2546</v>
      </c>
      <c r="K190" s="111" t="s">
        <v>103</v>
      </c>
      <c r="L190" s="111" t="s">
        <v>46</v>
      </c>
      <c r="M190" s="111">
        <v>3</v>
      </c>
      <c r="N190" s="112">
        <v>98901</v>
      </c>
      <c r="O190" s="87" t="s">
        <v>18</v>
      </c>
      <c r="P190" s="171"/>
      <c r="Q190" s="210"/>
    </row>
    <row r="191" spans="1:17" x14ac:dyDescent="0.2">
      <c r="A191" s="106" t="s">
        <v>221</v>
      </c>
      <c r="B191" s="87">
        <v>2403101</v>
      </c>
      <c r="C191" s="87">
        <v>90937</v>
      </c>
      <c r="D191" s="87" t="s">
        <v>222</v>
      </c>
      <c r="E191" s="86">
        <v>36</v>
      </c>
      <c r="F191" s="86" t="str">
        <f>IF(E191&lt;=20,"0-19",
IF(E191&lt;=50,"20-49",
IF(E191&lt;=80,"50-79","80+")))</f>
        <v>20-49</v>
      </c>
      <c r="G191" s="87" t="s">
        <v>223</v>
      </c>
      <c r="H191" s="87" t="s">
        <v>15</v>
      </c>
      <c r="I191" s="87" t="s">
        <v>224</v>
      </c>
      <c r="J191" s="114" t="s">
        <v>2546</v>
      </c>
      <c r="K191" s="86" t="s">
        <v>78</v>
      </c>
      <c r="L191" s="86" t="s">
        <v>154</v>
      </c>
      <c r="M191" s="87">
        <v>3</v>
      </c>
      <c r="N191" s="97">
        <v>92981.61</v>
      </c>
      <c r="O191" s="87" t="s">
        <v>18</v>
      </c>
      <c r="P191" s="171"/>
      <c r="Q191" s="210"/>
    </row>
    <row r="192" spans="1:17" x14ac:dyDescent="0.2">
      <c r="A192" s="104" t="s">
        <v>1672</v>
      </c>
      <c r="B192" s="87">
        <v>2406122</v>
      </c>
      <c r="C192" s="87">
        <v>94629</v>
      </c>
      <c r="D192" s="87" t="s">
        <v>2053</v>
      </c>
      <c r="E192" s="87">
        <v>5</v>
      </c>
      <c r="F192" s="87" t="str">
        <f>IF(E192&lt;=20,"0-19",
IF(E192&lt;=50,"20-49",
IF(E192&lt;=80,"50-79","80+")))</f>
        <v>0-19</v>
      </c>
      <c r="G192" s="87" t="s">
        <v>2054</v>
      </c>
      <c r="H192" s="87" t="s">
        <v>132</v>
      </c>
      <c r="I192" s="87" t="s">
        <v>2055</v>
      </c>
      <c r="J192" s="114" t="s">
        <v>2546</v>
      </c>
      <c r="K192" s="86" t="s">
        <v>1551</v>
      </c>
      <c r="L192" s="87" t="s">
        <v>1908</v>
      </c>
      <c r="M192" s="87">
        <v>3</v>
      </c>
      <c r="N192" s="161">
        <v>69954</v>
      </c>
      <c r="O192" s="161" t="s">
        <v>2254</v>
      </c>
      <c r="P192" s="168">
        <v>254720256563</v>
      </c>
      <c r="Q192" s="210"/>
    </row>
    <row r="193" spans="1:17" ht="21" x14ac:dyDescent="0.2">
      <c r="A193" s="139" t="s">
        <v>53</v>
      </c>
      <c r="B193" s="113">
        <v>2001506</v>
      </c>
      <c r="C193" s="113">
        <v>5299</v>
      </c>
      <c r="D193" s="114" t="s">
        <v>236</v>
      </c>
      <c r="E193" s="113">
        <v>73</v>
      </c>
      <c r="F193" s="113" t="str">
        <f>IF(E193&lt;=20,"0-19",
IF(E193&lt;=50,"20-49",
IF(E193&lt;=80,"50-79","80+")))</f>
        <v>50-79</v>
      </c>
      <c r="G193" s="113" t="s">
        <v>237</v>
      </c>
      <c r="H193" s="113" t="s">
        <v>22</v>
      </c>
      <c r="I193" s="114" t="s">
        <v>238</v>
      </c>
      <c r="J193" s="114" t="s">
        <v>2546</v>
      </c>
      <c r="K193" s="114" t="s">
        <v>239</v>
      </c>
      <c r="L193" s="113" t="s">
        <v>25</v>
      </c>
      <c r="M193" s="114">
        <v>3</v>
      </c>
      <c r="N193" s="115">
        <v>134466</v>
      </c>
      <c r="O193" s="87" t="s">
        <v>18</v>
      </c>
      <c r="P193" s="171"/>
      <c r="Q193" s="210"/>
    </row>
    <row r="194" spans="1:17" x14ac:dyDescent="0.2">
      <c r="A194" s="139" t="s">
        <v>53</v>
      </c>
      <c r="B194" s="82">
        <v>2002878</v>
      </c>
      <c r="C194" s="82">
        <v>17707</v>
      </c>
      <c r="D194" s="82" t="s">
        <v>240</v>
      </c>
      <c r="E194" s="92">
        <v>68</v>
      </c>
      <c r="F194" s="92" t="str">
        <f>IF(E194&lt;=20,"0-19",
IF(E194&lt;=50,"20-49",
IF(E194&lt;=80,"50-79","80+")))</f>
        <v>50-79</v>
      </c>
      <c r="G194" s="82" t="s">
        <v>60</v>
      </c>
      <c r="H194" s="82" t="s">
        <v>22</v>
      </c>
      <c r="I194" s="82" t="s">
        <v>241</v>
      </c>
      <c r="J194" s="114" t="s">
        <v>2546</v>
      </c>
      <c r="K194" s="92" t="s">
        <v>31</v>
      </c>
      <c r="L194" s="92" t="s">
        <v>85</v>
      </c>
      <c r="M194" s="82">
        <v>3</v>
      </c>
      <c r="N194" s="101">
        <v>110750</v>
      </c>
      <c r="O194" s="82" t="s">
        <v>18</v>
      </c>
      <c r="P194" s="170"/>
      <c r="Q194" s="210"/>
    </row>
    <row r="195" spans="1:17" x14ac:dyDescent="0.2">
      <c r="A195" s="103" t="s">
        <v>1969</v>
      </c>
      <c r="B195" s="82">
        <v>2004129</v>
      </c>
      <c r="C195" s="82">
        <v>101680</v>
      </c>
      <c r="D195" s="82" t="s">
        <v>1970</v>
      </c>
      <c r="E195" s="82">
        <v>70</v>
      </c>
      <c r="F195" s="82" t="str">
        <f>IF(E195&lt;=20,"0-19",
IF(E195&lt;=50,"20-49",
IF(E195&lt;=80,"50-79","80+")))</f>
        <v>50-79</v>
      </c>
      <c r="G195" s="82" t="s">
        <v>1971</v>
      </c>
      <c r="H195" s="82" t="s">
        <v>22</v>
      </c>
      <c r="I195" s="82" t="s">
        <v>1972</v>
      </c>
      <c r="J195" s="114" t="s">
        <v>2546</v>
      </c>
      <c r="K195" s="92" t="s">
        <v>1908</v>
      </c>
      <c r="L195" s="82" t="s">
        <v>1928</v>
      </c>
      <c r="M195" s="82">
        <v>3</v>
      </c>
      <c r="N195" s="151">
        <v>32440</v>
      </c>
      <c r="O195" s="151" t="s">
        <v>2254</v>
      </c>
      <c r="P195" s="152">
        <v>254720284944</v>
      </c>
      <c r="Q195" s="210"/>
    </row>
    <row r="196" spans="1:17" x14ac:dyDescent="0.2">
      <c r="A196" s="107" t="s">
        <v>198</v>
      </c>
      <c r="B196" s="93">
        <v>2001553</v>
      </c>
      <c r="C196" s="82">
        <v>17939</v>
      </c>
      <c r="D196" s="93" t="s">
        <v>199</v>
      </c>
      <c r="E196" s="93">
        <v>65</v>
      </c>
      <c r="F196" s="93" t="str">
        <f>IF(E196&lt;=20,"0-19",
IF(E196&lt;=50,"20-49",
IF(E196&lt;=80,"50-79","80+")))</f>
        <v>50-79</v>
      </c>
      <c r="G196" s="93" t="s">
        <v>200</v>
      </c>
      <c r="H196" s="93" t="s">
        <v>22</v>
      </c>
      <c r="I196" s="93" t="s">
        <v>201</v>
      </c>
      <c r="J196" s="114" t="s">
        <v>2546</v>
      </c>
      <c r="K196" s="93" t="s">
        <v>36</v>
      </c>
      <c r="L196" s="93" t="s">
        <v>78</v>
      </c>
      <c r="M196" s="93">
        <v>3</v>
      </c>
      <c r="N196" s="94">
        <v>42200</v>
      </c>
      <c r="O196" s="82" t="s">
        <v>18</v>
      </c>
      <c r="P196" s="170"/>
      <c r="Q196" s="210"/>
    </row>
    <row r="197" spans="1:17" x14ac:dyDescent="0.2">
      <c r="A197" s="139" t="s">
        <v>221</v>
      </c>
      <c r="B197" s="82">
        <v>2005002</v>
      </c>
      <c r="C197" s="82">
        <v>105502</v>
      </c>
      <c r="D197" s="82" t="s">
        <v>947</v>
      </c>
      <c r="E197" s="82">
        <v>18</v>
      </c>
      <c r="F197" s="82" t="str">
        <f>IF(E197&lt;=20,"0-19",
IF(E197&lt;=50,"20-49",
IF(E197&lt;=80,"50-79","80+")))</f>
        <v>0-19</v>
      </c>
      <c r="G197" s="82" t="s">
        <v>948</v>
      </c>
      <c r="H197" s="82" t="s">
        <v>132</v>
      </c>
      <c r="I197" s="92" t="s">
        <v>949</v>
      </c>
      <c r="J197" s="114" t="s">
        <v>2546</v>
      </c>
      <c r="K197" s="92" t="s">
        <v>834</v>
      </c>
      <c r="L197" s="82" t="s">
        <v>846</v>
      </c>
      <c r="M197" s="82">
        <v>3</v>
      </c>
      <c r="N197" s="84">
        <v>82713</v>
      </c>
      <c r="O197" s="82" t="s">
        <v>832</v>
      </c>
      <c r="P197" s="170"/>
      <c r="Q197" s="210"/>
    </row>
    <row r="198" spans="1:17" x14ac:dyDescent="0.2">
      <c r="A198" s="139" t="s">
        <v>1227</v>
      </c>
      <c r="B198" s="82">
        <v>2002798</v>
      </c>
      <c r="C198" s="82">
        <v>13067</v>
      </c>
      <c r="D198" s="82" t="s">
        <v>930</v>
      </c>
      <c r="E198" s="82">
        <v>69</v>
      </c>
      <c r="F198" s="82" t="str">
        <f>IF(E198&lt;=20,"0-19",
IF(E198&lt;=50,"20-49",
IF(E198&lt;=80,"50-79","80+")))</f>
        <v>50-79</v>
      </c>
      <c r="G198" s="82" t="s">
        <v>931</v>
      </c>
      <c r="H198" s="82" t="s">
        <v>22</v>
      </c>
      <c r="I198" s="92" t="s">
        <v>932</v>
      </c>
      <c r="J198" s="114" t="s">
        <v>2546</v>
      </c>
      <c r="K198" s="92" t="s">
        <v>846</v>
      </c>
      <c r="L198" s="82" t="s">
        <v>851</v>
      </c>
      <c r="M198" s="82">
        <v>3</v>
      </c>
      <c r="N198" s="84">
        <v>130514</v>
      </c>
      <c r="O198" s="82" t="s">
        <v>832</v>
      </c>
      <c r="P198" s="171"/>
      <c r="Q198" s="210"/>
    </row>
    <row r="199" spans="1:17" x14ac:dyDescent="0.2">
      <c r="A199" s="104" t="s">
        <v>1452</v>
      </c>
      <c r="B199" s="86">
        <v>2004344</v>
      </c>
      <c r="C199" s="87">
        <v>57353</v>
      </c>
      <c r="D199" s="86" t="s">
        <v>1997</v>
      </c>
      <c r="E199" s="86">
        <v>65</v>
      </c>
      <c r="F199" s="86" t="str">
        <f>IF(E199&lt;=20,"0-19",
IF(E199&lt;=50,"20-49",
IF(E199&lt;=80,"50-79","80+")))</f>
        <v>50-79</v>
      </c>
      <c r="G199" s="86" t="s">
        <v>1998</v>
      </c>
      <c r="H199" s="86" t="s">
        <v>22</v>
      </c>
      <c r="I199" s="86" t="s">
        <v>1999</v>
      </c>
      <c r="J199" s="114" t="s">
        <v>2546</v>
      </c>
      <c r="K199" s="86" t="s">
        <v>1916</v>
      </c>
      <c r="L199" s="86" t="s">
        <v>1923</v>
      </c>
      <c r="M199" s="86">
        <v>3</v>
      </c>
      <c r="N199" s="163">
        <v>42642</v>
      </c>
      <c r="O199" s="163" t="s">
        <v>2254</v>
      </c>
      <c r="P199" s="168">
        <v>254720010099</v>
      </c>
      <c r="Q199" s="210"/>
    </row>
    <row r="200" spans="1:17" x14ac:dyDescent="0.2">
      <c r="A200" s="108" t="s">
        <v>257</v>
      </c>
      <c r="B200" s="87">
        <v>2019944</v>
      </c>
      <c r="C200" s="87">
        <v>85557</v>
      </c>
      <c r="D200" s="87" t="s">
        <v>258</v>
      </c>
      <c r="E200" s="86">
        <v>8</v>
      </c>
      <c r="F200" s="86" t="str">
        <f>IF(E200&lt;=20,"0-19",
IF(E200&lt;=50,"20-49",
IF(E200&lt;=80,"50-79","80+")))</f>
        <v>0-19</v>
      </c>
      <c r="G200" s="87" t="s">
        <v>259</v>
      </c>
      <c r="H200" s="87" t="s">
        <v>132</v>
      </c>
      <c r="I200" s="87" t="s">
        <v>260</v>
      </c>
      <c r="J200" s="114" t="s">
        <v>2546</v>
      </c>
      <c r="K200" s="86" t="s">
        <v>78</v>
      </c>
      <c r="L200" s="86" t="s">
        <v>154</v>
      </c>
      <c r="M200" s="87">
        <v>3</v>
      </c>
      <c r="N200" s="97">
        <v>72190</v>
      </c>
      <c r="O200" s="87" t="s">
        <v>18</v>
      </c>
      <c r="P200" s="171"/>
      <c r="Q200" s="210"/>
    </row>
    <row r="201" spans="1:17" ht="21" x14ac:dyDescent="0.2">
      <c r="A201" s="139" t="s">
        <v>137</v>
      </c>
      <c r="B201" s="113">
        <v>2001458</v>
      </c>
      <c r="C201" s="113">
        <v>100165</v>
      </c>
      <c r="D201" s="114" t="s">
        <v>242</v>
      </c>
      <c r="E201" s="113">
        <v>73</v>
      </c>
      <c r="F201" s="113" t="str">
        <f>IF(E201&lt;=20,"0-19",
IF(E201&lt;=50,"20-49",
IF(E201&lt;=80,"50-79","80+")))</f>
        <v>50-79</v>
      </c>
      <c r="G201" s="113" t="s">
        <v>243</v>
      </c>
      <c r="H201" s="113" t="s">
        <v>22</v>
      </c>
      <c r="I201" s="114" t="s">
        <v>244</v>
      </c>
      <c r="J201" s="114" t="s">
        <v>2546</v>
      </c>
      <c r="K201" s="114" t="s">
        <v>245</v>
      </c>
      <c r="L201" s="113" t="s">
        <v>25</v>
      </c>
      <c r="M201" s="114">
        <v>3</v>
      </c>
      <c r="N201" s="115">
        <v>54105</v>
      </c>
      <c r="O201" s="87" t="s">
        <v>18</v>
      </c>
      <c r="P201" s="171"/>
      <c r="Q201" s="210"/>
    </row>
    <row r="202" spans="1:17" ht="21" x14ac:dyDescent="0.2">
      <c r="A202" s="187" t="s">
        <v>294</v>
      </c>
      <c r="B202" s="189">
        <v>2018394</v>
      </c>
      <c r="C202" s="189">
        <v>58884</v>
      </c>
      <c r="D202" s="189" t="s">
        <v>295</v>
      </c>
      <c r="E202" s="189">
        <v>60</v>
      </c>
      <c r="F202" s="189" t="str">
        <f>IF(E202&lt;=20,"0-19",
IF(E202&lt;=50,"20-49",
IF(E202&lt;=80,"50-79","80+")))</f>
        <v>50-79</v>
      </c>
      <c r="G202" s="189" t="s">
        <v>296</v>
      </c>
      <c r="H202" s="189" t="s">
        <v>15</v>
      </c>
      <c r="I202" s="189" t="s">
        <v>297</v>
      </c>
      <c r="J202" s="114" t="s">
        <v>2546</v>
      </c>
      <c r="K202" s="189" t="s">
        <v>108</v>
      </c>
      <c r="L202" s="190" t="s">
        <v>289</v>
      </c>
      <c r="M202" s="92">
        <v>3</v>
      </c>
      <c r="N202" s="205">
        <v>139057.07999999999</v>
      </c>
      <c r="O202" s="82" t="s">
        <v>18</v>
      </c>
      <c r="P202" s="170"/>
      <c r="Q202" s="210"/>
    </row>
    <row r="203" spans="1:17" x14ac:dyDescent="0.2">
      <c r="A203" s="194" t="s">
        <v>298</v>
      </c>
      <c r="B203" s="199">
        <v>2013074</v>
      </c>
      <c r="C203" s="199">
        <v>101343</v>
      </c>
      <c r="D203" s="199" t="s">
        <v>299</v>
      </c>
      <c r="E203" s="199">
        <v>64</v>
      </c>
      <c r="F203" s="199" t="str">
        <f>IF(E203&lt;=20,"0-19",
IF(E203&lt;=50,"20-49",
IF(E203&lt;=80,"50-79","80+")))</f>
        <v>50-79</v>
      </c>
      <c r="G203" s="199" t="s">
        <v>300</v>
      </c>
      <c r="H203" s="199" t="s">
        <v>22</v>
      </c>
      <c r="I203" s="199" t="s">
        <v>301</v>
      </c>
      <c r="J203" s="114" t="s">
        <v>2546</v>
      </c>
      <c r="K203" s="199" t="s">
        <v>108</v>
      </c>
      <c r="L203" s="188" t="s">
        <v>289</v>
      </c>
      <c r="M203" s="86">
        <v>3</v>
      </c>
      <c r="N203" s="192">
        <v>53855.74</v>
      </c>
      <c r="O203" s="87" t="s">
        <v>18</v>
      </c>
      <c r="P203" s="171"/>
      <c r="Q203" s="210"/>
    </row>
    <row r="204" spans="1:17" x14ac:dyDescent="0.2">
      <c r="A204" s="105" t="s">
        <v>274</v>
      </c>
      <c r="B204" s="82">
        <v>2017321</v>
      </c>
      <c r="C204" s="82">
        <v>104018</v>
      </c>
      <c r="D204" s="82" t="s">
        <v>1805</v>
      </c>
      <c r="E204" s="82">
        <v>63</v>
      </c>
      <c r="F204" s="82" t="str">
        <f>IF(E204&lt;=20,"0-19",
IF(E204&lt;=50,"20-49",
IF(E204&lt;=80,"50-79","80+")))</f>
        <v>50-79</v>
      </c>
      <c r="G204" s="82" t="s">
        <v>60</v>
      </c>
      <c r="H204" s="82" t="s">
        <v>22</v>
      </c>
      <c r="I204" s="92" t="s">
        <v>1806</v>
      </c>
      <c r="J204" s="92" t="s">
        <v>2310</v>
      </c>
      <c r="K204" s="82" t="s">
        <v>1610</v>
      </c>
      <c r="L204" s="82" t="s">
        <v>1543</v>
      </c>
      <c r="M204" s="82">
        <v>3</v>
      </c>
      <c r="N204" s="151">
        <v>281350</v>
      </c>
      <c r="O204" s="151" t="s">
        <v>2254</v>
      </c>
      <c r="P204" s="152">
        <v>254722845819</v>
      </c>
      <c r="Q204" s="210"/>
    </row>
    <row r="205" spans="1:17" x14ac:dyDescent="0.2">
      <c r="A205" s="104" t="s">
        <v>856</v>
      </c>
      <c r="B205" s="87">
        <v>2016077</v>
      </c>
      <c r="C205" s="87">
        <v>18754</v>
      </c>
      <c r="D205" s="87" t="s">
        <v>1773</v>
      </c>
      <c r="E205" s="87">
        <v>56</v>
      </c>
      <c r="F205" s="87" t="str">
        <f>IF(E205&lt;=20,"0-19",
IF(E205&lt;=50,"20-49",
IF(E205&lt;=80,"50-79","80+")))</f>
        <v>50-79</v>
      </c>
      <c r="G205" s="87" t="s">
        <v>1774</v>
      </c>
      <c r="H205" s="87" t="s">
        <v>706</v>
      </c>
      <c r="I205" s="86" t="s">
        <v>1775</v>
      </c>
      <c r="J205" s="86" t="s">
        <v>2310</v>
      </c>
      <c r="K205" s="87" t="s">
        <v>1556</v>
      </c>
      <c r="L205" s="87" t="s">
        <v>1589</v>
      </c>
      <c r="M205" s="87">
        <v>3</v>
      </c>
      <c r="N205" s="161">
        <v>225243.22</v>
      </c>
      <c r="O205" s="161" t="s">
        <v>2254</v>
      </c>
      <c r="P205" s="168">
        <v>254722422235</v>
      </c>
      <c r="Q205" s="210"/>
    </row>
    <row r="206" spans="1:17" ht="21" x14ac:dyDescent="0.2">
      <c r="A206" s="139" t="s">
        <v>1503</v>
      </c>
      <c r="B206" s="82">
        <v>2602001</v>
      </c>
      <c r="C206" s="82">
        <v>79151</v>
      </c>
      <c r="D206" s="82" t="s">
        <v>979</v>
      </c>
      <c r="E206" s="82">
        <v>40</v>
      </c>
      <c r="F206" s="82" t="str">
        <f>IF(E206&lt;=20,"0-19",
IF(E206&lt;=50,"20-49",
IF(E206&lt;=80,"50-79","80+")))</f>
        <v>20-49</v>
      </c>
      <c r="G206" s="82" t="s">
        <v>980</v>
      </c>
      <c r="H206" s="82" t="s">
        <v>22</v>
      </c>
      <c r="I206" s="92" t="s">
        <v>981</v>
      </c>
      <c r="J206" s="92" t="s">
        <v>2310</v>
      </c>
      <c r="K206" s="92" t="s">
        <v>982</v>
      </c>
      <c r="L206" s="82" t="s">
        <v>855</v>
      </c>
      <c r="M206" s="82">
        <v>3</v>
      </c>
      <c r="N206" s="84">
        <v>204032.02</v>
      </c>
      <c r="O206" s="82" t="s">
        <v>832</v>
      </c>
      <c r="P206" s="171"/>
      <c r="Q206" s="210"/>
    </row>
    <row r="207" spans="1:17" x14ac:dyDescent="0.2">
      <c r="A207" s="139" t="s">
        <v>847</v>
      </c>
      <c r="B207" s="82">
        <v>2009176</v>
      </c>
      <c r="C207" s="82">
        <v>59732</v>
      </c>
      <c r="D207" s="82" t="s">
        <v>1233</v>
      </c>
      <c r="E207" s="82">
        <v>56</v>
      </c>
      <c r="F207" s="82" t="str">
        <f>IF(E207&lt;=20,"0-19",
IF(E207&lt;=50,"20-49",
IF(E207&lt;=80,"50-79","80+")))</f>
        <v>50-79</v>
      </c>
      <c r="G207" s="82" t="s">
        <v>1234</v>
      </c>
      <c r="H207" s="82" t="s">
        <v>15</v>
      </c>
      <c r="I207" s="82" t="s">
        <v>1235</v>
      </c>
      <c r="J207" s="82" t="s">
        <v>2328</v>
      </c>
      <c r="K207" s="82" t="s">
        <v>859</v>
      </c>
      <c r="L207" s="82" t="s">
        <v>1236</v>
      </c>
      <c r="M207" s="82">
        <v>3</v>
      </c>
      <c r="N207" s="84">
        <v>151486</v>
      </c>
      <c r="O207" s="82" t="s">
        <v>832</v>
      </c>
      <c r="P207" s="171"/>
      <c r="Q207" s="210"/>
    </row>
    <row r="208" spans="1:17" ht="21" x14ac:dyDescent="0.2">
      <c r="A208" s="186" t="s">
        <v>354</v>
      </c>
      <c r="B208" s="188">
        <v>2407267</v>
      </c>
      <c r="C208" s="188">
        <v>56814</v>
      </c>
      <c r="D208" s="188" t="s">
        <v>355</v>
      </c>
      <c r="E208" s="188">
        <v>62</v>
      </c>
      <c r="F208" s="188" t="str">
        <f>IF(E208&lt;=20,"0-19",
IF(E208&lt;=50,"20-49",
IF(E208&lt;=80,"50-79","80+")))</f>
        <v>50-79</v>
      </c>
      <c r="G208" s="188" t="s">
        <v>356</v>
      </c>
      <c r="H208" s="188" t="s">
        <v>15</v>
      </c>
      <c r="I208" s="188" t="s">
        <v>357</v>
      </c>
      <c r="J208" s="188" t="s">
        <v>2328</v>
      </c>
      <c r="K208" s="188" t="s">
        <v>85</v>
      </c>
      <c r="L208" s="188" t="s">
        <v>190</v>
      </c>
      <c r="M208" s="88">
        <v>3</v>
      </c>
      <c r="N208" s="192">
        <v>25721</v>
      </c>
      <c r="O208" s="87" t="s">
        <v>18</v>
      </c>
      <c r="P208" s="171"/>
      <c r="Q208" s="210"/>
    </row>
    <row r="209" spans="1:17" x14ac:dyDescent="0.2">
      <c r="A209" s="108" t="s">
        <v>90</v>
      </c>
      <c r="B209" s="87">
        <v>2003072</v>
      </c>
      <c r="C209" s="87">
        <v>104118</v>
      </c>
      <c r="D209" s="87" t="s">
        <v>191</v>
      </c>
      <c r="E209" s="86">
        <v>66</v>
      </c>
      <c r="F209" s="86" t="str">
        <f>IF(E209&lt;=20,"0-19",
IF(E209&lt;=50,"20-49",
IF(E209&lt;=80,"50-79","80+")))</f>
        <v>50-79</v>
      </c>
      <c r="G209" s="87" t="s">
        <v>60</v>
      </c>
      <c r="H209" s="87" t="s">
        <v>22</v>
      </c>
      <c r="I209" s="87" t="s">
        <v>192</v>
      </c>
      <c r="J209" s="87" t="s">
        <v>2328</v>
      </c>
      <c r="K209" s="86" t="s">
        <v>31</v>
      </c>
      <c r="L209" s="86" t="s">
        <v>193</v>
      </c>
      <c r="M209" s="87">
        <v>3</v>
      </c>
      <c r="N209" s="97">
        <v>395281</v>
      </c>
      <c r="O209" s="87" t="s">
        <v>18</v>
      </c>
      <c r="P209" s="171"/>
      <c r="Q209" s="210"/>
    </row>
    <row r="210" spans="1:17" x14ac:dyDescent="0.2">
      <c r="A210" s="139" t="s">
        <v>874</v>
      </c>
      <c r="B210" s="82">
        <v>2406019</v>
      </c>
      <c r="C210" s="82">
        <v>32211</v>
      </c>
      <c r="D210" s="82" t="s">
        <v>1286</v>
      </c>
      <c r="E210" s="82">
        <v>50</v>
      </c>
      <c r="F210" s="82" t="str">
        <f>IF(E210&lt;=20,"0-19",
IF(E210&lt;=50,"20-49",
IF(E210&lt;=80,"50-79","80+")))</f>
        <v>20-49</v>
      </c>
      <c r="G210" s="82" t="s">
        <v>49</v>
      </c>
      <c r="H210" s="82" t="s">
        <v>15</v>
      </c>
      <c r="I210" s="82" t="s">
        <v>1287</v>
      </c>
      <c r="J210" s="82" t="s">
        <v>2328</v>
      </c>
      <c r="K210" s="82" t="s">
        <v>1238</v>
      </c>
      <c r="L210" s="82" t="s">
        <v>1288</v>
      </c>
      <c r="M210" s="82">
        <v>3</v>
      </c>
      <c r="N210" s="84">
        <v>97954</v>
      </c>
      <c r="O210" s="82" t="s">
        <v>832</v>
      </c>
      <c r="P210" s="170"/>
      <c r="Q210" s="210"/>
    </row>
    <row r="211" spans="1:17" x14ac:dyDescent="0.2">
      <c r="A211" s="139" t="s">
        <v>63</v>
      </c>
      <c r="B211" s="82">
        <v>2502100</v>
      </c>
      <c r="C211" s="82">
        <v>60353</v>
      </c>
      <c r="D211" s="82" t="s">
        <v>246</v>
      </c>
      <c r="E211" s="92">
        <v>45</v>
      </c>
      <c r="F211" s="92" t="str">
        <f>IF(E211&lt;=20,"0-19",
IF(E211&lt;=50,"20-49",
IF(E211&lt;=80,"50-79","80+")))</f>
        <v>20-49</v>
      </c>
      <c r="G211" s="82" t="s">
        <v>247</v>
      </c>
      <c r="H211" s="82" t="s">
        <v>15</v>
      </c>
      <c r="I211" s="82" t="s">
        <v>248</v>
      </c>
      <c r="J211" s="82" t="s">
        <v>2328</v>
      </c>
      <c r="K211" s="92" t="s">
        <v>78</v>
      </c>
      <c r="L211" s="92" t="s">
        <v>154</v>
      </c>
      <c r="M211" s="82">
        <v>3</v>
      </c>
      <c r="N211" s="101">
        <v>128419</v>
      </c>
      <c r="O211" s="82" t="s">
        <v>18</v>
      </c>
      <c r="P211" s="170"/>
      <c r="Q211" s="210"/>
    </row>
    <row r="212" spans="1:17" x14ac:dyDescent="0.2">
      <c r="A212" s="107" t="s">
        <v>232</v>
      </c>
      <c r="B212" s="93">
        <v>2502163</v>
      </c>
      <c r="C212" s="93">
        <v>58577</v>
      </c>
      <c r="D212" s="93" t="s">
        <v>233</v>
      </c>
      <c r="E212" s="93">
        <v>64</v>
      </c>
      <c r="F212" s="93" t="str">
        <f>IF(E212&lt;=20,"0-19",
IF(E212&lt;=50,"20-49",
IF(E212&lt;=80,"50-79","80+")))</f>
        <v>50-79</v>
      </c>
      <c r="G212" s="93" t="s">
        <v>234</v>
      </c>
      <c r="H212" s="93" t="s">
        <v>22</v>
      </c>
      <c r="I212" s="93" t="s">
        <v>235</v>
      </c>
      <c r="J212" s="93" t="s">
        <v>2314</v>
      </c>
      <c r="K212" s="93" t="s">
        <v>141</v>
      </c>
      <c r="L212" s="93" t="s">
        <v>95</v>
      </c>
      <c r="M212" s="93">
        <v>3</v>
      </c>
      <c r="N212" s="94">
        <v>121220</v>
      </c>
      <c r="O212" s="82" t="s">
        <v>18</v>
      </c>
      <c r="P212" s="170"/>
      <c r="Q212" s="210"/>
    </row>
    <row r="213" spans="1:17" x14ac:dyDescent="0.2">
      <c r="A213" s="103" t="s">
        <v>75</v>
      </c>
      <c r="B213" s="82">
        <v>2005082</v>
      </c>
      <c r="C213" s="82">
        <v>101741</v>
      </c>
      <c r="D213" s="82" t="s">
        <v>76</v>
      </c>
      <c r="E213" s="92">
        <v>69</v>
      </c>
      <c r="F213" s="92" t="str">
        <f>IF(E213&lt;=20,"0-19",
IF(E213&lt;=50,"20-49",
IF(E213&lt;=80,"50-79","80+")))</f>
        <v>50-79</v>
      </c>
      <c r="G213" s="82" t="s">
        <v>49</v>
      </c>
      <c r="H213" s="82" t="s">
        <v>15</v>
      </c>
      <c r="I213" s="82" t="s">
        <v>77</v>
      </c>
      <c r="J213" s="82" t="s">
        <v>2270</v>
      </c>
      <c r="K213" s="92" t="s">
        <v>79</v>
      </c>
      <c r="L213" s="92" t="s">
        <v>94</v>
      </c>
      <c r="M213" s="82">
        <v>3</v>
      </c>
      <c r="N213" s="101">
        <v>31636.59</v>
      </c>
      <c r="O213" s="82" t="s">
        <v>18</v>
      </c>
      <c r="P213" s="170"/>
      <c r="Q213" s="210"/>
    </row>
    <row r="214" spans="1:17" x14ac:dyDescent="0.2">
      <c r="A214" s="139" t="s">
        <v>1482</v>
      </c>
      <c r="B214" s="82">
        <v>2013525</v>
      </c>
      <c r="C214" s="82">
        <v>10031</v>
      </c>
      <c r="D214" s="82" t="s">
        <v>959</v>
      </c>
      <c r="E214" s="82">
        <v>66</v>
      </c>
      <c r="F214" s="82" t="str">
        <f>IF(E214&lt;=20,"0-19",
IF(E214&lt;=50,"20-49",
IF(E214&lt;=80,"50-79","80+")))</f>
        <v>50-79</v>
      </c>
      <c r="G214" s="82" t="s">
        <v>960</v>
      </c>
      <c r="H214" s="82" t="s">
        <v>15</v>
      </c>
      <c r="I214" s="92" t="s">
        <v>961</v>
      </c>
      <c r="J214" s="92" t="s">
        <v>2270</v>
      </c>
      <c r="K214" s="92" t="s">
        <v>896</v>
      </c>
      <c r="L214" s="82" t="s">
        <v>855</v>
      </c>
      <c r="M214" s="82">
        <v>3</v>
      </c>
      <c r="N214" s="84">
        <v>58202</v>
      </c>
      <c r="O214" s="82" t="s">
        <v>832</v>
      </c>
      <c r="P214" s="171"/>
      <c r="Q214" s="210"/>
    </row>
    <row r="215" spans="1:17" x14ac:dyDescent="0.2">
      <c r="A215" s="104" t="s">
        <v>422</v>
      </c>
      <c r="B215" s="87">
        <v>2014982</v>
      </c>
      <c r="C215" s="87">
        <v>13660</v>
      </c>
      <c r="D215" s="87" t="s">
        <v>1779</v>
      </c>
      <c r="E215" s="87">
        <v>66</v>
      </c>
      <c r="F215" s="87" t="str">
        <f>IF(E215&lt;=20,"0-19",
IF(E215&lt;=50,"20-49",
IF(E215&lt;=80,"50-79","80+")))</f>
        <v>50-79</v>
      </c>
      <c r="G215" s="87" t="s">
        <v>1780</v>
      </c>
      <c r="H215" s="87" t="s">
        <v>22</v>
      </c>
      <c r="I215" s="86" t="s">
        <v>780</v>
      </c>
      <c r="J215" s="86" t="s">
        <v>2270</v>
      </c>
      <c r="K215" s="87" t="s">
        <v>1589</v>
      </c>
      <c r="L215" s="87" t="s">
        <v>1675</v>
      </c>
      <c r="M215" s="87">
        <v>3</v>
      </c>
      <c r="N215" s="161">
        <v>237007</v>
      </c>
      <c r="O215" s="161" t="s">
        <v>2254</v>
      </c>
      <c r="P215" s="168">
        <v>254722422235</v>
      </c>
      <c r="Q215" s="210"/>
    </row>
    <row r="216" spans="1:17" ht="21" x14ac:dyDescent="0.2">
      <c r="A216" s="105" t="s">
        <v>1984</v>
      </c>
      <c r="B216" s="82">
        <v>2003072</v>
      </c>
      <c r="C216" s="82">
        <v>104118</v>
      </c>
      <c r="D216" s="82" t="s">
        <v>191</v>
      </c>
      <c r="E216" s="82">
        <v>65</v>
      </c>
      <c r="F216" s="82" t="str">
        <f>IF(E216&lt;=20,"0-19",
IF(E216&lt;=50,"20-49",
IF(E216&lt;=80,"50-79","80+")))</f>
        <v>50-79</v>
      </c>
      <c r="G216" s="82" t="s">
        <v>1432</v>
      </c>
      <c r="H216" s="82" t="s">
        <v>22</v>
      </c>
      <c r="I216" s="82" t="s">
        <v>2103</v>
      </c>
      <c r="J216" s="82" t="s">
        <v>2270</v>
      </c>
      <c r="K216" s="92" t="s">
        <v>2104</v>
      </c>
      <c r="L216" s="82" t="s">
        <v>1921</v>
      </c>
      <c r="M216" s="82">
        <v>3</v>
      </c>
      <c r="N216" s="151">
        <v>97284</v>
      </c>
      <c r="O216" s="151" t="s">
        <v>2254</v>
      </c>
      <c r="P216" s="152">
        <v>254721775077</v>
      </c>
      <c r="Q216" s="210"/>
    </row>
    <row r="217" spans="1:17" x14ac:dyDescent="0.2">
      <c r="A217" s="139" t="s">
        <v>373</v>
      </c>
      <c r="B217" s="82">
        <v>2015319</v>
      </c>
      <c r="C217" s="82">
        <v>18635</v>
      </c>
      <c r="D217" s="82" t="s">
        <v>962</v>
      </c>
      <c r="E217" s="82">
        <v>63</v>
      </c>
      <c r="F217" s="82" t="str">
        <f>IF(E217&lt;=20,"0-19",
IF(E217&lt;=50,"20-49",
IF(E217&lt;=80,"50-79","80+")))</f>
        <v>50-79</v>
      </c>
      <c r="G217" s="82" t="s">
        <v>126</v>
      </c>
      <c r="H217" s="82" t="s">
        <v>22</v>
      </c>
      <c r="I217" s="92" t="s">
        <v>963</v>
      </c>
      <c r="J217" s="92" t="s">
        <v>2270</v>
      </c>
      <c r="K217" s="92" t="s">
        <v>843</v>
      </c>
      <c r="L217" s="82" t="s">
        <v>896</v>
      </c>
      <c r="M217" s="82">
        <v>3</v>
      </c>
      <c r="N217" s="84">
        <v>353603</v>
      </c>
      <c r="O217" s="82" t="s">
        <v>832</v>
      </c>
      <c r="P217" s="171"/>
      <c r="Q217" s="210"/>
    </row>
    <row r="218" spans="1:17" x14ac:dyDescent="0.2">
      <c r="A218" s="103" t="s">
        <v>75</v>
      </c>
      <c r="B218" s="82">
        <v>2011004</v>
      </c>
      <c r="C218" s="82">
        <v>101184</v>
      </c>
      <c r="D218" s="82" t="s">
        <v>261</v>
      </c>
      <c r="E218" s="92">
        <v>64</v>
      </c>
      <c r="F218" s="92" t="str">
        <f>IF(E218&lt;=20,"0-19",
IF(E218&lt;=50,"20-49",
IF(E218&lt;=80,"50-79","80+")))</f>
        <v>50-79</v>
      </c>
      <c r="G218" s="82" t="s">
        <v>262</v>
      </c>
      <c r="H218" s="82" t="s">
        <v>15</v>
      </c>
      <c r="I218" s="82" t="s">
        <v>263</v>
      </c>
      <c r="J218" s="82" t="s">
        <v>2270</v>
      </c>
      <c r="K218" s="92" t="s">
        <v>94</v>
      </c>
      <c r="L218" s="92" t="s">
        <v>66</v>
      </c>
      <c r="M218" s="82">
        <v>3</v>
      </c>
      <c r="N218" s="101">
        <v>52351</v>
      </c>
      <c r="O218" s="82" t="s">
        <v>18</v>
      </c>
      <c r="P218" s="170"/>
      <c r="Q218" s="210"/>
    </row>
    <row r="219" spans="1:17" ht="21" x14ac:dyDescent="0.2">
      <c r="A219" s="139" t="s">
        <v>43</v>
      </c>
      <c r="B219" s="92">
        <v>2003928</v>
      </c>
      <c r="C219" s="82">
        <v>101178</v>
      </c>
      <c r="D219" s="92" t="s">
        <v>937</v>
      </c>
      <c r="E219" s="92">
        <v>65</v>
      </c>
      <c r="F219" s="92" t="str">
        <f>IF(E219&lt;=20,"0-19",
IF(E219&lt;=50,"20-49",
IF(E219&lt;=80,"50-79","80+")))</f>
        <v>50-79</v>
      </c>
      <c r="G219" s="92" t="s">
        <v>938</v>
      </c>
      <c r="H219" s="92" t="s">
        <v>22</v>
      </c>
      <c r="I219" s="92" t="s">
        <v>939</v>
      </c>
      <c r="J219" s="114" t="s">
        <v>2328</v>
      </c>
      <c r="K219" s="92" t="s">
        <v>940</v>
      </c>
      <c r="L219" s="93" t="s">
        <v>843</v>
      </c>
      <c r="M219" s="92">
        <v>3</v>
      </c>
      <c r="N219" s="101">
        <v>204504</v>
      </c>
      <c r="O219" s="82" t="s">
        <v>832</v>
      </c>
      <c r="P219" s="170"/>
      <c r="Q219" s="210"/>
    </row>
    <row r="220" spans="1:17" x14ac:dyDescent="0.2">
      <c r="A220" s="139" t="s">
        <v>1410</v>
      </c>
      <c r="B220" s="82">
        <v>2504059</v>
      </c>
      <c r="C220" s="82">
        <v>43518</v>
      </c>
      <c r="D220" s="82" t="s">
        <v>1411</v>
      </c>
      <c r="E220" s="82">
        <v>53</v>
      </c>
      <c r="F220" s="82" t="str">
        <f>IF(E220&lt;=20,"0-19",
IF(E220&lt;=50,"20-49",
IF(E220&lt;=80,"50-79","80+")))</f>
        <v>50-79</v>
      </c>
      <c r="G220" s="82" t="s">
        <v>1412</v>
      </c>
      <c r="H220" s="82" t="s">
        <v>15</v>
      </c>
      <c r="I220" s="92" t="s">
        <v>1413</v>
      </c>
      <c r="J220" s="92" t="s">
        <v>2322</v>
      </c>
      <c r="K220" s="92" t="s">
        <v>1288</v>
      </c>
      <c r="L220" s="92" t="s">
        <v>1242</v>
      </c>
      <c r="M220" s="82">
        <v>3</v>
      </c>
      <c r="N220" s="84">
        <v>68985</v>
      </c>
      <c r="O220" s="82" t="s">
        <v>832</v>
      </c>
      <c r="P220" s="171"/>
      <c r="Q220" s="210"/>
    </row>
    <row r="221" spans="1:17" x14ac:dyDescent="0.2">
      <c r="A221" s="138" t="s">
        <v>228</v>
      </c>
      <c r="B221" s="114">
        <v>2507233</v>
      </c>
      <c r="C221" s="114">
        <v>63124</v>
      </c>
      <c r="D221" s="114" t="s">
        <v>229</v>
      </c>
      <c r="E221" s="114">
        <v>57</v>
      </c>
      <c r="F221" s="114" t="str">
        <f>IF(E221&lt;=20,"0-19",
IF(E221&lt;=50,"20-49",
IF(E221&lt;=80,"50-79","80+")))</f>
        <v>50-79</v>
      </c>
      <c r="G221" s="114" t="s">
        <v>230</v>
      </c>
      <c r="H221" s="114" t="s">
        <v>22</v>
      </c>
      <c r="I221" s="114" t="s">
        <v>231</v>
      </c>
      <c r="J221" s="114" t="s">
        <v>2546</v>
      </c>
      <c r="K221" s="114" t="s">
        <v>103</v>
      </c>
      <c r="L221" s="114" t="s">
        <v>46</v>
      </c>
      <c r="M221" s="114">
        <v>3</v>
      </c>
      <c r="N221" s="116">
        <v>122397.91</v>
      </c>
      <c r="O221" s="87" t="s">
        <v>18</v>
      </c>
      <c r="P221" s="171"/>
      <c r="Q221" s="210"/>
    </row>
    <row r="222" spans="1:17" x14ac:dyDescent="0.2">
      <c r="A222" s="139" t="s">
        <v>916</v>
      </c>
      <c r="B222" s="82">
        <v>2000713</v>
      </c>
      <c r="C222" s="82">
        <v>19277</v>
      </c>
      <c r="D222" s="82" t="s">
        <v>917</v>
      </c>
      <c r="E222" s="82">
        <v>71</v>
      </c>
      <c r="F222" s="82" t="str">
        <f>IF(E222&lt;=20,"0-19",
IF(E222&lt;=50,"20-49",
IF(E222&lt;=80,"50-79","80+")))</f>
        <v>50-79</v>
      </c>
      <c r="G222" s="82" t="s">
        <v>60</v>
      </c>
      <c r="H222" s="82" t="s">
        <v>22</v>
      </c>
      <c r="I222" s="82" t="s">
        <v>918</v>
      </c>
      <c r="J222" s="114" t="str">
        <f>VLOOKUP(Table46[[#This Row],[Diagnosis]],Sheet3!A:B,2,0)</f>
        <v>Pulmonology / Infectious (TB)</v>
      </c>
      <c r="K222" s="92" t="s">
        <v>909</v>
      </c>
      <c r="L222" s="92" t="s">
        <v>919</v>
      </c>
      <c r="M222" s="82">
        <v>3</v>
      </c>
      <c r="N222" s="84">
        <v>117500</v>
      </c>
      <c r="O222" s="82" t="s">
        <v>832</v>
      </c>
      <c r="P222" s="170"/>
      <c r="Q222" s="210"/>
    </row>
    <row r="223" spans="1:17" x14ac:dyDescent="0.2">
      <c r="A223" s="194" t="s">
        <v>290</v>
      </c>
      <c r="B223" s="199">
        <v>2018795</v>
      </c>
      <c r="C223" s="199">
        <v>110494</v>
      </c>
      <c r="D223" s="199" t="s">
        <v>291</v>
      </c>
      <c r="E223" s="199">
        <v>12</v>
      </c>
      <c r="F223" s="199" t="str">
        <f>IF(E223&lt;=20,"0-19",
IF(E223&lt;=50,"20-49",
IF(E223&lt;=80,"50-79","80+")))</f>
        <v>0-19</v>
      </c>
      <c r="G223" s="199" t="s">
        <v>292</v>
      </c>
      <c r="H223" s="199" t="s">
        <v>132</v>
      </c>
      <c r="I223" s="199" t="s">
        <v>293</v>
      </c>
      <c r="J223" s="199" t="s">
        <v>2283</v>
      </c>
      <c r="K223" s="199" t="s">
        <v>108</v>
      </c>
      <c r="L223" s="188" t="s">
        <v>289</v>
      </c>
      <c r="M223" s="86">
        <v>3</v>
      </c>
      <c r="N223" s="192">
        <v>61312.29</v>
      </c>
      <c r="O223" s="87" t="s">
        <v>18</v>
      </c>
      <c r="P223" s="171"/>
      <c r="Q223" s="210"/>
    </row>
    <row r="224" spans="1:17" x14ac:dyDescent="0.2">
      <c r="A224" s="104" t="s">
        <v>1565</v>
      </c>
      <c r="B224" s="87">
        <v>2018550</v>
      </c>
      <c r="C224" s="87">
        <v>32301</v>
      </c>
      <c r="D224" s="87" t="s">
        <v>2169</v>
      </c>
      <c r="E224" s="87">
        <v>62</v>
      </c>
      <c r="F224" s="87" t="str">
        <f>IF(E224&lt;=20,"0-19",
IF(E224&lt;=50,"20-49",
IF(E224&lt;=80,"50-79","80+")))</f>
        <v>50-79</v>
      </c>
      <c r="G224" s="87" t="s">
        <v>2170</v>
      </c>
      <c r="H224" s="87" t="s">
        <v>22</v>
      </c>
      <c r="I224" s="87" t="s">
        <v>2171</v>
      </c>
      <c r="J224" s="87" t="s">
        <v>2283</v>
      </c>
      <c r="K224" s="86" t="s">
        <v>1908</v>
      </c>
      <c r="L224" s="87" t="s">
        <v>1895</v>
      </c>
      <c r="M224" s="87">
        <v>3</v>
      </c>
      <c r="N224" s="161">
        <v>184467</v>
      </c>
      <c r="O224" s="161" t="s">
        <v>2254</v>
      </c>
      <c r="P224" s="168">
        <v>254721421817</v>
      </c>
      <c r="Q224" s="210"/>
    </row>
    <row r="225" spans="1:17" x14ac:dyDescent="0.2">
      <c r="A225" s="139" t="s">
        <v>836</v>
      </c>
      <c r="B225" s="82">
        <v>2004507</v>
      </c>
      <c r="C225" s="82">
        <v>16289</v>
      </c>
      <c r="D225" s="82" t="s">
        <v>944</v>
      </c>
      <c r="E225" s="82">
        <v>64</v>
      </c>
      <c r="F225" s="82" t="str">
        <f>IF(E225&lt;=20,"0-19",
IF(E225&lt;=50,"20-49",
IF(E225&lt;=80,"50-79","80+")))</f>
        <v>50-79</v>
      </c>
      <c r="G225" s="82" t="s">
        <v>945</v>
      </c>
      <c r="H225" s="82" t="s">
        <v>22</v>
      </c>
      <c r="I225" s="92" t="s">
        <v>946</v>
      </c>
      <c r="J225" s="92" t="s">
        <v>2283</v>
      </c>
      <c r="K225" s="92" t="s">
        <v>880</v>
      </c>
      <c r="L225" s="82" t="s">
        <v>846</v>
      </c>
      <c r="M225" s="82">
        <v>3</v>
      </c>
      <c r="N225" s="84">
        <v>77121</v>
      </c>
      <c r="O225" s="82" t="s">
        <v>832</v>
      </c>
      <c r="P225" s="171"/>
      <c r="Q225" s="210"/>
    </row>
    <row r="226" spans="1:17" x14ac:dyDescent="0.2">
      <c r="A226" s="139" t="s">
        <v>32</v>
      </c>
      <c r="B226" s="82">
        <v>2021285</v>
      </c>
      <c r="C226" s="82">
        <v>60702</v>
      </c>
      <c r="D226" s="82" t="s">
        <v>218</v>
      </c>
      <c r="E226" s="92">
        <v>8</v>
      </c>
      <c r="F226" s="92" t="str">
        <f>IF(E226&lt;=20,"0-19",
IF(E226&lt;=50,"20-49",
IF(E226&lt;=80,"50-79","80+")))</f>
        <v>0-19</v>
      </c>
      <c r="G226" s="82" t="s">
        <v>219</v>
      </c>
      <c r="H226" s="82" t="s">
        <v>132</v>
      </c>
      <c r="I226" s="82" t="s">
        <v>220</v>
      </c>
      <c r="J226" s="82" t="s">
        <v>2283</v>
      </c>
      <c r="K226" s="92" t="s">
        <v>37</v>
      </c>
      <c r="L226" s="92" t="s">
        <v>79</v>
      </c>
      <c r="M226" s="82">
        <v>3</v>
      </c>
      <c r="N226" s="101">
        <v>61634</v>
      </c>
      <c r="O226" s="82" t="s">
        <v>18</v>
      </c>
      <c r="P226" s="170"/>
      <c r="Q226" s="210"/>
    </row>
    <row r="227" spans="1:17" x14ac:dyDescent="0.2">
      <c r="A227" s="138" t="s">
        <v>12</v>
      </c>
      <c r="B227" s="82">
        <v>2006683</v>
      </c>
      <c r="C227" s="82">
        <v>57632</v>
      </c>
      <c r="D227" s="82" t="s">
        <v>194</v>
      </c>
      <c r="E227" s="92">
        <v>57</v>
      </c>
      <c r="F227" s="92" t="str">
        <f>IF(E227&lt;=20,"0-19",
IF(E227&lt;=50,"20-49",
IF(E227&lt;=80,"50-79","80+")))</f>
        <v>50-79</v>
      </c>
      <c r="G227" s="82" t="s">
        <v>195</v>
      </c>
      <c r="H227" s="82" t="s">
        <v>15</v>
      </c>
      <c r="I227" s="82" t="s">
        <v>196</v>
      </c>
      <c r="J227" s="82" t="s">
        <v>2283</v>
      </c>
      <c r="K227" s="92" t="s">
        <v>37</v>
      </c>
      <c r="L227" s="92" t="s">
        <v>79</v>
      </c>
      <c r="M227" s="82">
        <v>3</v>
      </c>
      <c r="N227" s="101">
        <v>26277</v>
      </c>
      <c r="O227" s="82" t="s">
        <v>18</v>
      </c>
      <c r="P227" s="170"/>
      <c r="Q227" s="210"/>
    </row>
    <row r="228" spans="1:17" ht="21" x14ac:dyDescent="0.2">
      <c r="A228" s="105" t="s">
        <v>1700</v>
      </c>
      <c r="B228" s="82">
        <v>2000084</v>
      </c>
      <c r="C228" s="82">
        <v>17767</v>
      </c>
      <c r="D228" s="82" t="s">
        <v>1934</v>
      </c>
      <c r="E228" s="82">
        <v>70</v>
      </c>
      <c r="F228" s="82" t="str">
        <f>IF(E228&lt;=20,"0-19",
IF(E228&lt;=50,"20-49",
IF(E228&lt;=80,"50-79","80+")))</f>
        <v>50-79</v>
      </c>
      <c r="G228" s="82" t="s">
        <v>1935</v>
      </c>
      <c r="H228" s="82" t="s">
        <v>22</v>
      </c>
      <c r="I228" s="82" t="s">
        <v>1936</v>
      </c>
      <c r="J228" s="82" t="s">
        <v>2275</v>
      </c>
      <c r="K228" s="92" t="s">
        <v>1937</v>
      </c>
      <c r="L228" s="82" t="s">
        <v>1908</v>
      </c>
      <c r="M228" s="82">
        <v>4</v>
      </c>
      <c r="N228" s="151">
        <v>15043.16</v>
      </c>
      <c r="O228" s="151" t="s">
        <v>2254</v>
      </c>
      <c r="P228" s="152">
        <v>254725356426</v>
      </c>
      <c r="Q228" s="210"/>
    </row>
    <row r="229" spans="1:17" x14ac:dyDescent="0.2">
      <c r="A229" s="104" t="s">
        <v>1690</v>
      </c>
      <c r="B229" s="87">
        <v>2006478</v>
      </c>
      <c r="C229" s="87">
        <v>8834</v>
      </c>
      <c r="D229" s="87" t="s">
        <v>1815</v>
      </c>
      <c r="E229" s="87">
        <v>64</v>
      </c>
      <c r="F229" s="87" t="str">
        <f>IF(E229&lt;=20,"0-19",
IF(E229&lt;=50,"20-49",
IF(E229&lt;=80,"50-79","80+")))</f>
        <v>50-79</v>
      </c>
      <c r="G229" s="87" t="s">
        <v>1816</v>
      </c>
      <c r="H229" s="87" t="s">
        <v>15</v>
      </c>
      <c r="I229" s="86" t="s">
        <v>1817</v>
      </c>
      <c r="J229" s="86" t="s">
        <v>2275</v>
      </c>
      <c r="K229" s="87" t="s">
        <v>1562</v>
      </c>
      <c r="L229" s="87" t="s">
        <v>1610</v>
      </c>
      <c r="M229" s="87">
        <v>4</v>
      </c>
      <c r="N229" s="161">
        <v>295319</v>
      </c>
      <c r="O229" s="161" t="s">
        <v>2254</v>
      </c>
      <c r="P229" s="168">
        <v>254728762115</v>
      </c>
      <c r="Q229" s="210"/>
    </row>
    <row r="230" spans="1:17" x14ac:dyDescent="0.2">
      <c r="A230" s="138" t="s">
        <v>309</v>
      </c>
      <c r="B230" s="82">
        <v>2018941</v>
      </c>
      <c r="C230" s="82">
        <v>31738</v>
      </c>
      <c r="D230" s="82" t="s">
        <v>310</v>
      </c>
      <c r="E230" s="92">
        <v>67</v>
      </c>
      <c r="F230" s="92" t="str">
        <f>IF(E230&lt;=20,"0-19",
IF(E230&lt;=50,"20-49",
IF(E230&lt;=80,"50-79","80+")))</f>
        <v>50-79</v>
      </c>
      <c r="G230" s="82" t="s">
        <v>311</v>
      </c>
      <c r="H230" s="82" t="s">
        <v>15</v>
      </c>
      <c r="I230" s="82" t="s">
        <v>312</v>
      </c>
      <c r="J230" s="82" t="s">
        <v>2275</v>
      </c>
      <c r="K230" s="92" t="s">
        <v>94</v>
      </c>
      <c r="L230" s="92" t="s">
        <v>67</v>
      </c>
      <c r="M230" s="82">
        <v>4</v>
      </c>
      <c r="N230" s="101">
        <v>230024</v>
      </c>
      <c r="O230" s="82" t="s">
        <v>18</v>
      </c>
      <c r="P230" s="170"/>
      <c r="Q230" s="210"/>
    </row>
    <row r="231" spans="1:17" ht="21" x14ac:dyDescent="0.2">
      <c r="A231" s="139" t="s">
        <v>836</v>
      </c>
      <c r="B231" s="82">
        <v>2005052</v>
      </c>
      <c r="C231" s="82">
        <v>13711</v>
      </c>
      <c r="D231" s="82" t="s">
        <v>73</v>
      </c>
      <c r="E231" s="82">
        <v>57</v>
      </c>
      <c r="F231" s="82" t="str">
        <f>IF(E231&lt;=20,"0-19",
IF(E231&lt;=50,"20-49",
IF(E231&lt;=80,"50-79","80+")))</f>
        <v>50-79</v>
      </c>
      <c r="G231" s="82" t="s">
        <v>280</v>
      </c>
      <c r="H231" s="82" t="s">
        <v>15</v>
      </c>
      <c r="I231" s="92" t="s">
        <v>996</v>
      </c>
      <c r="J231" s="92" t="s">
        <v>2275</v>
      </c>
      <c r="K231" s="92" t="s">
        <v>997</v>
      </c>
      <c r="L231" s="82" t="s">
        <v>851</v>
      </c>
      <c r="M231" s="82">
        <v>4</v>
      </c>
      <c r="N231" s="84">
        <v>125590.39999999999</v>
      </c>
      <c r="O231" s="82" t="s">
        <v>832</v>
      </c>
      <c r="P231" s="170"/>
      <c r="Q231" s="210"/>
    </row>
    <row r="232" spans="1:17" x14ac:dyDescent="0.2">
      <c r="A232" s="105" t="s">
        <v>19</v>
      </c>
      <c r="B232" s="82">
        <v>2017821</v>
      </c>
      <c r="C232" s="82">
        <v>18146</v>
      </c>
      <c r="D232" s="82" t="s">
        <v>1765</v>
      </c>
      <c r="E232" s="82">
        <v>64</v>
      </c>
      <c r="F232" s="82" t="str">
        <f>IF(E232&lt;=20,"0-19",
IF(E232&lt;=50,"20-49",
IF(E232&lt;=80,"50-79","80+")))</f>
        <v>50-79</v>
      </c>
      <c r="G232" s="82" t="s">
        <v>1766</v>
      </c>
      <c r="H232" s="82" t="s">
        <v>22</v>
      </c>
      <c r="I232" s="92" t="s">
        <v>1767</v>
      </c>
      <c r="J232" s="92" t="s">
        <v>2275</v>
      </c>
      <c r="K232" s="82" t="s">
        <v>1594</v>
      </c>
      <c r="L232" s="82" t="s">
        <v>1546</v>
      </c>
      <c r="M232" s="82">
        <v>4</v>
      </c>
      <c r="N232" s="151">
        <v>192101.8</v>
      </c>
      <c r="O232" s="151" t="s">
        <v>2254</v>
      </c>
      <c r="P232" s="152">
        <v>254722862647</v>
      </c>
      <c r="Q232" s="210"/>
    </row>
    <row r="233" spans="1:17" x14ac:dyDescent="0.2">
      <c r="A233" s="104" t="s">
        <v>1768</v>
      </c>
      <c r="B233" s="87">
        <v>2004274</v>
      </c>
      <c r="C233" s="87">
        <v>12673</v>
      </c>
      <c r="D233" s="87" t="s">
        <v>2112</v>
      </c>
      <c r="E233" s="87">
        <v>68</v>
      </c>
      <c r="F233" s="87" t="str">
        <f>IF(E233&lt;=20,"0-19",
IF(E233&lt;=50,"20-49",
IF(E233&lt;=80,"50-79","80+")))</f>
        <v>50-79</v>
      </c>
      <c r="G233" s="87" t="s">
        <v>517</v>
      </c>
      <c r="H233" s="87" t="s">
        <v>22</v>
      </c>
      <c r="I233" s="87" t="s">
        <v>2113</v>
      </c>
      <c r="J233" s="87" t="s">
        <v>2275</v>
      </c>
      <c r="K233" s="86" t="s">
        <v>1567</v>
      </c>
      <c r="L233" s="87" t="s">
        <v>1908</v>
      </c>
      <c r="M233" s="87">
        <v>4</v>
      </c>
      <c r="N233" s="161">
        <v>107761</v>
      </c>
      <c r="O233" s="161" t="s">
        <v>2254</v>
      </c>
      <c r="P233" s="168">
        <v>254721929930</v>
      </c>
      <c r="Q233" s="210"/>
    </row>
    <row r="234" spans="1:17" x14ac:dyDescent="0.2">
      <c r="A234" s="139" t="s">
        <v>874</v>
      </c>
      <c r="B234" s="93">
        <v>2407407</v>
      </c>
      <c r="C234" s="82">
        <v>67066</v>
      </c>
      <c r="D234" s="82" t="s">
        <v>905</v>
      </c>
      <c r="E234" s="93">
        <v>60</v>
      </c>
      <c r="F234" s="93" t="str">
        <f>IF(E234&lt;=20,"0-19",
IF(E234&lt;=50,"20-49",
IF(E234&lt;=80,"50-79","80+")))</f>
        <v>50-79</v>
      </c>
      <c r="G234" s="93" t="s">
        <v>1011</v>
      </c>
      <c r="H234" s="93" t="s">
        <v>22</v>
      </c>
      <c r="I234" s="93" t="s">
        <v>1012</v>
      </c>
      <c r="J234" s="93" t="s">
        <v>2275</v>
      </c>
      <c r="K234" s="93" t="s">
        <v>190</v>
      </c>
      <c r="L234" s="93" t="s">
        <v>880</v>
      </c>
      <c r="M234" s="93">
        <v>4</v>
      </c>
      <c r="N234" s="94">
        <v>151582</v>
      </c>
      <c r="O234" s="82" t="s">
        <v>832</v>
      </c>
      <c r="P234" s="170"/>
      <c r="Q234" s="210"/>
    </row>
    <row r="235" spans="1:17" x14ac:dyDescent="0.2">
      <c r="A235" s="139" t="s">
        <v>208</v>
      </c>
      <c r="B235" s="82">
        <v>2503001</v>
      </c>
      <c r="C235" s="82">
        <v>64779</v>
      </c>
      <c r="D235" s="82" t="s">
        <v>1275</v>
      </c>
      <c r="E235" s="82">
        <v>65</v>
      </c>
      <c r="F235" s="82" t="str">
        <f>IF(E235&lt;=20,"0-19",
IF(E235&lt;=50,"20-49",
IF(E235&lt;=80,"50-79","80+")))</f>
        <v>50-79</v>
      </c>
      <c r="G235" s="82" t="s">
        <v>1276</v>
      </c>
      <c r="H235" s="82" t="s">
        <v>22</v>
      </c>
      <c r="I235" s="92" t="s">
        <v>1277</v>
      </c>
      <c r="J235" s="92" t="s">
        <v>2275</v>
      </c>
      <c r="K235" s="92" t="s">
        <v>919</v>
      </c>
      <c r="L235" s="92" t="s">
        <v>1241</v>
      </c>
      <c r="M235" s="82">
        <v>4</v>
      </c>
      <c r="N235" s="84">
        <v>279559</v>
      </c>
      <c r="O235" s="82" t="s">
        <v>832</v>
      </c>
      <c r="P235" s="171"/>
      <c r="Q235" s="210"/>
    </row>
    <row r="236" spans="1:17" x14ac:dyDescent="0.2">
      <c r="A236" s="104" t="s">
        <v>274</v>
      </c>
      <c r="B236" s="87">
        <v>2016153</v>
      </c>
      <c r="C236" s="87">
        <v>62948</v>
      </c>
      <c r="D236" s="87" t="s">
        <v>1654</v>
      </c>
      <c r="E236" s="87">
        <v>62</v>
      </c>
      <c r="F236" s="87" t="str">
        <f>IF(E236&lt;=20,"0-19",
IF(E236&lt;=50,"20-49",
IF(E236&lt;=80,"50-79","80+")))</f>
        <v>50-79</v>
      </c>
      <c r="G236" s="87" t="s">
        <v>1655</v>
      </c>
      <c r="H236" s="87" t="s">
        <v>664</v>
      </c>
      <c r="I236" s="86" t="s">
        <v>383</v>
      </c>
      <c r="J236" s="86" t="s">
        <v>2275</v>
      </c>
      <c r="K236" s="87" t="s">
        <v>1556</v>
      </c>
      <c r="L236" s="87" t="s">
        <v>1543</v>
      </c>
      <c r="M236" s="87">
        <v>4</v>
      </c>
      <c r="N236" s="161">
        <v>58968.12</v>
      </c>
      <c r="O236" s="161" t="s">
        <v>2254</v>
      </c>
      <c r="P236" s="168">
        <v>254720308687</v>
      </c>
      <c r="Q236" s="210"/>
    </row>
    <row r="237" spans="1:17" x14ac:dyDescent="0.2">
      <c r="A237" s="194" t="s">
        <v>380</v>
      </c>
      <c r="B237" s="199">
        <v>2002927</v>
      </c>
      <c r="C237" s="199">
        <v>16219</v>
      </c>
      <c r="D237" s="199" t="s">
        <v>381</v>
      </c>
      <c r="E237" s="199">
        <v>72</v>
      </c>
      <c r="F237" s="199" t="str">
        <f>IF(E237&lt;=20,"0-19",
IF(E237&lt;=50,"20-49",
IF(E237&lt;=80,"50-79","80+")))</f>
        <v>50-79</v>
      </c>
      <c r="G237" s="199" t="s">
        <v>382</v>
      </c>
      <c r="H237" s="199" t="s">
        <v>22</v>
      </c>
      <c r="I237" s="199" t="s">
        <v>383</v>
      </c>
      <c r="J237" s="199" t="s">
        <v>2275</v>
      </c>
      <c r="K237" s="199" t="s">
        <v>108</v>
      </c>
      <c r="L237" s="188" t="s">
        <v>190</v>
      </c>
      <c r="M237" s="86">
        <v>4</v>
      </c>
      <c r="N237" s="192">
        <v>180455</v>
      </c>
      <c r="O237" s="87" t="s">
        <v>18</v>
      </c>
      <c r="P237" s="171"/>
      <c r="Q237" s="210"/>
    </row>
    <row r="238" spans="1:17" ht="21" x14ac:dyDescent="0.2">
      <c r="A238" s="139" t="s">
        <v>142</v>
      </c>
      <c r="B238" s="113">
        <v>2407161</v>
      </c>
      <c r="C238" s="113">
        <v>104386</v>
      </c>
      <c r="D238" s="114" t="s">
        <v>344</v>
      </c>
      <c r="E238" s="113">
        <v>60</v>
      </c>
      <c r="F238" s="113" t="str">
        <f>IF(E238&lt;=20,"0-19",
IF(E238&lt;=50,"20-49",
IF(E238&lt;=80,"50-79","80+")))</f>
        <v>50-79</v>
      </c>
      <c r="G238" s="113" t="s">
        <v>345</v>
      </c>
      <c r="H238" s="113" t="s">
        <v>15</v>
      </c>
      <c r="I238" s="114" t="s">
        <v>346</v>
      </c>
      <c r="J238" s="114" t="s">
        <v>2275</v>
      </c>
      <c r="K238" s="114" t="s">
        <v>51</v>
      </c>
      <c r="L238" s="113" t="s">
        <v>37</v>
      </c>
      <c r="M238" s="114">
        <v>4</v>
      </c>
      <c r="N238" s="115">
        <v>187681.97</v>
      </c>
      <c r="O238" s="82" t="s">
        <v>18</v>
      </c>
      <c r="P238" s="170"/>
      <c r="Q238" s="210"/>
    </row>
    <row r="239" spans="1:17" x14ac:dyDescent="0.2">
      <c r="A239" s="104" t="s">
        <v>1690</v>
      </c>
      <c r="B239" s="86">
        <v>2407114</v>
      </c>
      <c r="C239" s="87">
        <v>67490</v>
      </c>
      <c r="D239" s="86" t="s">
        <v>1832</v>
      </c>
      <c r="E239" s="86">
        <v>58</v>
      </c>
      <c r="F239" s="86" t="str">
        <f>IF(E239&lt;=20,"0-19",
IF(E239&lt;=50,"20-49",
IF(E239&lt;=80,"50-79","80+")))</f>
        <v>50-79</v>
      </c>
      <c r="G239" s="86" t="s">
        <v>1833</v>
      </c>
      <c r="H239" s="86" t="s">
        <v>22</v>
      </c>
      <c r="I239" s="86" t="s">
        <v>2231</v>
      </c>
      <c r="J239" s="86" t="s">
        <v>2275</v>
      </c>
      <c r="K239" s="86" t="s">
        <v>1551</v>
      </c>
      <c r="L239" s="88" t="s">
        <v>1911</v>
      </c>
      <c r="M239" s="86">
        <v>4</v>
      </c>
      <c r="N239" s="164">
        <v>596571</v>
      </c>
      <c r="O239" s="164" t="s">
        <v>2254</v>
      </c>
      <c r="P239" s="168">
        <v>254759231438</v>
      </c>
      <c r="Q239" s="210"/>
    </row>
    <row r="240" spans="1:17" x14ac:dyDescent="0.2">
      <c r="A240" s="103" t="s">
        <v>146</v>
      </c>
      <c r="B240" s="82">
        <v>2021058</v>
      </c>
      <c r="C240" s="82">
        <v>58340</v>
      </c>
      <c r="D240" s="82" t="s">
        <v>2056</v>
      </c>
      <c r="E240" s="82">
        <v>60</v>
      </c>
      <c r="F240" s="82" t="str">
        <f>IF(E240&lt;=20,"0-19",
IF(E240&lt;=50,"20-49",
IF(E240&lt;=80,"50-79","80+")))</f>
        <v>50-79</v>
      </c>
      <c r="G240" s="82" t="s">
        <v>2057</v>
      </c>
      <c r="H240" s="82" t="s">
        <v>15</v>
      </c>
      <c r="I240" s="82" t="s">
        <v>2058</v>
      </c>
      <c r="J240" s="82" t="s">
        <v>2304</v>
      </c>
      <c r="K240" s="92" t="s">
        <v>1559</v>
      </c>
      <c r="L240" s="82" t="s">
        <v>1895</v>
      </c>
      <c r="M240" s="82">
        <v>4</v>
      </c>
      <c r="N240" s="151">
        <v>72744.02</v>
      </c>
      <c r="O240" s="151" t="s">
        <v>2254</v>
      </c>
      <c r="P240" s="152">
        <v>254790911593</v>
      </c>
      <c r="Q240" s="210"/>
    </row>
    <row r="241" spans="1:17" x14ac:dyDescent="0.2">
      <c r="A241" s="139" t="s">
        <v>19</v>
      </c>
      <c r="B241" s="113">
        <v>2008980</v>
      </c>
      <c r="C241" s="113">
        <v>59457</v>
      </c>
      <c r="D241" s="114" t="s">
        <v>313</v>
      </c>
      <c r="E241" s="113">
        <v>65</v>
      </c>
      <c r="F241" s="113" t="str">
        <f>IF(E241&lt;=20,"0-19",
IF(E241&lt;=50,"20-49",
IF(E241&lt;=80,"50-79","80+")))</f>
        <v>50-79</v>
      </c>
      <c r="G241" s="113" t="s">
        <v>314</v>
      </c>
      <c r="H241" s="113" t="s">
        <v>15</v>
      </c>
      <c r="I241" s="114" t="s">
        <v>315</v>
      </c>
      <c r="J241" s="114" t="s">
        <v>2304</v>
      </c>
      <c r="K241" s="114" t="s">
        <v>51</v>
      </c>
      <c r="L241" s="113" t="s">
        <v>37</v>
      </c>
      <c r="M241" s="114">
        <v>4</v>
      </c>
      <c r="N241" s="115">
        <v>108913</v>
      </c>
      <c r="O241" s="87" t="s">
        <v>18</v>
      </c>
      <c r="P241" s="171"/>
      <c r="Q241" s="210"/>
    </row>
    <row r="242" spans="1:17" x14ac:dyDescent="0.2">
      <c r="A242" s="186" t="s">
        <v>354</v>
      </c>
      <c r="B242" s="188">
        <v>2001273</v>
      </c>
      <c r="C242" s="188">
        <v>20535</v>
      </c>
      <c r="D242" s="188" t="s">
        <v>387</v>
      </c>
      <c r="E242" s="188">
        <v>80</v>
      </c>
      <c r="F242" s="188" t="str">
        <f>IF(E242&lt;=20,"0-19",
IF(E242&lt;=50,"20-49",
IF(E242&lt;=80,"50-79","80+")))</f>
        <v>50-79</v>
      </c>
      <c r="G242" s="188" t="s">
        <v>388</v>
      </c>
      <c r="H242" s="188" t="s">
        <v>22</v>
      </c>
      <c r="I242" s="188" t="s">
        <v>389</v>
      </c>
      <c r="J242" s="188" t="s">
        <v>2304</v>
      </c>
      <c r="K242" s="188" t="s">
        <v>108</v>
      </c>
      <c r="L242" s="188" t="s">
        <v>190</v>
      </c>
      <c r="M242" s="88">
        <v>4</v>
      </c>
      <c r="N242" s="204">
        <v>71187.899999999994</v>
      </c>
      <c r="O242" s="87" t="s">
        <v>18</v>
      </c>
      <c r="P242" s="171"/>
      <c r="Q242" s="210"/>
    </row>
    <row r="243" spans="1:17" x14ac:dyDescent="0.2">
      <c r="A243" s="103" t="s">
        <v>350</v>
      </c>
      <c r="B243" s="82">
        <v>2019013</v>
      </c>
      <c r="C243" s="82">
        <v>105870</v>
      </c>
      <c r="D243" s="82" t="s">
        <v>358</v>
      </c>
      <c r="E243" s="92">
        <v>49</v>
      </c>
      <c r="F243" s="92" t="str">
        <f>IF(E243&lt;=20,"0-19",
IF(E243&lt;=50,"20-49",
IF(E243&lt;=80,"50-79","80+")))</f>
        <v>20-49</v>
      </c>
      <c r="G243" s="82" t="s">
        <v>359</v>
      </c>
      <c r="H243" s="82" t="s">
        <v>15</v>
      </c>
      <c r="I243" s="82" t="s">
        <v>360</v>
      </c>
      <c r="J243" s="82" t="s">
        <v>2304</v>
      </c>
      <c r="K243" s="92" t="s">
        <v>30</v>
      </c>
      <c r="L243" s="92" t="s">
        <v>85</v>
      </c>
      <c r="M243" s="82">
        <v>4</v>
      </c>
      <c r="N243" s="101">
        <v>50173</v>
      </c>
      <c r="O243" s="82" t="s">
        <v>18</v>
      </c>
      <c r="P243" s="170"/>
      <c r="Q243" s="210"/>
    </row>
    <row r="244" spans="1:17" x14ac:dyDescent="0.2">
      <c r="A244" s="105" t="s">
        <v>72</v>
      </c>
      <c r="B244" s="82">
        <v>2407491</v>
      </c>
      <c r="C244" s="82">
        <v>58327</v>
      </c>
      <c r="D244" s="82" t="s">
        <v>370</v>
      </c>
      <c r="E244" s="92">
        <v>59</v>
      </c>
      <c r="F244" s="92" t="str">
        <f>IF(E244&lt;=20,"0-19",
IF(E244&lt;=50,"20-49",
IF(E244&lt;=80,"50-79","80+")))</f>
        <v>50-79</v>
      </c>
      <c r="G244" s="82" t="s">
        <v>371</v>
      </c>
      <c r="H244" s="82" t="s">
        <v>15</v>
      </c>
      <c r="I244" s="82" t="s">
        <v>372</v>
      </c>
      <c r="J244" s="82" t="s">
        <v>2328</v>
      </c>
      <c r="K244" s="92" t="s">
        <v>67</v>
      </c>
      <c r="L244" s="92" t="s">
        <v>108</v>
      </c>
      <c r="M244" s="82">
        <v>4</v>
      </c>
      <c r="N244" s="101">
        <v>149582.6</v>
      </c>
      <c r="O244" s="82" t="s">
        <v>18</v>
      </c>
      <c r="P244" s="170"/>
      <c r="Q244" s="210"/>
    </row>
    <row r="245" spans="1:17" x14ac:dyDescent="0.2">
      <c r="A245" s="139" t="s">
        <v>856</v>
      </c>
      <c r="B245" s="82">
        <v>2002605</v>
      </c>
      <c r="C245" s="82">
        <v>11287</v>
      </c>
      <c r="D245" s="82" t="s">
        <v>1340</v>
      </c>
      <c r="E245" s="82">
        <v>67</v>
      </c>
      <c r="F245" s="82" t="str">
        <f>IF(E245&lt;=20,"0-19",
IF(E245&lt;=50,"20-49",
IF(E245&lt;=80,"50-79","80+")))</f>
        <v>50-79</v>
      </c>
      <c r="G245" s="82" t="s">
        <v>1293</v>
      </c>
      <c r="H245" s="82" t="s">
        <v>22</v>
      </c>
      <c r="I245" s="82" t="s">
        <v>1341</v>
      </c>
      <c r="J245" s="82" t="s">
        <v>2328</v>
      </c>
      <c r="K245" s="82" t="s">
        <v>909</v>
      </c>
      <c r="L245" s="82" t="s">
        <v>1236</v>
      </c>
      <c r="M245" s="82">
        <v>4</v>
      </c>
      <c r="N245" s="84">
        <v>419329.62</v>
      </c>
      <c r="O245" s="82" t="s">
        <v>832</v>
      </c>
      <c r="P245" s="170"/>
      <c r="Q245" s="210"/>
    </row>
    <row r="246" spans="1:17" ht="21" x14ac:dyDescent="0.2">
      <c r="A246" s="139" t="s">
        <v>68</v>
      </c>
      <c r="B246" s="113">
        <v>2011133</v>
      </c>
      <c r="C246" s="113">
        <v>12331</v>
      </c>
      <c r="D246" s="114" t="s">
        <v>347</v>
      </c>
      <c r="E246" s="113">
        <v>68</v>
      </c>
      <c r="F246" s="113" t="str">
        <f>IF(E246&lt;=20,"0-19",
IF(E246&lt;=50,"20-49",
IF(E246&lt;=80,"50-79","80+")))</f>
        <v>50-79</v>
      </c>
      <c r="G246" s="113" t="s">
        <v>348</v>
      </c>
      <c r="H246" s="113" t="s">
        <v>15</v>
      </c>
      <c r="I246" s="114" t="s">
        <v>349</v>
      </c>
      <c r="J246" s="114" t="s">
        <v>2328</v>
      </c>
      <c r="K246" s="114" t="s">
        <v>57</v>
      </c>
      <c r="L246" s="113" t="s">
        <v>36</v>
      </c>
      <c r="M246" s="114">
        <v>4</v>
      </c>
      <c r="N246" s="115">
        <v>568737</v>
      </c>
      <c r="O246" s="87" t="s">
        <v>18</v>
      </c>
      <c r="P246" s="171"/>
      <c r="Q246" s="210"/>
    </row>
    <row r="247" spans="1:17" ht="21" x14ac:dyDescent="0.2">
      <c r="A247" s="139" t="s">
        <v>1399</v>
      </c>
      <c r="B247" s="92">
        <v>2508065</v>
      </c>
      <c r="C247" s="82">
        <v>33978</v>
      </c>
      <c r="D247" s="92" t="s">
        <v>1400</v>
      </c>
      <c r="E247" s="92">
        <v>61</v>
      </c>
      <c r="F247" s="92" t="str">
        <f>IF(E247&lt;=20,"0-19",
IF(E247&lt;=50,"20-49",
IF(E247&lt;=80,"50-79","80+")))</f>
        <v>50-79</v>
      </c>
      <c r="G247" s="92" t="s">
        <v>1401</v>
      </c>
      <c r="H247" s="92" t="s">
        <v>22</v>
      </c>
      <c r="I247" s="92" t="s">
        <v>1402</v>
      </c>
      <c r="J247" s="92" t="s">
        <v>2288</v>
      </c>
      <c r="K247" s="92" t="s">
        <v>1288</v>
      </c>
      <c r="L247" s="93" t="s">
        <v>1232</v>
      </c>
      <c r="M247" s="93">
        <v>4</v>
      </c>
      <c r="N247" s="94">
        <v>89510</v>
      </c>
      <c r="O247" s="82" t="s">
        <v>832</v>
      </c>
      <c r="P247" s="171"/>
      <c r="Q247" s="210"/>
    </row>
    <row r="248" spans="1:17" x14ac:dyDescent="0.2">
      <c r="A248" s="139" t="s">
        <v>340</v>
      </c>
      <c r="B248" s="82">
        <v>2003427</v>
      </c>
      <c r="C248" s="82">
        <v>9108</v>
      </c>
      <c r="D248" s="82" t="s">
        <v>341</v>
      </c>
      <c r="E248" s="82">
        <v>67</v>
      </c>
      <c r="F248" s="82" t="str">
        <f>IF(E248&lt;=20,"0-19",
IF(E248&lt;=50,"20-49",
IF(E248&lt;=80,"50-79","80+")))</f>
        <v>50-79</v>
      </c>
      <c r="G248" s="82" t="s">
        <v>342</v>
      </c>
      <c r="H248" s="82" t="s">
        <v>22</v>
      </c>
      <c r="I248" s="92" t="s">
        <v>995</v>
      </c>
      <c r="J248" s="92" t="s">
        <v>2288</v>
      </c>
      <c r="K248" s="92" t="s">
        <v>193</v>
      </c>
      <c r="L248" s="82" t="s">
        <v>834</v>
      </c>
      <c r="M248" s="82">
        <v>4</v>
      </c>
      <c r="N248" s="84">
        <v>65236</v>
      </c>
      <c r="O248" s="82" t="s">
        <v>832</v>
      </c>
      <c r="P248" s="171"/>
      <c r="Q248" s="210"/>
    </row>
    <row r="249" spans="1:17" ht="21" x14ac:dyDescent="0.2">
      <c r="A249" s="106" t="s">
        <v>221</v>
      </c>
      <c r="B249" s="88">
        <v>2020117</v>
      </c>
      <c r="C249" s="88">
        <v>7872</v>
      </c>
      <c r="D249" s="88" t="s">
        <v>326</v>
      </c>
      <c r="E249" s="88">
        <v>60</v>
      </c>
      <c r="F249" s="88" t="str">
        <f>IF(E249&lt;=20,"0-19",
IF(E249&lt;=50,"20-49",
IF(E249&lt;=80,"50-79","80+")))</f>
        <v>50-79</v>
      </c>
      <c r="G249" s="88" t="s">
        <v>327</v>
      </c>
      <c r="H249" s="88" t="s">
        <v>15</v>
      </c>
      <c r="I249" s="88" t="s">
        <v>328</v>
      </c>
      <c r="J249" s="92" t="s">
        <v>2288</v>
      </c>
      <c r="K249" s="88" t="s">
        <v>79</v>
      </c>
      <c r="L249" s="88" t="s">
        <v>99</v>
      </c>
      <c r="M249" s="88">
        <v>4</v>
      </c>
      <c r="N249" s="90">
        <v>97505.07</v>
      </c>
      <c r="O249" s="87" t="s">
        <v>18</v>
      </c>
      <c r="P249" s="171"/>
      <c r="Q249" s="210"/>
    </row>
    <row r="250" spans="1:17" x14ac:dyDescent="0.2">
      <c r="A250" s="139" t="s">
        <v>562</v>
      </c>
      <c r="B250" s="82">
        <v>2008670</v>
      </c>
      <c r="C250" s="82">
        <v>77163</v>
      </c>
      <c r="D250" s="82" t="s">
        <v>1368</v>
      </c>
      <c r="E250" s="82">
        <v>17</v>
      </c>
      <c r="F250" s="82" t="str">
        <f>IF(E250&lt;=20,"0-19",
IF(E250&lt;=50,"20-49",
IF(E250&lt;=80,"50-79","80+")))</f>
        <v>0-19</v>
      </c>
      <c r="G250" s="82" t="s">
        <v>1369</v>
      </c>
      <c r="H250" s="82" t="s">
        <v>132</v>
      </c>
      <c r="I250" s="82" t="s">
        <v>1370</v>
      </c>
      <c r="J250" s="82" t="s">
        <v>2288</v>
      </c>
      <c r="K250" s="82" t="s">
        <v>1241</v>
      </c>
      <c r="L250" s="82" t="s">
        <v>1231</v>
      </c>
      <c r="M250" s="82">
        <v>4</v>
      </c>
      <c r="N250" s="84">
        <v>143756.5</v>
      </c>
      <c r="O250" s="82" t="s">
        <v>832</v>
      </c>
      <c r="P250" s="170"/>
      <c r="Q250" s="210"/>
    </row>
    <row r="251" spans="1:17" x14ac:dyDescent="0.2">
      <c r="A251" s="103" t="s">
        <v>337</v>
      </c>
      <c r="B251" s="82">
        <v>2009883</v>
      </c>
      <c r="C251" s="82">
        <v>7601</v>
      </c>
      <c r="D251" s="82" t="s">
        <v>338</v>
      </c>
      <c r="E251" s="82">
        <v>69</v>
      </c>
      <c r="F251" s="82" t="str">
        <f>IF(E251&lt;=20,"0-19",
IF(E251&lt;=50,"20-49",
IF(E251&lt;=80,"50-79","80+")))</f>
        <v>50-79</v>
      </c>
      <c r="G251" s="82" t="s">
        <v>60</v>
      </c>
      <c r="H251" s="82" t="s">
        <v>22</v>
      </c>
      <c r="I251" s="82" t="s">
        <v>339</v>
      </c>
      <c r="J251" s="82" t="s">
        <v>2288</v>
      </c>
      <c r="K251" s="82" t="s">
        <v>66</v>
      </c>
      <c r="L251" s="82" t="s">
        <v>31</v>
      </c>
      <c r="M251" s="82">
        <v>4</v>
      </c>
      <c r="N251" s="84">
        <v>178761</v>
      </c>
      <c r="O251" s="82" t="s">
        <v>18</v>
      </c>
      <c r="P251" s="170"/>
      <c r="Q251" s="210"/>
    </row>
    <row r="252" spans="1:17" x14ac:dyDescent="0.2">
      <c r="A252" s="139" t="s">
        <v>1020</v>
      </c>
      <c r="B252" s="82">
        <v>2602004</v>
      </c>
      <c r="C252" s="82">
        <v>62092</v>
      </c>
      <c r="D252" s="82" t="s">
        <v>1021</v>
      </c>
      <c r="E252" s="82">
        <v>59</v>
      </c>
      <c r="F252" s="82" t="str">
        <f>IF(E252&lt;=20,"0-19",
IF(E252&lt;=50,"20-49",
IF(E252&lt;=80,"50-79","80+")))</f>
        <v>50-79</v>
      </c>
      <c r="G252" s="82" t="s">
        <v>1022</v>
      </c>
      <c r="H252" s="82" t="s">
        <v>22</v>
      </c>
      <c r="I252" s="92" t="s">
        <v>1023</v>
      </c>
      <c r="J252" s="92" t="s">
        <v>2288</v>
      </c>
      <c r="K252" s="92" t="s">
        <v>834</v>
      </c>
      <c r="L252" s="82" t="s">
        <v>846</v>
      </c>
      <c r="M252" s="82">
        <v>4</v>
      </c>
      <c r="N252" s="84">
        <v>114734</v>
      </c>
      <c r="O252" s="82" t="s">
        <v>832</v>
      </c>
      <c r="P252" s="170"/>
      <c r="Q252" s="210"/>
    </row>
    <row r="253" spans="1:17" x14ac:dyDescent="0.2">
      <c r="A253" s="108" t="s">
        <v>340</v>
      </c>
      <c r="B253" s="87">
        <v>2003427</v>
      </c>
      <c r="C253" s="87">
        <v>9108</v>
      </c>
      <c r="D253" s="87" t="s">
        <v>341</v>
      </c>
      <c r="E253" s="86">
        <v>68</v>
      </c>
      <c r="F253" s="86" t="str">
        <f>IF(E253&lt;=20,"0-19",
IF(E253&lt;=50,"20-49",
IF(E253&lt;=80,"50-79","80+")))</f>
        <v>50-79</v>
      </c>
      <c r="G253" s="87" t="s">
        <v>342</v>
      </c>
      <c r="H253" s="87" t="s">
        <v>22</v>
      </c>
      <c r="I253" s="87" t="s">
        <v>343</v>
      </c>
      <c r="J253" s="87" t="s">
        <v>2288</v>
      </c>
      <c r="K253" s="86" t="s">
        <v>67</v>
      </c>
      <c r="L253" s="86" t="s">
        <v>108</v>
      </c>
      <c r="M253" s="87">
        <v>4</v>
      </c>
      <c r="N253" s="97">
        <v>62800</v>
      </c>
      <c r="O253" s="87" t="s">
        <v>18</v>
      </c>
      <c r="P253" s="171"/>
      <c r="Q253" s="210"/>
    </row>
    <row r="254" spans="1:17" x14ac:dyDescent="0.2">
      <c r="A254" s="103" t="s">
        <v>350</v>
      </c>
      <c r="B254" s="82">
        <v>2003346</v>
      </c>
      <c r="C254" s="82">
        <v>11127</v>
      </c>
      <c r="D254" s="82" t="s">
        <v>351</v>
      </c>
      <c r="E254" s="92">
        <v>68</v>
      </c>
      <c r="F254" s="92" t="str">
        <f>IF(E254&lt;=20,"0-19",
IF(E254&lt;=50,"20-49",
IF(E254&lt;=80,"50-79","80+")))</f>
        <v>50-79</v>
      </c>
      <c r="G254" s="82" t="s">
        <v>352</v>
      </c>
      <c r="H254" s="82" t="s">
        <v>22</v>
      </c>
      <c r="I254" s="82" t="s">
        <v>353</v>
      </c>
      <c r="J254" s="82" t="s">
        <v>2288</v>
      </c>
      <c r="K254" s="92" t="s">
        <v>36</v>
      </c>
      <c r="L254" s="92" t="s">
        <v>79</v>
      </c>
      <c r="M254" s="82">
        <v>4</v>
      </c>
      <c r="N254" s="101">
        <v>201643</v>
      </c>
      <c r="O254" s="82" t="s">
        <v>18</v>
      </c>
      <c r="P254" s="170"/>
      <c r="Q254" s="210"/>
    </row>
    <row r="255" spans="1:17" x14ac:dyDescent="0.2">
      <c r="A255" s="104" t="s">
        <v>1684</v>
      </c>
      <c r="B255" s="87">
        <v>2004863</v>
      </c>
      <c r="C255" s="87">
        <v>104510</v>
      </c>
      <c r="D255" s="87" t="s">
        <v>1685</v>
      </c>
      <c r="E255" s="87">
        <v>40</v>
      </c>
      <c r="F255" s="87" t="str">
        <f>IF(E255&lt;=20,"0-19",
IF(E255&lt;=50,"20-49",
IF(E255&lt;=80,"50-79","80+")))</f>
        <v>20-49</v>
      </c>
      <c r="G255" s="87" t="s">
        <v>1686</v>
      </c>
      <c r="H255" s="87" t="s">
        <v>706</v>
      </c>
      <c r="I255" s="86" t="s">
        <v>1687</v>
      </c>
      <c r="J255" s="86" t="s">
        <v>2288</v>
      </c>
      <c r="K255" s="87" t="s">
        <v>1610</v>
      </c>
      <c r="L255" s="87" t="s">
        <v>1543</v>
      </c>
      <c r="M255" s="87">
        <v>4</v>
      </c>
      <c r="N255" s="161">
        <v>73167.5</v>
      </c>
      <c r="O255" s="161" t="s">
        <v>2254</v>
      </c>
      <c r="P255" s="168">
        <v>254722720356</v>
      </c>
      <c r="Q255" s="210"/>
    </row>
    <row r="256" spans="1:17" x14ac:dyDescent="0.2">
      <c r="A256" s="139" t="s">
        <v>373</v>
      </c>
      <c r="B256" s="87">
        <v>2007704</v>
      </c>
      <c r="C256" s="87">
        <v>100569</v>
      </c>
      <c r="D256" s="87" t="s">
        <v>374</v>
      </c>
      <c r="E256" s="86">
        <v>64</v>
      </c>
      <c r="F256" s="86" t="str">
        <f>IF(E256&lt;=20,"0-19",
IF(E256&lt;=50,"20-49",
IF(E256&lt;=80,"50-79","80+")))</f>
        <v>50-79</v>
      </c>
      <c r="G256" s="87" t="s">
        <v>375</v>
      </c>
      <c r="H256" s="87" t="s">
        <v>22</v>
      </c>
      <c r="I256" s="87" t="s">
        <v>376</v>
      </c>
      <c r="J256" s="87" t="s">
        <v>2288</v>
      </c>
      <c r="K256" s="86" t="s">
        <v>36</v>
      </c>
      <c r="L256" s="86" t="s">
        <v>141</v>
      </c>
      <c r="M256" s="87">
        <v>4</v>
      </c>
      <c r="N256" s="97">
        <v>384200</v>
      </c>
      <c r="O256" s="87" t="s">
        <v>18</v>
      </c>
      <c r="P256" s="171"/>
      <c r="Q256" s="210"/>
    </row>
    <row r="257" spans="1:17" x14ac:dyDescent="0.2">
      <c r="A257" s="139" t="s">
        <v>1482</v>
      </c>
      <c r="B257" s="82">
        <v>2017426</v>
      </c>
      <c r="C257" s="82">
        <v>103194</v>
      </c>
      <c r="D257" s="82" t="s">
        <v>1003</v>
      </c>
      <c r="E257" s="82">
        <v>57</v>
      </c>
      <c r="F257" s="82" t="str">
        <f>IF(E257&lt;=20,"0-19",
IF(E257&lt;=50,"20-49",
IF(E257&lt;=80,"50-79","80+")))</f>
        <v>50-79</v>
      </c>
      <c r="G257" s="82" t="s">
        <v>1004</v>
      </c>
      <c r="H257" s="82" t="s">
        <v>15</v>
      </c>
      <c r="I257" s="92" t="s">
        <v>1005</v>
      </c>
      <c r="J257" s="92" t="s">
        <v>2288</v>
      </c>
      <c r="K257" s="92" t="s">
        <v>834</v>
      </c>
      <c r="L257" s="82" t="s">
        <v>846</v>
      </c>
      <c r="M257" s="82">
        <v>4</v>
      </c>
      <c r="N257" s="84">
        <v>154345.79</v>
      </c>
      <c r="O257" s="82" t="s">
        <v>832</v>
      </c>
      <c r="P257" s="170"/>
      <c r="Q257" s="210"/>
    </row>
    <row r="258" spans="1:17" x14ac:dyDescent="0.2">
      <c r="A258" s="139" t="s">
        <v>1237</v>
      </c>
      <c r="B258" s="82">
        <v>2406083</v>
      </c>
      <c r="C258" s="82">
        <v>54863</v>
      </c>
      <c r="D258" s="82" t="s">
        <v>1009</v>
      </c>
      <c r="E258" s="82">
        <v>63</v>
      </c>
      <c r="F258" s="82" t="str">
        <f>IF(E258&lt;=20,"0-19",
IF(E258&lt;=50,"20-49",
IF(E258&lt;=80,"50-79","80+")))</f>
        <v>50-79</v>
      </c>
      <c r="G258" s="82" t="s">
        <v>1010</v>
      </c>
      <c r="H258" s="82" t="s">
        <v>22</v>
      </c>
      <c r="I258" s="92" t="s">
        <v>227</v>
      </c>
      <c r="J258" s="92" t="s">
        <v>2295</v>
      </c>
      <c r="K258" s="92" t="s">
        <v>880</v>
      </c>
      <c r="L258" s="82" t="s">
        <v>896</v>
      </c>
      <c r="M258" s="82">
        <v>4</v>
      </c>
      <c r="N258" s="84">
        <v>321578</v>
      </c>
      <c r="O258" s="82" t="s">
        <v>832</v>
      </c>
      <c r="P258" s="170"/>
      <c r="Q258" s="210"/>
    </row>
    <row r="259" spans="1:17" x14ac:dyDescent="0.2">
      <c r="A259" s="139" t="s">
        <v>19</v>
      </c>
      <c r="B259" s="82">
        <v>2010997</v>
      </c>
      <c r="C259" s="82">
        <v>13144</v>
      </c>
      <c r="D259" s="82" t="s">
        <v>998</v>
      </c>
      <c r="E259" s="82">
        <v>73</v>
      </c>
      <c r="F259" s="82" t="str">
        <f>IF(E259&lt;=20,"0-19",
IF(E259&lt;=50,"20-49",
IF(E259&lt;=80,"50-79","80+")))</f>
        <v>50-79</v>
      </c>
      <c r="G259" s="82" t="s">
        <v>60</v>
      </c>
      <c r="H259" s="82" t="s">
        <v>22</v>
      </c>
      <c r="I259" s="82" t="s">
        <v>379</v>
      </c>
      <c r="J259" s="82" t="s">
        <v>2295</v>
      </c>
      <c r="K259" s="92" t="s">
        <v>901</v>
      </c>
      <c r="L259" s="92" t="s">
        <v>860</v>
      </c>
      <c r="M259" s="82">
        <v>4</v>
      </c>
      <c r="N259" s="84">
        <v>366866.1</v>
      </c>
      <c r="O259" s="82" t="s">
        <v>832</v>
      </c>
      <c r="P259" s="171"/>
      <c r="Q259" s="210"/>
    </row>
    <row r="260" spans="1:17" x14ac:dyDescent="0.2">
      <c r="A260" s="187" t="s">
        <v>377</v>
      </c>
      <c r="B260" s="189">
        <v>2019239</v>
      </c>
      <c r="C260" s="189">
        <v>16425</v>
      </c>
      <c r="D260" s="189" t="s">
        <v>378</v>
      </c>
      <c r="E260" s="189">
        <v>63</v>
      </c>
      <c r="F260" s="189" t="str">
        <f>IF(E260&lt;=20,"0-19",
IF(E260&lt;=50,"20-49",
IF(E260&lt;=80,"50-79","80+")))</f>
        <v>50-79</v>
      </c>
      <c r="G260" s="189" t="s">
        <v>60</v>
      </c>
      <c r="H260" s="189" t="s">
        <v>22</v>
      </c>
      <c r="I260" s="189" t="s">
        <v>379</v>
      </c>
      <c r="J260" s="189" t="s">
        <v>2295</v>
      </c>
      <c r="K260" s="189" t="s">
        <v>31</v>
      </c>
      <c r="L260" s="189" t="s">
        <v>289</v>
      </c>
      <c r="M260" s="92">
        <v>4</v>
      </c>
      <c r="N260" s="205">
        <v>337550</v>
      </c>
      <c r="O260" s="82" t="s">
        <v>18</v>
      </c>
      <c r="P260" s="170"/>
      <c r="Q260" s="210"/>
    </row>
    <row r="261" spans="1:17" x14ac:dyDescent="0.2">
      <c r="A261" s="104" t="s">
        <v>1700</v>
      </c>
      <c r="B261" s="87">
        <v>2006695</v>
      </c>
      <c r="C261" s="87">
        <v>100802</v>
      </c>
      <c r="D261" s="87" t="s">
        <v>1732</v>
      </c>
      <c r="E261" s="87">
        <v>66</v>
      </c>
      <c r="F261" s="87" t="str">
        <f>IF(E261&lt;=20,"0-19",
IF(E261&lt;=50,"20-49",
IF(E261&lt;=80,"50-79","80+")))</f>
        <v>50-79</v>
      </c>
      <c r="G261" s="87" t="s">
        <v>1733</v>
      </c>
      <c r="H261" s="87" t="s">
        <v>22</v>
      </c>
      <c r="I261" s="86" t="s">
        <v>1734</v>
      </c>
      <c r="J261" s="86" t="s">
        <v>2295</v>
      </c>
      <c r="K261" s="87" t="s">
        <v>1562</v>
      </c>
      <c r="L261" s="87" t="s">
        <v>1556</v>
      </c>
      <c r="M261" s="87">
        <v>4</v>
      </c>
      <c r="N261" s="161">
        <v>111522</v>
      </c>
      <c r="O261" s="161" t="s">
        <v>2254</v>
      </c>
      <c r="P261" s="168">
        <v>254727502382</v>
      </c>
      <c r="Q261" s="210"/>
    </row>
    <row r="262" spans="1:17" x14ac:dyDescent="0.2">
      <c r="A262" s="104" t="s">
        <v>72</v>
      </c>
      <c r="B262" s="87">
        <v>2017014</v>
      </c>
      <c r="C262" s="87">
        <v>59161</v>
      </c>
      <c r="D262" s="87" t="s">
        <v>1835</v>
      </c>
      <c r="E262" s="87">
        <v>61</v>
      </c>
      <c r="F262" s="87" t="str">
        <f>IF(E262&lt;=20,"0-19",
IF(E262&lt;=50,"20-49",
IF(E262&lt;=80,"50-79","80+")))</f>
        <v>50-79</v>
      </c>
      <c r="G262" s="87" t="s">
        <v>1836</v>
      </c>
      <c r="H262" s="87" t="s">
        <v>22</v>
      </c>
      <c r="I262" s="86" t="s">
        <v>1837</v>
      </c>
      <c r="J262" s="86" t="s">
        <v>2295</v>
      </c>
      <c r="K262" s="87" t="s">
        <v>1546</v>
      </c>
      <c r="L262" s="87" t="s">
        <v>1572</v>
      </c>
      <c r="M262" s="87">
        <v>4</v>
      </c>
      <c r="N262" s="161">
        <v>363704.8</v>
      </c>
      <c r="O262" s="161" t="s">
        <v>2254</v>
      </c>
      <c r="P262" s="168">
        <v>254722680420</v>
      </c>
      <c r="Q262" s="210"/>
    </row>
    <row r="263" spans="1:17" x14ac:dyDescent="0.2">
      <c r="A263" s="105" t="s">
        <v>1690</v>
      </c>
      <c r="B263" s="82">
        <v>2001355</v>
      </c>
      <c r="C263" s="82">
        <v>4799</v>
      </c>
      <c r="D263" s="82" t="s">
        <v>2160</v>
      </c>
      <c r="E263" s="82">
        <v>78</v>
      </c>
      <c r="F263" s="82" t="str">
        <f>IF(E263&lt;=20,"0-19",
IF(E263&lt;=50,"20-49",
IF(E263&lt;=80,"50-79","80+")))</f>
        <v>50-79</v>
      </c>
      <c r="G263" s="82" t="s">
        <v>2161</v>
      </c>
      <c r="H263" s="82" t="s">
        <v>22</v>
      </c>
      <c r="I263" s="82" t="s">
        <v>2162</v>
      </c>
      <c r="J263" s="82" t="s">
        <v>2295</v>
      </c>
      <c r="K263" s="92" t="s">
        <v>1923</v>
      </c>
      <c r="L263" s="82" t="s">
        <v>1921</v>
      </c>
      <c r="M263" s="82">
        <v>4</v>
      </c>
      <c r="N263" s="151">
        <v>173509</v>
      </c>
      <c r="O263" s="151" t="s">
        <v>2254</v>
      </c>
      <c r="P263" s="152">
        <v>254722301464</v>
      </c>
      <c r="Q263" s="210"/>
    </row>
    <row r="264" spans="1:17" x14ac:dyDescent="0.2">
      <c r="A264" s="139" t="s">
        <v>38</v>
      </c>
      <c r="B264" s="87">
        <v>2012328</v>
      </c>
      <c r="C264" s="87">
        <v>101557</v>
      </c>
      <c r="D264" s="87" t="s">
        <v>334</v>
      </c>
      <c r="E264" s="86">
        <v>67</v>
      </c>
      <c r="F264" s="86" t="str">
        <f>IF(E264&lt;=20,"0-19",
IF(E264&lt;=50,"20-49",
IF(E264&lt;=80,"50-79","80+")))</f>
        <v>50-79</v>
      </c>
      <c r="G264" s="87" t="s">
        <v>335</v>
      </c>
      <c r="H264" s="87" t="s">
        <v>22</v>
      </c>
      <c r="I264" s="87" t="s">
        <v>336</v>
      </c>
      <c r="J264" s="87" t="s">
        <v>2295</v>
      </c>
      <c r="K264" s="86" t="s">
        <v>36</v>
      </c>
      <c r="L264" s="86" t="s">
        <v>79</v>
      </c>
      <c r="M264" s="87">
        <v>4</v>
      </c>
      <c r="N264" s="97">
        <v>173896</v>
      </c>
      <c r="O264" s="87" t="s">
        <v>18</v>
      </c>
      <c r="P264" s="171"/>
      <c r="Q264" s="210"/>
    </row>
    <row r="265" spans="1:17" x14ac:dyDescent="0.2">
      <c r="A265" s="139" t="s">
        <v>687</v>
      </c>
      <c r="B265" s="82">
        <v>2001404</v>
      </c>
      <c r="C265" s="82">
        <v>37163</v>
      </c>
      <c r="D265" s="82" t="s">
        <v>688</v>
      </c>
      <c r="E265" s="82">
        <v>63</v>
      </c>
      <c r="F265" s="82" t="str">
        <f>IF(E265&lt;=20,"0-19",
IF(E265&lt;=50,"20-49",
IF(E265&lt;=80,"50-79","80+")))</f>
        <v>50-79</v>
      </c>
      <c r="G265" s="82" t="s">
        <v>1462</v>
      </c>
      <c r="H265" s="82" t="s">
        <v>22</v>
      </c>
      <c r="I265" s="82" t="s">
        <v>1463</v>
      </c>
      <c r="J265" s="82" t="s">
        <v>2295</v>
      </c>
      <c r="K265" s="82" t="s">
        <v>1464</v>
      </c>
      <c r="L265" s="82" t="s">
        <v>1288</v>
      </c>
      <c r="M265" s="82">
        <v>4</v>
      </c>
      <c r="N265" s="84">
        <v>184739</v>
      </c>
      <c r="O265" s="82" t="s">
        <v>832</v>
      </c>
      <c r="P265" s="170"/>
      <c r="Q265" s="210"/>
    </row>
    <row r="266" spans="1:17" ht="31.5" x14ac:dyDescent="0.2">
      <c r="A266" s="139" t="s">
        <v>1503</v>
      </c>
      <c r="B266" s="82">
        <v>2020636</v>
      </c>
      <c r="C266" s="82">
        <v>18572</v>
      </c>
      <c r="D266" s="82" t="s">
        <v>968</v>
      </c>
      <c r="E266" s="82">
        <v>63</v>
      </c>
      <c r="F266" s="82" t="str">
        <f>IF(E266&lt;=20,"0-19",
IF(E266&lt;=50,"20-49",
IF(E266&lt;=80,"50-79","80+")))</f>
        <v>50-79</v>
      </c>
      <c r="G266" s="82" t="s">
        <v>969</v>
      </c>
      <c r="H266" s="82" t="s">
        <v>22</v>
      </c>
      <c r="I266" s="92" t="s">
        <v>1517</v>
      </c>
      <c r="J266" s="92" t="s">
        <v>2295</v>
      </c>
      <c r="K266" s="92" t="s">
        <v>1518</v>
      </c>
      <c r="L266" s="92" t="s">
        <v>851</v>
      </c>
      <c r="M266" s="82">
        <v>4</v>
      </c>
      <c r="N266" s="84">
        <v>127240</v>
      </c>
      <c r="O266" s="82" t="s">
        <v>832</v>
      </c>
      <c r="P266" s="171"/>
      <c r="Q266" s="210"/>
    </row>
    <row r="267" spans="1:17" ht="21" x14ac:dyDescent="0.2">
      <c r="A267" s="107" t="s">
        <v>329</v>
      </c>
      <c r="B267" s="93">
        <v>2002219</v>
      </c>
      <c r="C267" s="82">
        <v>13196</v>
      </c>
      <c r="D267" s="93" t="s">
        <v>330</v>
      </c>
      <c r="E267" s="93">
        <v>70</v>
      </c>
      <c r="F267" s="93" t="str">
        <f>IF(E267&lt;=20,"0-19",
IF(E267&lt;=50,"20-49",
IF(E267&lt;=80,"50-79","80+")))</f>
        <v>50-79</v>
      </c>
      <c r="G267" s="93" t="s">
        <v>331</v>
      </c>
      <c r="H267" s="93" t="s">
        <v>22</v>
      </c>
      <c r="I267" s="93" t="s">
        <v>332</v>
      </c>
      <c r="J267" s="93" t="s">
        <v>2295</v>
      </c>
      <c r="K267" s="93" t="s">
        <v>333</v>
      </c>
      <c r="L267" s="93" t="s">
        <v>78</v>
      </c>
      <c r="M267" s="93">
        <v>4</v>
      </c>
      <c r="N267" s="94">
        <v>42420</v>
      </c>
      <c r="O267" s="82" t="s">
        <v>18</v>
      </c>
      <c r="P267" s="170"/>
      <c r="Q267" s="210"/>
    </row>
    <row r="268" spans="1:17" x14ac:dyDescent="0.2">
      <c r="A268" s="139" t="s">
        <v>208</v>
      </c>
      <c r="B268" s="82">
        <v>2012013</v>
      </c>
      <c r="C268" s="82">
        <v>106164</v>
      </c>
      <c r="D268" s="82" t="s">
        <v>323</v>
      </c>
      <c r="E268" s="92">
        <v>51</v>
      </c>
      <c r="F268" s="92" t="str">
        <f>IF(E268&lt;=20,"0-19",
IF(E268&lt;=50,"20-49",
IF(E268&lt;=80,"50-79","80+")))</f>
        <v>50-79</v>
      </c>
      <c r="G268" s="82" t="s">
        <v>324</v>
      </c>
      <c r="H268" s="82" t="s">
        <v>15</v>
      </c>
      <c r="I268" s="82" t="s">
        <v>325</v>
      </c>
      <c r="J268" s="82" t="s">
        <v>2295</v>
      </c>
      <c r="K268" s="92" t="s">
        <v>94</v>
      </c>
      <c r="L268" s="92" t="s">
        <v>67</v>
      </c>
      <c r="M268" s="82">
        <v>4</v>
      </c>
      <c r="N268" s="101">
        <v>248160</v>
      </c>
      <c r="O268" s="82" t="s">
        <v>18</v>
      </c>
      <c r="P268" s="170"/>
      <c r="Q268" s="210"/>
    </row>
    <row r="269" spans="1:17" x14ac:dyDescent="0.2">
      <c r="A269" s="139" t="s">
        <v>19</v>
      </c>
      <c r="B269" s="82">
        <v>2020673</v>
      </c>
      <c r="C269" s="82">
        <v>19381</v>
      </c>
      <c r="D269" s="82" t="s">
        <v>316</v>
      </c>
      <c r="E269" s="92">
        <v>54</v>
      </c>
      <c r="F269" s="92" t="str">
        <f>IF(E269&lt;=20,"0-19",
IF(E269&lt;=50,"20-49",
IF(E269&lt;=80,"50-79","80+")))</f>
        <v>50-79</v>
      </c>
      <c r="G269" s="82" t="s">
        <v>317</v>
      </c>
      <c r="H269" s="82" t="s">
        <v>15</v>
      </c>
      <c r="I269" s="82" t="s">
        <v>318</v>
      </c>
      <c r="J269" s="114" t="s">
        <v>2295</v>
      </c>
      <c r="K269" s="92" t="s">
        <v>99</v>
      </c>
      <c r="L269" s="92" t="s">
        <v>62</v>
      </c>
      <c r="M269" s="82">
        <v>4</v>
      </c>
      <c r="N269" s="101">
        <v>320000</v>
      </c>
      <c r="O269" s="82" t="s">
        <v>18</v>
      </c>
      <c r="P269" s="170"/>
      <c r="Q269" s="210"/>
    </row>
    <row r="270" spans="1:17" x14ac:dyDescent="0.2">
      <c r="A270" s="139" t="s">
        <v>38</v>
      </c>
      <c r="B270" s="82">
        <v>2019609</v>
      </c>
      <c r="C270" s="82">
        <v>61525</v>
      </c>
      <c r="D270" s="82" t="s">
        <v>848</v>
      </c>
      <c r="E270" s="82">
        <v>45</v>
      </c>
      <c r="F270" s="82" t="str">
        <f>IF(E270&lt;=20,"0-19",
IF(E270&lt;=50,"20-49",
IF(E270&lt;=80,"50-79","80+")))</f>
        <v>20-49</v>
      </c>
      <c r="G270" s="82" t="s">
        <v>14</v>
      </c>
      <c r="H270" s="82" t="s">
        <v>15</v>
      </c>
      <c r="I270" s="92" t="s">
        <v>1006</v>
      </c>
      <c r="J270" s="114" t="s">
        <v>2288</v>
      </c>
      <c r="K270" s="92" t="s">
        <v>843</v>
      </c>
      <c r="L270" s="82" t="s">
        <v>901</v>
      </c>
      <c r="M270" s="82">
        <v>4</v>
      </c>
      <c r="N270" s="84">
        <v>185034</v>
      </c>
      <c r="O270" s="82" t="s">
        <v>832</v>
      </c>
      <c r="P270" s="170"/>
      <c r="Q270" s="210"/>
    </row>
    <row r="271" spans="1:17" x14ac:dyDescent="0.2">
      <c r="A271" s="139" t="s">
        <v>53</v>
      </c>
      <c r="B271" s="82">
        <v>2020238</v>
      </c>
      <c r="C271" s="82">
        <v>43253</v>
      </c>
      <c r="D271" s="82" t="s">
        <v>964</v>
      </c>
      <c r="E271" s="82">
        <v>62</v>
      </c>
      <c r="F271" s="82" t="str">
        <f>IF(E271&lt;=20,"0-19",
IF(E271&lt;=50,"20-49",
IF(E271&lt;=80,"50-79","80+")))</f>
        <v>50-79</v>
      </c>
      <c r="G271" s="82" t="s">
        <v>965</v>
      </c>
      <c r="H271" s="82" t="s">
        <v>15</v>
      </c>
      <c r="I271" s="92" t="s">
        <v>1360</v>
      </c>
      <c r="J271" s="114" t="s">
        <v>2546</v>
      </c>
      <c r="K271" s="92" t="s">
        <v>919</v>
      </c>
      <c r="L271" s="92" t="s">
        <v>1241</v>
      </c>
      <c r="M271" s="82">
        <v>4</v>
      </c>
      <c r="N271" s="84">
        <v>239368</v>
      </c>
      <c r="O271" s="82" t="s">
        <v>832</v>
      </c>
      <c r="P271" s="170"/>
      <c r="Q271" s="210"/>
    </row>
    <row r="272" spans="1:17" ht="21" x14ac:dyDescent="0.2">
      <c r="A272" s="139" t="s">
        <v>267</v>
      </c>
      <c r="B272" s="113">
        <v>2022956</v>
      </c>
      <c r="C272" s="113">
        <v>62197</v>
      </c>
      <c r="D272" s="114" t="s">
        <v>384</v>
      </c>
      <c r="E272" s="113">
        <v>61</v>
      </c>
      <c r="F272" s="113" t="str">
        <f>IF(E272&lt;=20,"0-19",
IF(E272&lt;=50,"20-49",
IF(E272&lt;=80,"50-79","80+")))</f>
        <v>50-79</v>
      </c>
      <c r="G272" s="113" t="s">
        <v>385</v>
      </c>
      <c r="H272" s="113" t="s">
        <v>22</v>
      </c>
      <c r="I272" s="114" t="s">
        <v>386</v>
      </c>
      <c r="J272" s="114" t="s">
        <v>2546</v>
      </c>
      <c r="K272" s="114" t="s">
        <v>270</v>
      </c>
      <c r="L272" s="113" t="s">
        <v>42</v>
      </c>
      <c r="M272" s="114">
        <v>4</v>
      </c>
      <c r="N272" s="115">
        <v>104004</v>
      </c>
      <c r="O272" s="82" t="s">
        <v>18</v>
      </c>
      <c r="P272" s="170"/>
      <c r="Q272" s="210"/>
    </row>
    <row r="273" spans="1:17" x14ac:dyDescent="0.2">
      <c r="A273" s="139" t="s">
        <v>990</v>
      </c>
      <c r="B273" s="82">
        <v>2002085</v>
      </c>
      <c r="C273" s="82">
        <v>18453</v>
      </c>
      <c r="D273" s="82" t="s">
        <v>991</v>
      </c>
      <c r="E273" s="82">
        <v>66</v>
      </c>
      <c r="F273" s="82" t="str">
        <f>IF(E273&lt;=20,"0-19",
IF(E273&lt;=50,"20-49",
IF(E273&lt;=80,"50-79","80+")))</f>
        <v>50-79</v>
      </c>
      <c r="G273" s="82" t="s">
        <v>992</v>
      </c>
      <c r="H273" s="82" t="s">
        <v>22</v>
      </c>
      <c r="I273" s="92" t="s">
        <v>993</v>
      </c>
      <c r="J273" s="114" t="s">
        <v>2546</v>
      </c>
      <c r="K273" s="92" t="s">
        <v>831</v>
      </c>
      <c r="L273" s="82" t="s">
        <v>851</v>
      </c>
      <c r="M273" s="82">
        <v>4</v>
      </c>
      <c r="N273" s="84">
        <v>139402</v>
      </c>
      <c r="O273" s="82" t="s">
        <v>832</v>
      </c>
      <c r="P273" s="170"/>
      <c r="Q273" s="210"/>
    </row>
    <row r="274" spans="1:17" x14ac:dyDescent="0.2">
      <c r="A274" s="104" t="s">
        <v>1565</v>
      </c>
      <c r="B274" s="86">
        <v>2023394</v>
      </c>
      <c r="C274" s="87">
        <v>57893</v>
      </c>
      <c r="D274" s="86" t="s">
        <v>2105</v>
      </c>
      <c r="E274" s="86">
        <v>4</v>
      </c>
      <c r="F274" s="86" t="str">
        <f>IF(E274&lt;=20,"0-19",
IF(E274&lt;=50,"20-49",
IF(E274&lt;=80,"50-79","80+")))</f>
        <v>0-19</v>
      </c>
      <c r="G274" s="86" t="s">
        <v>2106</v>
      </c>
      <c r="H274" s="86" t="s">
        <v>132</v>
      </c>
      <c r="I274" s="86" t="s">
        <v>2107</v>
      </c>
      <c r="J274" s="114" t="s">
        <v>2546</v>
      </c>
      <c r="K274" s="86" t="s">
        <v>2108</v>
      </c>
      <c r="L274" s="88" t="s">
        <v>1906</v>
      </c>
      <c r="M274" s="86">
        <v>4</v>
      </c>
      <c r="N274" s="163">
        <v>97837</v>
      </c>
      <c r="O274" s="163" t="s">
        <v>2254</v>
      </c>
      <c r="P274" s="168">
        <v>254723977077</v>
      </c>
      <c r="Q274" s="210"/>
    </row>
    <row r="275" spans="1:17" x14ac:dyDescent="0.2">
      <c r="A275" s="104" t="s">
        <v>150</v>
      </c>
      <c r="B275" s="87">
        <v>2407285</v>
      </c>
      <c r="C275" s="87">
        <v>66109</v>
      </c>
      <c r="D275" s="87" t="s">
        <v>1570</v>
      </c>
      <c r="E275" s="87">
        <v>49</v>
      </c>
      <c r="F275" s="87" t="str">
        <f>IF(E275&lt;=20,"0-19",
IF(E275&lt;=50,"20-49",
IF(E275&lt;=80,"50-79","80+")))</f>
        <v>20-49</v>
      </c>
      <c r="G275" s="87" t="s">
        <v>1571</v>
      </c>
      <c r="H275" s="87" t="s">
        <v>15</v>
      </c>
      <c r="I275" s="86" t="s">
        <v>260</v>
      </c>
      <c r="J275" s="114" t="s">
        <v>2546</v>
      </c>
      <c r="K275" s="87" t="s">
        <v>1572</v>
      </c>
      <c r="L275" s="87" t="s">
        <v>1551</v>
      </c>
      <c r="M275" s="87">
        <v>4</v>
      </c>
      <c r="N275" s="161">
        <v>11095</v>
      </c>
      <c r="O275" s="161" t="s">
        <v>2254</v>
      </c>
      <c r="P275" s="168">
        <v>254794266660</v>
      </c>
      <c r="Q275" s="210"/>
    </row>
    <row r="276" spans="1:17" x14ac:dyDescent="0.2">
      <c r="A276" s="103" t="s">
        <v>1250</v>
      </c>
      <c r="B276" s="82">
        <v>2017891</v>
      </c>
      <c r="C276" s="82">
        <v>15761</v>
      </c>
      <c r="D276" s="82" t="s">
        <v>2172</v>
      </c>
      <c r="E276" s="82">
        <v>40</v>
      </c>
      <c r="F276" s="82" t="str">
        <f>IF(E276&lt;=20,"0-19",
IF(E276&lt;=50,"20-49",
IF(E276&lt;=80,"50-79","80+")))</f>
        <v>20-49</v>
      </c>
      <c r="G276" s="82" t="s">
        <v>49</v>
      </c>
      <c r="H276" s="82" t="s">
        <v>15</v>
      </c>
      <c r="I276" s="82" t="s">
        <v>2173</v>
      </c>
      <c r="J276" s="82" t="s">
        <v>2310</v>
      </c>
      <c r="K276" s="92" t="s">
        <v>1559</v>
      </c>
      <c r="L276" s="82" t="s">
        <v>1895</v>
      </c>
      <c r="M276" s="82">
        <v>4</v>
      </c>
      <c r="N276" s="151">
        <v>186343</v>
      </c>
      <c r="O276" s="151" t="s">
        <v>2254</v>
      </c>
      <c r="P276" s="152">
        <v>254721421817</v>
      </c>
      <c r="Q276" s="210"/>
    </row>
    <row r="277" spans="1:17" x14ac:dyDescent="0.2">
      <c r="A277" s="139" t="s">
        <v>86</v>
      </c>
      <c r="B277" s="87">
        <v>2009869</v>
      </c>
      <c r="C277" s="87">
        <v>61492</v>
      </c>
      <c r="D277" s="87" t="s">
        <v>305</v>
      </c>
      <c r="E277" s="86">
        <v>59</v>
      </c>
      <c r="F277" s="86" t="str">
        <f>IF(E277&lt;=20,"0-19",
IF(E277&lt;=50,"20-49",
IF(E277&lt;=80,"50-79","80+")))</f>
        <v>50-79</v>
      </c>
      <c r="G277" s="87" t="s">
        <v>306</v>
      </c>
      <c r="H277" s="87" t="s">
        <v>22</v>
      </c>
      <c r="I277" s="87" t="s">
        <v>307</v>
      </c>
      <c r="J277" s="87" t="s">
        <v>2310</v>
      </c>
      <c r="K277" s="86" t="s">
        <v>308</v>
      </c>
      <c r="L277" s="86" t="s">
        <v>95</v>
      </c>
      <c r="M277" s="87">
        <v>4</v>
      </c>
      <c r="N277" s="97">
        <v>209512</v>
      </c>
      <c r="O277" s="87" t="s">
        <v>18</v>
      </c>
      <c r="P277" s="171"/>
      <c r="Q277" s="210"/>
    </row>
    <row r="278" spans="1:17" x14ac:dyDescent="0.2">
      <c r="A278" s="139" t="s">
        <v>350</v>
      </c>
      <c r="B278" s="93">
        <v>2501244</v>
      </c>
      <c r="C278" s="82">
        <v>15954</v>
      </c>
      <c r="D278" s="93" t="s">
        <v>1013</v>
      </c>
      <c r="E278" s="93">
        <v>67</v>
      </c>
      <c r="F278" s="93" t="str">
        <f>IF(E278&lt;=20,"0-19",
IF(E278&lt;=50,"20-49",
IF(E278&lt;=80,"50-79","80+")))</f>
        <v>50-79</v>
      </c>
      <c r="G278" s="93" t="s">
        <v>1014</v>
      </c>
      <c r="H278" s="93" t="s">
        <v>22</v>
      </c>
      <c r="I278" s="93" t="s">
        <v>1015</v>
      </c>
      <c r="J278" s="93" t="s">
        <v>2310</v>
      </c>
      <c r="K278" s="93" t="s">
        <v>193</v>
      </c>
      <c r="L278" s="93" t="s">
        <v>835</v>
      </c>
      <c r="M278" s="93">
        <v>4</v>
      </c>
      <c r="N278" s="94">
        <v>42850</v>
      </c>
      <c r="O278" s="82" t="s">
        <v>832</v>
      </c>
      <c r="P278" s="171"/>
      <c r="Q278" s="210"/>
    </row>
    <row r="279" spans="1:17" x14ac:dyDescent="0.2">
      <c r="A279" s="139" t="s">
        <v>1482</v>
      </c>
      <c r="B279" s="82">
        <v>2003191</v>
      </c>
      <c r="C279" s="82">
        <v>54549</v>
      </c>
      <c r="D279" s="82" t="s">
        <v>994</v>
      </c>
      <c r="E279" s="82">
        <v>66</v>
      </c>
      <c r="F279" s="82" t="str">
        <f>IF(E279&lt;=20,"0-19",
IF(E279&lt;=50,"20-49",
IF(E279&lt;=80,"50-79","80+")))</f>
        <v>50-79</v>
      </c>
      <c r="G279" s="82" t="s">
        <v>60</v>
      </c>
      <c r="H279" s="82" t="s">
        <v>22</v>
      </c>
      <c r="I279" s="92"/>
      <c r="J279" s="114" t="s">
        <v>2270</v>
      </c>
      <c r="K279" s="92" t="s">
        <v>880</v>
      </c>
      <c r="L279" s="82" t="s">
        <v>896</v>
      </c>
      <c r="M279" s="82">
        <v>4</v>
      </c>
      <c r="N279" s="84">
        <v>114180</v>
      </c>
      <c r="O279" s="82" t="s">
        <v>832</v>
      </c>
      <c r="P279" s="171"/>
      <c r="Q279" s="210"/>
    </row>
    <row r="280" spans="1:17" x14ac:dyDescent="0.2">
      <c r="A280" s="103" t="s">
        <v>302</v>
      </c>
      <c r="B280" s="82">
        <v>2012457</v>
      </c>
      <c r="C280" s="82">
        <v>12417</v>
      </c>
      <c r="D280" s="82" t="s">
        <v>303</v>
      </c>
      <c r="E280" s="92">
        <v>66</v>
      </c>
      <c r="F280" s="92" t="str">
        <f>IF(E280&lt;=20,"0-19",
IF(E280&lt;=50,"20-49",
IF(E280&lt;=80,"50-79","80+")))</f>
        <v>50-79</v>
      </c>
      <c r="G280" s="82" t="s">
        <v>60</v>
      </c>
      <c r="H280" s="82" t="s">
        <v>22</v>
      </c>
      <c r="I280" s="82" t="s">
        <v>304</v>
      </c>
      <c r="J280" s="82" t="s">
        <v>2328</v>
      </c>
      <c r="K280" s="92" t="s">
        <v>66</v>
      </c>
      <c r="L280" s="92" t="s">
        <v>31</v>
      </c>
      <c r="M280" s="82">
        <v>4</v>
      </c>
      <c r="N280" s="101">
        <v>144851</v>
      </c>
      <c r="O280" s="82" t="s">
        <v>18</v>
      </c>
      <c r="P280" s="170"/>
      <c r="Q280" s="210"/>
    </row>
    <row r="281" spans="1:17" x14ac:dyDescent="0.2">
      <c r="A281" s="139" t="s">
        <v>881</v>
      </c>
      <c r="B281" s="82">
        <v>2016003</v>
      </c>
      <c r="C281" s="82">
        <v>10935</v>
      </c>
      <c r="D281" s="82" t="s">
        <v>1456</v>
      </c>
      <c r="E281" s="82">
        <v>67</v>
      </c>
      <c r="F281" s="82" t="str">
        <f>IF(E281&lt;=20,"0-19",
IF(E281&lt;=50,"20-49",
IF(E281&lt;=80,"50-79","80+")))</f>
        <v>50-79</v>
      </c>
      <c r="G281" s="82" t="s">
        <v>1457</v>
      </c>
      <c r="H281" s="82" t="s">
        <v>22</v>
      </c>
      <c r="I281" s="82" t="s">
        <v>1458</v>
      </c>
      <c r="J281" s="82" t="s">
        <v>2328</v>
      </c>
      <c r="K281" s="82" t="s">
        <v>1236</v>
      </c>
      <c r="L281" s="82" t="s">
        <v>1249</v>
      </c>
      <c r="M281" s="82">
        <v>4</v>
      </c>
      <c r="N281" s="84">
        <v>229029</v>
      </c>
      <c r="O281" s="82" t="s">
        <v>832</v>
      </c>
      <c r="P281" s="170"/>
      <c r="Q281" s="210"/>
    </row>
    <row r="282" spans="1:17" ht="21" x14ac:dyDescent="0.2">
      <c r="A282" s="104" t="s">
        <v>515</v>
      </c>
      <c r="B282" s="87">
        <v>2017602</v>
      </c>
      <c r="C282" s="87">
        <v>101569</v>
      </c>
      <c r="D282" s="87" t="s">
        <v>1720</v>
      </c>
      <c r="E282" s="87">
        <v>61</v>
      </c>
      <c r="F282" s="87" t="str">
        <f>IF(E282&lt;=20,"0-19",
IF(E282&lt;=50,"20-49",
IF(E282&lt;=80,"50-79","80+")))</f>
        <v>50-79</v>
      </c>
      <c r="G282" s="87" t="s">
        <v>1721</v>
      </c>
      <c r="H282" s="87" t="s">
        <v>706</v>
      </c>
      <c r="I282" s="86" t="s">
        <v>1722</v>
      </c>
      <c r="J282" s="86" t="s">
        <v>2328</v>
      </c>
      <c r="K282" s="87" t="s">
        <v>1723</v>
      </c>
      <c r="L282" s="87" t="s">
        <v>1567</v>
      </c>
      <c r="M282" s="87">
        <v>4</v>
      </c>
      <c r="N282" s="161">
        <v>107555</v>
      </c>
      <c r="O282" s="161" t="s">
        <v>2254</v>
      </c>
      <c r="P282" s="168">
        <v>254728697352</v>
      </c>
      <c r="Q282" s="210"/>
    </row>
    <row r="283" spans="1:17" x14ac:dyDescent="0.2">
      <c r="A283" s="105" t="s">
        <v>72</v>
      </c>
      <c r="B283" s="82">
        <v>2005584</v>
      </c>
      <c r="C283" s="82">
        <v>17356</v>
      </c>
      <c r="D283" s="82" t="s">
        <v>364</v>
      </c>
      <c r="E283" s="92">
        <v>76</v>
      </c>
      <c r="F283" s="92" t="str">
        <f>IF(E283&lt;=20,"0-19",
IF(E283&lt;=50,"20-49",
IF(E283&lt;=80,"50-79","80+")))</f>
        <v>50-79</v>
      </c>
      <c r="G283" s="82" t="s">
        <v>365</v>
      </c>
      <c r="H283" s="82" t="s">
        <v>15</v>
      </c>
      <c r="I283" s="82" t="s">
        <v>366</v>
      </c>
      <c r="J283" s="82" t="s">
        <v>2328</v>
      </c>
      <c r="K283" s="92" t="s">
        <v>95</v>
      </c>
      <c r="L283" s="92" t="s">
        <v>30</v>
      </c>
      <c r="M283" s="82">
        <v>4</v>
      </c>
      <c r="N283" s="101">
        <v>147998</v>
      </c>
      <c r="O283" s="82" t="s">
        <v>18</v>
      </c>
      <c r="P283" s="170"/>
      <c r="Q283" s="210"/>
    </row>
    <row r="284" spans="1:17" ht="21" x14ac:dyDescent="0.2">
      <c r="A284" s="139" t="s">
        <v>836</v>
      </c>
      <c r="B284" s="82">
        <v>2021863</v>
      </c>
      <c r="C284" s="82">
        <v>57255</v>
      </c>
      <c r="D284" s="82" t="s">
        <v>1007</v>
      </c>
      <c r="E284" s="82">
        <v>62</v>
      </c>
      <c r="F284" s="82" t="str">
        <f>IF(E284&lt;=20,"0-19",
IF(E284&lt;=50,"20-49",
IF(E284&lt;=80,"50-79","80+")))</f>
        <v>50-79</v>
      </c>
      <c r="G284" s="82" t="s">
        <v>60</v>
      </c>
      <c r="H284" s="82" t="s">
        <v>22</v>
      </c>
      <c r="I284" s="92" t="s">
        <v>1008</v>
      </c>
      <c r="J284" s="92" t="s">
        <v>2328</v>
      </c>
      <c r="K284" s="92" t="s">
        <v>880</v>
      </c>
      <c r="L284" s="82" t="s">
        <v>896</v>
      </c>
      <c r="M284" s="82">
        <v>4</v>
      </c>
      <c r="N284" s="84">
        <v>112556.2</v>
      </c>
      <c r="O284" s="82" t="s">
        <v>832</v>
      </c>
      <c r="P284" s="170"/>
      <c r="Q284" s="210"/>
    </row>
    <row r="285" spans="1:17" x14ac:dyDescent="0.2">
      <c r="A285" s="139" t="s">
        <v>19</v>
      </c>
      <c r="B285" s="82">
        <v>2011685</v>
      </c>
      <c r="C285" s="82">
        <v>100868</v>
      </c>
      <c r="D285" s="82" t="s">
        <v>1255</v>
      </c>
      <c r="E285" s="82">
        <v>63</v>
      </c>
      <c r="F285" s="82" t="str">
        <f>IF(E285&lt;=20,"0-19",
IF(E285&lt;=50,"20-49",
IF(E285&lt;=80,"50-79","80+")))</f>
        <v>50-79</v>
      </c>
      <c r="G285" s="82" t="s">
        <v>14</v>
      </c>
      <c r="H285" s="82" t="s">
        <v>15</v>
      </c>
      <c r="I285" s="82" t="s">
        <v>1256</v>
      </c>
      <c r="J285" s="82" t="s">
        <v>2328</v>
      </c>
      <c r="K285" s="82" t="s">
        <v>909</v>
      </c>
      <c r="L285" s="82" t="s">
        <v>1236</v>
      </c>
      <c r="M285" s="82">
        <v>4</v>
      </c>
      <c r="N285" s="84">
        <v>118722.1</v>
      </c>
      <c r="O285" s="82" t="s">
        <v>832</v>
      </c>
      <c r="P285" s="170"/>
      <c r="Q285" s="210"/>
    </row>
    <row r="286" spans="1:17" ht="21" x14ac:dyDescent="0.2">
      <c r="A286" s="139" t="s">
        <v>155</v>
      </c>
      <c r="B286" s="113">
        <v>2002439</v>
      </c>
      <c r="C286" s="113">
        <v>55156</v>
      </c>
      <c r="D286" s="114" t="s">
        <v>361</v>
      </c>
      <c r="E286" s="113">
        <v>71</v>
      </c>
      <c r="F286" s="113" t="str">
        <f>IF(E286&lt;=20,"0-19",
IF(E286&lt;=50,"20-49",
IF(E286&lt;=80,"50-79","80+")))</f>
        <v>50-79</v>
      </c>
      <c r="G286" s="113" t="s">
        <v>362</v>
      </c>
      <c r="H286" s="113" t="s">
        <v>22</v>
      </c>
      <c r="I286" s="114" t="s">
        <v>363</v>
      </c>
      <c r="J286" s="114" t="s">
        <v>2328</v>
      </c>
      <c r="K286" s="114" t="s">
        <v>52</v>
      </c>
      <c r="L286" s="113" t="s">
        <v>42</v>
      </c>
      <c r="M286" s="114">
        <v>4</v>
      </c>
      <c r="N286" s="115">
        <v>130181</v>
      </c>
      <c r="O286" s="87" t="s">
        <v>18</v>
      </c>
      <c r="P286" s="171"/>
      <c r="Q286" s="210"/>
    </row>
    <row r="287" spans="1:17" ht="21" x14ac:dyDescent="0.2">
      <c r="A287" s="139" t="s">
        <v>856</v>
      </c>
      <c r="B287" s="82">
        <v>2001553</v>
      </c>
      <c r="C287" s="82">
        <v>17939</v>
      </c>
      <c r="D287" s="82" t="s">
        <v>987</v>
      </c>
      <c r="E287" s="82">
        <v>68</v>
      </c>
      <c r="F287" s="82" t="str">
        <f>IF(E287&lt;=20,"0-19",
IF(E287&lt;=50,"20-49",
IF(E287&lt;=80,"50-79","80+")))</f>
        <v>50-79</v>
      </c>
      <c r="G287" s="82" t="s">
        <v>60</v>
      </c>
      <c r="H287" s="82" t="s">
        <v>22</v>
      </c>
      <c r="I287" s="82" t="s">
        <v>988</v>
      </c>
      <c r="J287" s="82" t="s">
        <v>2328</v>
      </c>
      <c r="K287" s="92" t="s">
        <v>989</v>
      </c>
      <c r="L287" s="92" t="s">
        <v>859</v>
      </c>
      <c r="M287" s="82">
        <v>4</v>
      </c>
      <c r="N287" s="84">
        <v>86843.53</v>
      </c>
      <c r="O287" s="82" t="s">
        <v>832</v>
      </c>
      <c r="P287" s="170"/>
      <c r="Q287" s="210"/>
    </row>
    <row r="288" spans="1:17" x14ac:dyDescent="0.2">
      <c r="A288" s="104" t="s">
        <v>1331</v>
      </c>
      <c r="B288" s="87">
        <v>2017736</v>
      </c>
      <c r="C288" s="87">
        <v>16100</v>
      </c>
      <c r="D288" s="87" t="s">
        <v>1762</v>
      </c>
      <c r="E288" s="87">
        <v>52</v>
      </c>
      <c r="F288" s="87" t="str">
        <f>IF(E288&lt;=20,"0-19",
IF(E288&lt;=50,"20-49",
IF(E288&lt;=80,"50-79","80+")))</f>
        <v>50-79</v>
      </c>
      <c r="G288" s="87" t="s">
        <v>1763</v>
      </c>
      <c r="H288" s="87" t="s">
        <v>706</v>
      </c>
      <c r="I288" s="86" t="s">
        <v>1764</v>
      </c>
      <c r="J288" s="114" t="s">
        <v>2295</v>
      </c>
      <c r="K288" s="87" t="s">
        <v>1556</v>
      </c>
      <c r="L288" s="87" t="s">
        <v>1543</v>
      </c>
      <c r="M288" s="87">
        <v>4</v>
      </c>
      <c r="N288" s="161">
        <v>186995</v>
      </c>
      <c r="O288" s="161" t="s">
        <v>2254</v>
      </c>
      <c r="P288" s="168">
        <v>254716510067</v>
      </c>
      <c r="Q288" s="210"/>
    </row>
    <row r="289" spans="1:17" ht="21" x14ac:dyDescent="0.2">
      <c r="A289" s="104" t="s">
        <v>63</v>
      </c>
      <c r="B289" s="86">
        <v>2020142</v>
      </c>
      <c r="C289" s="87">
        <v>16148</v>
      </c>
      <c r="D289" s="86" t="s">
        <v>1782</v>
      </c>
      <c r="E289" s="86">
        <v>65</v>
      </c>
      <c r="F289" s="86" t="str">
        <f>IF(E289&lt;=20,"0-19",
IF(E289&lt;=50,"20-49",
IF(E289&lt;=80,"50-79","80+")))</f>
        <v>50-79</v>
      </c>
      <c r="G289" s="86" t="s">
        <v>1783</v>
      </c>
      <c r="H289" s="86" t="s">
        <v>15</v>
      </c>
      <c r="I289" s="86" t="s">
        <v>1784</v>
      </c>
      <c r="J289" s="86" t="s">
        <v>2314</v>
      </c>
      <c r="K289" s="86" t="s">
        <v>1254</v>
      </c>
      <c r="L289" s="86" t="s">
        <v>1542</v>
      </c>
      <c r="M289" s="88">
        <v>4</v>
      </c>
      <c r="N289" s="163">
        <v>238811</v>
      </c>
      <c r="O289" s="163" t="s">
        <v>2254</v>
      </c>
      <c r="P289" s="168">
        <v>254722830697</v>
      </c>
      <c r="Q289" s="210"/>
    </row>
    <row r="290" spans="1:17" x14ac:dyDescent="0.2">
      <c r="A290" s="139" t="s">
        <v>1331</v>
      </c>
      <c r="B290" s="92">
        <v>2021285</v>
      </c>
      <c r="C290" s="82">
        <v>60702</v>
      </c>
      <c r="D290" s="92" t="s">
        <v>218</v>
      </c>
      <c r="E290" s="92">
        <v>8</v>
      </c>
      <c r="F290" s="92" t="str">
        <f>IF(E290&lt;=20,"0-19",
IF(E290&lt;=50,"20-49",
IF(E290&lt;=80,"50-79","80+")))</f>
        <v>0-19</v>
      </c>
      <c r="G290" s="92" t="s">
        <v>219</v>
      </c>
      <c r="H290" s="92" t="s">
        <v>132</v>
      </c>
      <c r="I290" s="92" t="s">
        <v>1335</v>
      </c>
      <c r="J290" s="92" t="s">
        <v>2314</v>
      </c>
      <c r="K290" s="92" t="s">
        <v>1231</v>
      </c>
      <c r="L290" s="93" t="s">
        <v>1264</v>
      </c>
      <c r="M290" s="93">
        <v>4</v>
      </c>
      <c r="N290" s="94">
        <v>123160</v>
      </c>
      <c r="O290" s="82" t="s">
        <v>832</v>
      </c>
      <c r="P290" s="171"/>
      <c r="Q290" s="210"/>
    </row>
    <row r="291" spans="1:17" x14ac:dyDescent="0.2">
      <c r="A291" s="105" t="s">
        <v>72</v>
      </c>
      <c r="B291" s="82">
        <v>2016416</v>
      </c>
      <c r="C291" s="82">
        <v>57085</v>
      </c>
      <c r="D291" s="82" t="s">
        <v>1853</v>
      </c>
      <c r="E291" s="82">
        <v>64</v>
      </c>
      <c r="F291" s="82" t="str">
        <f>IF(E291&lt;=20,"0-19",
IF(E291&lt;=50,"20-49",
IF(E291&lt;=80,"50-79","80+")))</f>
        <v>50-79</v>
      </c>
      <c r="G291" s="82" t="s">
        <v>1854</v>
      </c>
      <c r="H291" s="82" t="s">
        <v>22</v>
      </c>
      <c r="I291" s="92" t="s">
        <v>1855</v>
      </c>
      <c r="J291" s="92" t="s">
        <v>2314</v>
      </c>
      <c r="K291" s="82" t="s">
        <v>1594</v>
      </c>
      <c r="L291" s="82" t="s">
        <v>1546</v>
      </c>
      <c r="M291" s="82">
        <v>4</v>
      </c>
      <c r="N291" s="151">
        <v>426191</v>
      </c>
      <c r="O291" s="151" t="s">
        <v>2254</v>
      </c>
      <c r="P291" s="152">
        <v>254724950223</v>
      </c>
      <c r="Q291" s="210"/>
    </row>
    <row r="292" spans="1:17" x14ac:dyDescent="0.2">
      <c r="A292" s="104" t="s">
        <v>19</v>
      </c>
      <c r="B292" s="87">
        <v>2011016</v>
      </c>
      <c r="C292" s="87">
        <v>18256</v>
      </c>
      <c r="D292" s="87" t="s">
        <v>745</v>
      </c>
      <c r="E292" s="87">
        <v>65</v>
      </c>
      <c r="F292" s="87" t="str">
        <f>IF(E292&lt;=20,"0-19",
IF(E292&lt;=50,"20-49",
IF(E292&lt;=80,"50-79","80+")))</f>
        <v>50-79</v>
      </c>
      <c r="G292" s="87" t="s">
        <v>746</v>
      </c>
      <c r="H292" s="87" t="s">
        <v>15</v>
      </c>
      <c r="I292" s="86" t="s">
        <v>1749</v>
      </c>
      <c r="J292" s="82" t="s">
        <v>2270</v>
      </c>
      <c r="K292" s="87" t="s">
        <v>1542</v>
      </c>
      <c r="L292" s="87" t="s">
        <v>1610</v>
      </c>
      <c r="M292" s="87">
        <v>4</v>
      </c>
      <c r="N292" s="161">
        <v>145872.20000000001</v>
      </c>
      <c r="O292" s="161" t="s">
        <v>2254</v>
      </c>
      <c r="P292" s="168">
        <v>254720753956</v>
      </c>
      <c r="Q292" s="210"/>
    </row>
    <row r="293" spans="1:17" ht="21" x14ac:dyDescent="0.2">
      <c r="A293" s="139" t="s">
        <v>1482</v>
      </c>
      <c r="B293" s="93">
        <v>2011004</v>
      </c>
      <c r="C293" s="82">
        <v>101184</v>
      </c>
      <c r="D293" s="93" t="s">
        <v>261</v>
      </c>
      <c r="E293" s="93">
        <v>64</v>
      </c>
      <c r="F293" s="93" t="str">
        <f>IF(E293&lt;=20,"0-19",
IF(E293&lt;=50,"20-49",
IF(E293&lt;=80,"50-79","80+")))</f>
        <v>50-79</v>
      </c>
      <c r="G293" s="93" t="s">
        <v>999</v>
      </c>
      <c r="H293" s="93" t="s">
        <v>15</v>
      </c>
      <c r="I293" s="93" t="s">
        <v>712</v>
      </c>
      <c r="J293" s="93" t="s">
        <v>2270</v>
      </c>
      <c r="K293" s="93" t="s">
        <v>193</v>
      </c>
      <c r="L293" s="93" t="s">
        <v>835</v>
      </c>
      <c r="M293" s="93">
        <v>4</v>
      </c>
      <c r="N293" s="94">
        <v>137879</v>
      </c>
      <c r="O293" s="82" t="s">
        <v>832</v>
      </c>
      <c r="P293" s="171"/>
      <c r="Q293" s="210"/>
    </row>
    <row r="294" spans="1:17" x14ac:dyDescent="0.2">
      <c r="A294" s="139" t="s">
        <v>319</v>
      </c>
      <c r="B294" s="87">
        <v>2022801</v>
      </c>
      <c r="C294" s="87">
        <v>16631</v>
      </c>
      <c r="D294" s="87" t="s">
        <v>320</v>
      </c>
      <c r="E294" s="86">
        <v>51</v>
      </c>
      <c r="F294" s="86" t="str">
        <f>IF(E294&lt;=20,"0-19",
IF(E294&lt;=50,"20-49",
IF(E294&lt;=80,"50-79","80+")))</f>
        <v>50-79</v>
      </c>
      <c r="G294" s="87" t="s">
        <v>321</v>
      </c>
      <c r="H294" s="87" t="s">
        <v>15</v>
      </c>
      <c r="I294" s="87" t="s">
        <v>322</v>
      </c>
      <c r="J294" s="87" t="s">
        <v>2270</v>
      </c>
      <c r="K294" s="86" t="s">
        <v>94</v>
      </c>
      <c r="L294" s="86" t="s">
        <v>67</v>
      </c>
      <c r="M294" s="87">
        <v>4</v>
      </c>
      <c r="N294" s="97">
        <v>114592</v>
      </c>
      <c r="O294" s="87" t="s">
        <v>18</v>
      </c>
      <c r="P294" s="171"/>
      <c r="Q294" s="210"/>
    </row>
    <row r="295" spans="1:17" x14ac:dyDescent="0.2">
      <c r="A295" s="105" t="s">
        <v>43</v>
      </c>
      <c r="B295" s="82">
        <v>2000302</v>
      </c>
      <c r="C295" s="82">
        <v>18333</v>
      </c>
      <c r="D295" s="82" t="s">
        <v>1776</v>
      </c>
      <c r="E295" s="82">
        <v>66</v>
      </c>
      <c r="F295" s="82" t="str">
        <f>IF(E295&lt;=20,"0-19",
IF(E295&lt;=50,"20-49",
IF(E295&lt;=80,"50-79","80+")))</f>
        <v>50-79</v>
      </c>
      <c r="G295" s="82" t="s">
        <v>1777</v>
      </c>
      <c r="H295" s="82" t="s">
        <v>22</v>
      </c>
      <c r="I295" s="92" t="s">
        <v>1778</v>
      </c>
      <c r="J295" s="92" t="s">
        <v>2270</v>
      </c>
      <c r="K295" s="82" t="s">
        <v>1589</v>
      </c>
      <c r="L295" s="82" t="s">
        <v>1559</v>
      </c>
      <c r="M295" s="82">
        <v>4</v>
      </c>
      <c r="N295" s="151">
        <v>228034</v>
      </c>
      <c r="O295" s="151" t="s">
        <v>2254</v>
      </c>
      <c r="P295" s="152">
        <v>254722422235</v>
      </c>
      <c r="Q295" s="210"/>
    </row>
    <row r="296" spans="1:17" ht="21" x14ac:dyDescent="0.2">
      <c r="A296" s="139" t="s">
        <v>43</v>
      </c>
      <c r="B296" s="92">
        <v>2021362</v>
      </c>
      <c r="C296" s="82">
        <v>57442</v>
      </c>
      <c r="D296" s="92" t="s">
        <v>1327</v>
      </c>
      <c r="E296" s="92">
        <v>61</v>
      </c>
      <c r="F296" s="92" t="str">
        <f>IF(E296&lt;=20,"0-19",
IF(E296&lt;=50,"20-49",
IF(E296&lt;=80,"50-79","80+")))</f>
        <v>50-79</v>
      </c>
      <c r="G296" s="92" t="s">
        <v>1328</v>
      </c>
      <c r="H296" s="92" t="s">
        <v>22</v>
      </c>
      <c r="I296" s="92" t="s">
        <v>1329</v>
      </c>
      <c r="J296" s="92" t="s">
        <v>2270</v>
      </c>
      <c r="K296" s="92" t="s">
        <v>1330</v>
      </c>
      <c r="L296" s="93" t="s">
        <v>1254</v>
      </c>
      <c r="M296" s="93">
        <v>4</v>
      </c>
      <c r="N296" s="94">
        <v>150512.9</v>
      </c>
      <c r="O296" s="82" t="s">
        <v>832</v>
      </c>
      <c r="P296" s="171"/>
      <c r="Q296" s="210"/>
    </row>
    <row r="297" spans="1:17" x14ac:dyDescent="0.2">
      <c r="A297" s="104" t="s">
        <v>72</v>
      </c>
      <c r="B297" s="114">
        <v>2503065</v>
      </c>
      <c r="C297" s="114">
        <v>59127</v>
      </c>
      <c r="D297" s="114" t="s">
        <v>367</v>
      </c>
      <c r="E297" s="114">
        <v>59</v>
      </c>
      <c r="F297" s="114" t="str">
        <f>IF(E297&lt;=20,"0-19",
IF(E297&lt;=50,"20-49",
IF(E297&lt;=80,"50-79","80+")))</f>
        <v>50-79</v>
      </c>
      <c r="G297" s="114" t="s">
        <v>368</v>
      </c>
      <c r="H297" s="114" t="s">
        <v>22</v>
      </c>
      <c r="I297" s="114" t="s">
        <v>369</v>
      </c>
      <c r="J297" s="114" t="s">
        <v>2270</v>
      </c>
      <c r="K297" s="114" t="s">
        <v>103</v>
      </c>
      <c r="L297" s="111" t="s">
        <v>121</v>
      </c>
      <c r="M297" s="114">
        <v>4</v>
      </c>
      <c r="N297" s="116">
        <v>165234</v>
      </c>
      <c r="O297" s="87" t="s">
        <v>18</v>
      </c>
      <c r="P297" s="171"/>
      <c r="Q297" s="210"/>
    </row>
    <row r="298" spans="1:17" ht="21" x14ac:dyDescent="0.2">
      <c r="A298" s="105" t="s">
        <v>1768</v>
      </c>
      <c r="B298" s="82">
        <v>2409018</v>
      </c>
      <c r="C298" s="82">
        <v>58233</v>
      </c>
      <c r="D298" s="82" t="s">
        <v>2204</v>
      </c>
      <c r="E298" s="82">
        <v>62</v>
      </c>
      <c r="F298" s="82" t="str">
        <f>IF(E298&lt;=20,"0-19",
IF(E298&lt;=50,"20-49",
IF(E298&lt;=80,"50-79","80+")))</f>
        <v>50-79</v>
      </c>
      <c r="G298" s="82" t="s">
        <v>2205</v>
      </c>
      <c r="H298" s="82" t="s">
        <v>22</v>
      </c>
      <c r="I298" s="82" t="s">
        <v>2206</v>
      </c>
      <c r="J298" s="114" t="s">
        <v>2328</v>
      </c>
      <c r="K298" s="92" t="s">
        <v>1906</v>
      </c>
      <c r="L298" s="82" t="s">
        <v>1913</v>
      </c>
      <c r="M298" s="82">
        <v>4</v>
      </c>
      <c r="N298" s="151">
        <v>280000</v>
      </c>
      <c r="O298" s="151" t="s">
        <v>2254</v>
      </c>
      <c r="P298" s="152">
        <v>254710209301</v>
      </c>
      <c r="Q298" s="210"/>
    </row>
    <row r="299" spans="1:17" x14ac:dyDescent="0.2">
      <c r="A299" s="139" t="s">
        <v>1237</v>
      </c>
      <c r="B299" s="82">
        <v>2001245</v>
      </c>
      <c r="C299" s="82">
        <v>37016</v>
      </c>
      <c r="D299" s="82" t="s">
        <v>983</v>
      </c>
      <c r="E299" s="82">
        <v>79</v>
      </c>
      <c r="F299" s="82" t="str">
        <f>IF(E299&lt;=20,"0-19",
IF(E299&lt;=50,"20-49",
IF(E299&lt;=80,"50-79","80+")))</f>
        <v>50-79</v>
      </c>
      <c r="G299" s="82" t="s">
        <v>984</v>
      </c>
      <c r="H299" s="82" t="s">
        <v>22</v>
      </c>
      <c r="I299" s="82" t="s">
        <v>985</v>
      </c>
      <c r="J299" s="82" t="s">
        <v>2322</v>
      </c>
      <c r="K299" s="92" t="s">
        <v>986</v>
      </c>
      <c r="L299" s="92" t="s">
        <v>860</v>
      </c>
      <c r="M299" s="82">
        <v>4</v>
      </c>
      <c r="N299" s="84">
        <v>1700813</v>
      </c>
      <c r="O299" s="82" t="s">
        <v>832</v>
      </c>
      <c r="P299" s="170"/>
      <c r="Q299" s="210"/>
    </row>
    <row r="300" spans="1:17" x14ac:dyDescent="0.2">
      <c r="A300" s="139" t="s">
        <v>117</v>
      </c>
      <c r="B300" s="82">
        <v>2012471</v>
      </c>
      <c r="C300" s="82">
        <v>47039</v>
      </c>
      <c r="D300" s="82" t="s">
        <v>1000</v>
      </c>
      <c r="E300" s="82">
        <v>10</v>
      </c>
      <c r="F300" s="82" t="str">
        <f>IF(E300&lt;=20,"0-19",
IF(E300&lt;=50,"20-49",
IF(E300&lt;=80,"50-79","80+")))</f>
        <v>0-19</v>
      </c>
      <c r="G300" s="82" t="s">
        <v>1001</v>
      </c>
      <c r="H300" s="82" t="s">
        <v>132</v>
      </c>
      <c r="I300" s="92" t="s">
        <v>1002</v>
      </c>
      <c r="J300" s="92" t="s">
        <v>2322</v>
      </c>
      <c r="K300" s="92" t="s">
        <v>289</v>
      </c>
      <c r="L300" s="82" t="s">
        <v>834</v>
      </c>
      <c r="M300" s="82">
        <v>4</v>
      </c>
      <c r="N300" s="84">
        <v>47140</v>
      </c>
      <c r="O300" s="82" t="s">
        <v>832</v>
      </c>
      <c r="P300" s="170"/>
      <c r="Q300" s="210"/>
    </row>
    <row r="301" spans="1:17" x14ac:dyDescent="0.2">
      <c r="A301" s="105" t="s">
        <v>113</v>
      </c>
      <c r="B301" s="82">
        <v>2001397</v>
      </c>
      <c r="C301" s="82">
        <v>17666</v>
      </c>
      <c r="D301" s="82" t="s">
        <v>1716</v>
      </c>
      <c r="E301" s="82">
        <v>73</v>
      </c>
      <c r="F301" s="82" t="str">
        <f>IF(E301&lt;=20,"0-19",
IF(E301&lt;=50,"20-49",
IF(E301&lt;=80,"50-79","80+")))</f>
        <v>50-79</v>
      </c>
      <c r="G301" s="82" t="s">
        <v>1717</v>
      </c>
      <c r="H301" s="82" t="s">
        <v>15</v>
      </c>
      <c r="I301" s="92" t="s">
        <v>1718</v>
      </c>
      <c r="J301" s="114" t="s">
        <v>2546</v>
      </c>
      <c r="K301" s="82" t="s">
        <v>1719</v>
      </c>
      <c r="L301" s="82" t="s">
        <v>1572</v>
      </c>
      <c r="M301" s="82">
        <v>4</v>
      </c>
      <c r="N301" s="151">
        <v>106515</v>
      </c>
      <c r="O301" s="151" t="s">
        <v>2254</v>
      </c>
      <c r="P301" s="152">
        <v>254722839258</v>
      </c>
      <c r="Q301" s="210"/>
    </row>
    <row r="302" spans="1:17" ht="21" x14ac:dyDescent="0.2">
      <c r="A302" s="104" t="s">
        <v>72</v>
      </c>
      <c r="B302" s="86">
        <v>2012382</v>
      </c>
      <c r="C302" s="87">
        <v>52592</v>
      </c>
      <c r="D302" s="86" t="s">
        <v>2087</v>
      </c>
      <c r="E302" s="86">
        <v>64</v>
      </c>
      <c r="F302" s="86" t="str">
        <f>IF(E302&lt;=20,"0-19",
IF(E302&lt;=50,"20-49",
IF(E302&lt;=80,"50-79","80+")))</f>
        <v>50-79</v>
      </c>
      <c r="G302" s="86" t="s">
        <v>1752</v>
      </c>
      <c r="H302" s="86" t="s">
        <v>15</v>
      </c>
      <c r="I302" s="86" t="s">
        <v>2088</v>
      </c>
      <c r="J302" s="86" t="s">
        <v>2283</v>
      </c>
      <c r="K302" s="86" t="s">
        <v>2048</v>
      </c>
      <c r="L302" s="88" t="s">
        <v>1906</v>
      </c>
      <c r="M302" s="86">
        <v>4</v>
      </c>
      <c r="N302" s="163">
        <v>87198.399999999994</v>
      </c>
      <c r="O302" s="163" t="s">
        <v>2254</v>
      </c>
      <c r="P302" s="168">
        <v>254722579794</v>
      </c>
      <c r="Q302" s="210"/>
    </row>
    <row r="303" spans="1:17" x14ac:dyDescent="0.2">
      <c r="A303" s="139" t="s">
        <v>1016</v>
      </c>
      <c r="B303" s="82">
        <v>2503242</v>
      </c>
      <c r="C303" s="82">
        <v>62746</v>
      </c>
      <c r="D303" s="82" t="s">
        <v>1017</v>
      </c>
      <c r="E303" s="82">
        <v>54</v>
      </c>
      <c r="F303" s="82" t="str">
        <f>IF(E303&lt;=20,"0-19",
IF(E303&lt;=50,"20-49",
IF(E303&lt;=80,"50-79","80+")))</f>
        <v>50-79</v>
      </c>
      <c r="G303" s="82" t="s">
        <v>1018</v>
      </c>
      <c r="H303" s="82" t="s">
        <v>15</v>
      </c>
      <c r="I303" s="92" t="s">
        <v>1019</v>
      </c>
      <c r="J303" s="92" t="s">
        <v>2283</v>
      </c>
      <c r="K303" s="92" t="s">
        <v>831</v>
      </c>
      <c r="L303" s="82" t="s">
        <v>851</v>
      </c>
      <c r="M303" s="82">
        <v>4</v>
      </c>
      <c r="N303" s="84">
        <v>71629</v>
      </c>
      <c r="O303" s="82" t="s">
        <v>832</v>
      </c>
      <c r="P303" s="171"/>
      <c r="Q303" s="210"/>
    </row>
    <row r="304" spans="1:17" ht="21" x14ac:dyDescent="0.2">
      <c r="A304" s="104" t="s">
        <v>53</v>
      </c>
      <c r="B304" s="86">
        <v>2009790</v>
      </c>
      <c r="C304" s="87">
        <v>18258</v>
      </c>
      <c r="D304" s="86" t="s">
        <v>2146</v>
      </c>
      <c r="E304" s="86">
        <v>50</v>
      </c>
      <c r="F304" s="86" t="str">
        <f>IF(E304&lt;=20,"0-19",
IF(E304&lt;=50,"20-49",
IF(E304&lt;=80,"50-79","80+")))</f>
        <v>20-49</v>
      </c>
      <c r="G304" s="86" t="s">
        <v>2147</v>
      </c>
      <c r="H304" s="86" t="s">
        <v>15</v>
      </c>
      <c r="I304" s="86" t="s">
        <v>2148</v>
      </c>
      <c r="J304" s="86" t="s">
        <v>2283</v>
      </c>
      <c r="K304" s="86" t="s">
        <v>2048</v>
      </c>
      <c r="L304" s="88" t="s">
        <v>1906</v>
      </c>
      <c r="M304" s="86">
        <v>4</v>
      </c>
      <c r="N304" s="163">
        <v>161222</v>
      </c>
      <c r="O304" s="163" t="s">
        <v>2254</v>
      </c>
      <c r="P304" s="168">
        <v>254752316316</v>
      </c>
      <c r="Q304" s="210"/>
    </row>
    <row r="305" spans="1:17" ht="21" x14ac:dyDescent="0.2">
      <c r="A305" s="194" t="s">
        <v>394</v>
      </c>
      <c r="B305" s="199">
        <v>2403116</v>
      </c>
      <c r="C305" s="199">
        <v>57766</v>
      </c>
      <c r="D305" s="199" t="s">
        <v>395</v>
      </c>
      <c r="E305" s="199">
        <v>19</v>
      </c>
      <c r="F305" s="199" t="str">
        <f>IF(E305&lt;=20,"0-19",
IF(E305&lt;=50,"20-49",
IF(E305&lt;=80,"50-79","80+")))</f>
        <v>0-19</v>
      </c>
      <c r="G305" s="199" t="s">
        <v>396</v>
      </c>
      <c r="H305" s="199" t="s">
        <v>132</v>
      </c>
      <c r="I305" s="199" t="s">
        <v>397</v>
      </c>
      <c r="J305" s="199" t="s">
        <v>2283</v>
      </c>
      <c r="K305" s="199" t="s">
        <v>2260</v>
      </c>
      <c r="L305" s="188" t="s">
        <v>190</v>
      </c>
      <c r="M305" s="86">
        <v>4</v>
      </c>
      <c r="N305" s="192">
        <v>90630</v>
      </c>
      <c r="O305" s="87" t="s">
        <v>18</v>
      </c>
      <c r="P305" s="171"/>
      <c r="Q305" s="210"/>
    </row>
    <row r="306" spans="1:17" ht="21" x14ac:dyDescent="0.2">
      <c r="A306" s="139" t="s">
        <v>208</v>
      </c>
      <c r="B306" s="82">
        <v>2014390</v>
      </c>
      <c r="C306" s="82">
        <v>13704</v>
      </c>
      <c r="D306" s="82" t="s">
        <v>1047</v>
      </c>
      <c r="E306" s="82">
        <v>66</v>
      </c>
      <c r="F306" s="82" t="str">
        <f>IF(E306&lt;=20,"0-19",
IF(E306&lt;=50,"20-49",
IF(E306&lt;=80,"50-79","80+")))</f>
        <v>50-79</v>
      </c>
      <c r="G306" s="82" t="s">
        <v>1048</v>
      </c>
      <c r="H306" s="82" t="s">
        <v>15</v>
      </c>
      <c r="I306" s="92" t="s">
        <v>1049</v>
      </c>
      <c r="J306" s="92" t="s">
        <v>2275</v>
      </c>
      <c r="K306" s="92" t="s">
        <v>880</v>
      </c>
      <c r="L306" s="82" t="s">
        <v>901</v>
      </c>
      <c r="M306" s="82">
        <v>5</v>
      </c>
      <c r="N306" s="84">
        <v>221810</v>
      </c>
      <c r="O306" s="82" t="s">
        <v>832</v>
      </c>
      <c r="P306" s="170"/>
      <c r="Q306" s="210"/>
    </row>
    <row r="307" spans="1:17" x14ac:dyDescent="0.2">
      <c r="A307" s="105" t="s">
        <v>1738</v>
      </c>
      <c r="B307" s="92">
        <v>2505041</v>
      </c>
      <c r="C307" s="82">
        <v>61001</v>
      </c>
      <c r="D307" s="92" t="s">
        <v>1739</v>
      </c>
      <c r="E307" s="92">
        <v>62</v>
      </c>
      <c r="F307" s="92" t="str">
        <f>IF(E307&lt;=20,"0-19",
IF(E307&lt;=50,"20-49",
IF(E307&lt;=80,"50-79","80+")))</f>
        <v>50-79</v>
      </c>
      <c r="G307" s="92" t="s">
        <v>1740</v>
      </c>
      <c r="H307" s="92" t="s">
        <v>22</v>
      </c>
      <c r="I307" s="92" t="s">
        <v>2177</v>
      </c>
      <c r="J307" s="92" t="s">
        <v>2275</v>
      </c>
      <c r="K307" s="92" t="s">
        <v>1928</v>
      </c>
      <c r="L307" s="93" t="s">
        <v>1918</v>
      </c>
      <c r="M307" s="92">
        <v>5</v>
      </c>
      <c r="N307" s="159">
        <v>193725</v>
      </c>
      <c r="O307" s="159" t="s">
        <v>2254</v>
      </c>
      <c r="P307" s="152">
        <v>254720242011</v>
      </c>
      <c r="Q307" s="210"/>
    </row>
    <row r="308" spans="1:17" x14ac:dyDescent="0.2">
      <c r="A308" s="104" t="s">
        <v>1738</v>
      </c>
      <c r="B308" s="87">
        <v>2505041</v>
      </c>
      <c r="C308" s="87">
        <v>61001</v>
      </c>
      <c r="D308" s="87" t="s">
        <v>1739</v>
      </c>
      <c r="E308" s="87">
        <v>62</v>
      </c>
      <c r="F308" s="87" t="str">
        <f>IF(E308&lt;=20,"0-19",
IF(E308&lt;=50,"20-49",
IF(E308&lt;=80,"50-79","80+")))</f>
        <v>50-79</v>
      </c>
      <c r="G308" s="87" t="s">
        <v>1740</v>
      </c>
      <c r="H308" s="87" t="s">
        <v>664</v>
      </c>
      <c r="I308" s="86" t="s">
        <v>1741</v>
      </c>
      <c r="J308" s="86" t="s">
        <v>2275</v>
      </c>
      <c r="K308" s="87" t="s">
        <v>1610</v>
      </c>
      <c r="L308" s="87" t="s">
        <v>1551</v>
      </c>
      <c r="M308" s="87">
        <v>5</v>
      </c>
      <c r="N308" s="161">
        <v>123860</v>
      </c>
      <c r="O308" s="161" t="s">
        <v>2254</v>
      </c>
      <c r="P308" s="168">
        <v>254127944027</v>
      </c>
      <c r="Q308" s="210"/>
    </row>
    <row r="309" spans="1:17" x14ac:dyDescent="0.2">
      <c r="A309" s="105" t="s">
        <v>1768</v>
      </c>
      <c r="B309" s="82">
        <v>2407114</v>
      </c>
      <c r="C309" s="82">
        <v>67490</v>
      </c>
      <c r="D309" s="82" t="s">
        <v>1832</v>
      </c>
      <c r="E309" s="82">
        <v>58</v>
      </c>
      <c r="F309" s="82" t="str">
        <f>IF(E309&lt;=20,"0-19",
IF(E309&lt;=50,"20-49",
IF(E309&lt;=80,"50-79","80+")))</f>
        <v>50-79</v>
      </c>
      <c r="G309" s="82" t="s">
        <v>1833</v>
      </c>
      <c r="H309" s="82" t="s">
        <v>664</v>
      </c>
      <c r="I309" s="92" t="s">
        <v>1834</v>
      </c>
      <c r="J309" s="92" t="s">
        <v>2275</v>
      </c>
      <c r="K309" s="82" t="s">
        <v>1610</v>
      </c>
      <c r="L309" s="82" t="s">
        <v>1551</v>
      </c>
      <c r="M309" s="82">
        <v>5</v>
      </c>
      <c r="N309" s="151">
        <v>343288</v>
      </c>
      <c r="O309" s="151" t="s">
        <v>2254</v>
      </c>
      <c r="P309" s="152">
        <v>254722680420</v>
      </c>
      <c r="Q309" s="210"/>
    </row>
    <row r="310" spans="1:17" x14ac:dyDescent="0.2">
      <c r="A310" s="105" t="s">
        <v>1690</v>
      </c>
      <c r="B310" s="82">
        <v>2019367</v>
      </c>
      <c r="C310" s="82">
        <v>14101</v>
      </c>
      <c r="D310" s="82" t="s">
        <v>1843</v>
      </c>
      <c r="E310" s="82">
        <v>64</v>
      </c>
      <c r="F310" s="82" t="str">
        <f>IF(E310&lt;=20,"0-19",
IF(E310&lt;=50,"20-49",
IF(E310&lt;=80,"50-79","80+")))</f>
        <v>50-79</v>
      </c>
      <c r="G310" s="82" t="s">
        <v>1844</v>
      </c>
      <c r="H310" s="82" t="s">
        <v>706</v>
      </c>
      <c r="I310" s="92" t="s">
        <v>1845</v>
      </c>
      <c r="J310" s="92" t="s">
        <v>2275</v>
      </c>
      <c r="K310" s="82" t="s">
        <v>1610</v>
      </c>
      <c r="L310" s="82" t="s">
        <v>1551</v>
      </c>
      <c r="M310" s="82">
        <v>5</v>
      </c>
      <c r="N310" s="151">
        <v>378364</v>
      </c>
      <c r="O310" s="151" t="s">
        <v>2254</v>
      </c>
      <c r="P310" s="152">
        <v>254721729511</v>
      </c>
      <c r="Q310" s="210"/>
    </row>
    <row r="311" spans="1:17" ht="21" x14ac:dyDescent="0.2">
      <c r="A311" s="105" t="s">
        <v>1984</v>
      </c>
      <c r="B311" s="92">
        <v>2001437</v>
      </c>
      <c r="C311" s="82">
        <v>103278</v>
      </c>
      <c r="D311" s="92" t="s">
        <v>1985</v>
      </c>
      <c r="E311" s="92">
        <v>62</v>
      </c>
      <c r="F311" s="92" t="str">
        <f>IF(E311&lt;=20,"0-19",
IF(E311&lt;=50,"20-49",
IF(E311&lt;=80,"50-79","80+")))</f>
        <v>50-79</v>
      </c>
      <c r="G311" s="92" t="s">
        <v>1986</v>
      </c>
      <c r="H311" s="92" t="s">
        <v>22</v>
      </c>
      <c r="I311" s="92" t="s">
        <v>1987</v>
      </c>
      <c r="J311" s="92" t="s">
        <v>2275</v>
      </c>
      <c r="K311" s="92" t="s">
        <v>1988</v>
      </c>
      <c r="L311" s="93" t="s">
        <v>1923</v>
      </c>
      <c r="M311" s="92">
        <v>5</v>
      </c>
      <c r="N311" s="166">
        <v>35381</v>
      </c>
      <c r="O311" s="166" t="s">
        <v>2254</v>
      </c>
      <c r="P311" s="152">
        <v>254721576033</v>
      </c>
      <c r="Q311" s="210"/>
    </row>
    <row r="312" spans="1:17" ht="21" x14ac:dyDescent="0.2">
      <c r="A312" s="139" t="s">
        <v>53</v>
      </c>
      <c r="B312" s="93">
        <v>2009312</v>
      </c>
      <c r="C312" s="82">
        <v>18253</v>
      </c>
      <c r="D312" s="93" t="s">
        <v>413</v>
      </c>
      <c r="E312" s="93">
        <v>61</v>
      </c>
      <c r="F312" s="93" t="str">
        <f>IF(E312&lt;=20,"0-19",
IF(E312&lt;=50,"20-49",
IF(E312&lt;=80,"50-79","80+")))</f>
        <v>50-79</v>
      </c>
      <c r="G312" s="93" t="s">
        <v>414</v>
      </c>
      <c r="H312" s="93" t="s">
        <v>15</v>
      </c>
      <c r="I312" s="93" t="s">
        <v>415</v>
      </c>
      <c r="J312" s="93" t="s">
        <v>2275</v>
      </c>
      <c r="K312" s="93" t="s">
        <v>52</v>
      </c>
      <c r="L312" s="93" t="s">
        <v>78</v>
      </c>
      <c r="M312" s="93">
        <v>5</v>
      </c>
      <c r="N312" s="94">
        <v>150667</v>
      </c>
      <c r="O312" s="82" t="s">
        <v>18</v>
      </c>
      <c r="P312" s="170"/>
      <c r="Q312" s="210"/>
    </row>
    <row r="313" spans="1:17" x14ac:dyDescent="0.2">
      <c r="A313" s="139" t="s">
        <v>847</v>
      </c>
      <c r="B313" s="82">
        <v>2003220</v>
      </c>
      <c r="C313" s="82">
        <v>16008</v>
      </c>
      <c r="D313" s="82" t="s">
        <v>1030</v>
      </c>
      <c r="E313" s="82">
        <v>65</v>
      </c>
      <c r="F313" s="82" t="str">
        <f>IF(E313&lt;=20,"0-19",
IF(E313&lt;=50,"20-49",
IF(E313&lt;=80,"50-79","80+")))</f>
        <v>50-79</v>
      </c>
      <c r="G313" s="82" t="s">
        <v>1031</v>
      </c>
      <c r="H313" s="82" t="s">
        <v>22</v>
      </c>
      <c r="I313" s="92" t="s">
        <v>1032</v>
      </c>
      <c r="J313" s="92" t="s">
        <v>2275</v>
      </c>
      <c r="K313" s="92" t="s">
        <v>835</v>
      </c>
      <c r="L313" s="82" t="s">
        <v>846</v>
      </c>
      <c r="M313" s="82">
        <v>5</v>
      </c>
      <c r="N313" s="84">
        <v>263764</v>
      </c>
      <c r="O313" s="82" t="s">
        <v>832</v>
      </c>
      <c r="P313" s="170"/>
      <c r="Q313" s="210"/>
    </row>
    <row r="314" spans="1:17" x14ac:dyDescent="0.2">
      <c r="A314" s="139" t="s">
        <v>53</v>
      </c>
      <c r="B314" s="87">
        <v>2003782</v>
      </c>
      <c r="C314" s="87">
        <v>10152</v>
      </c>
      <c r="D314" s="87" t="s">
        <v>416</v>
      </c>
      <c r="E314" s="86">
        <v>68</v>
      </c>
      <c r="F314" s="86" t="str">
        <f>IF(E314&lt;=20,"0-19",
IF(E314&lt;=50,"20-49",
IF(E314&lt;=80,"50-79","80+")))</f>
        <v>50-79</v>
      </c>
      <c r="G314" s="87" t="s">
        <v>417</v>
      </c>
      <c r="H314" s="87" t="s">
        <v>22</v>
      </c>
      <c r="I314" s="87" t="s">
        <v>418</v>
      </c>
      <c r="J314" s="87" t="s">
        <v>2275</v>
      </c>
      <c r="K314" s="86" t="s">
        <v>67</v>
      </c>
      <c r="L314" s="86" t="s">
        <v>85</v>
      </c>
      <c r="M314" s="87">
        <v>5</v>
      </c>
      <c r="N314" s="97">
        <v>310767</v>
      </c>
      <c r="O314" s="87" t="s">
        <v>18</v>
      </c>
      <c r="P314" s="171"/>
      <c r="Q314" s="210"/>
    </row>
    <row r="315" spans="1:17" x14ac:dyDescent="0.2">
      <c r="A315" s="139" t="s">
        <v>159</v>
      </c>
      <c r="B315" s="92">
        <v>2013477</v>
      </c>
      <c r="C315" s="82">
        <v>107739</v>
      </c>
      <c r="D315" s="92" t="s">
        <v>1427</v>
      </c>
      <c r="E315" s="92">
        <v>45</v>
      </c>
      <c r="F315" s="92" t="str">
        <f>IF(E315&lt;=20,"0-19",
IF(E315&lt;=50,"20-49",
IF(E315&lt;=80,"50-79","80+")))</f>
        <v>20-49</v>
      </c>
      <c r="G315" s="92" t="s">
        <v>1428</v>
      </c>
      <c r="H315" s="92" t="s">
        <v>22</v>
      </c>
      <c r="I315" s="92" t="s">
        <v>1429</v>
      </c>
      <c r="J315" s="92" t="s">
        <v>2304</v>
      </c>
      <c r="K315" s="92" t="s">
        <v>1231</v>
      </c>
      <c r="L315" s="93" t="s">
        <v>1254</v>
      </c>
      <c r="M315" s="93">
        <v>5</v>
      </c>
      <c r="N315" s="94">
        <v>141118</v>
      </c>
      <c r="O315" s="82" t="s">
        <v>832</v>
      </c>
      <c r="P315" s="171"/>
      <c r="Q315" s="210"/>
    </row>
    <row r="316" spans="1:17" ht="31.5" x14ac:dyDescent="0.2">
      <c r="A316" s="139" t="s">
        <v>1482</v>
      </c>
      <c r="B316" s="82">
        <v>2001273</v>
      </c>
      <c r="C316" s="82">
        <v>20535</v>
      </c>
      <c r="D316" s="82" t="s">
        <v>1027</v>
      </c>
      <c r="E316" s="82">
        <v>50</v>
      </c>
      <c r="F316" s="82" t="str">
        <f>IF(E316&lt;=20,"0-19",
IF(E316&lt;=50,"20-49",
IF(E316&lt;=80,"50-79","80+")))</f>
        <v>20-49</v>
      </c>
      <c r="G316" s="82" t="s">
        <v>60</v>
      </c>
      <c r="H316" s="82" t="s">
        <v>22</v>
      </c>
      <c r="I316" s="92" t="s">
        <v>1028</v>
      </c>
      <c r="J316" s="92" t="s">
        <v>2304</v>
      </c>
      <c r="K316" s="92" t="s">
        <v>1029</v>
      </c>
      <c r="L316" s="82" t="s">
        <v>190</v>
      </c>
      <c r="M316" s="82">
        <v>5</v>
      </c>
      <c r="N316" s="84">
        <v>72187</v>
      </c>
      <c r="O316" s="82" t="s">
        <v>832</v>
      </c>
      <c r="P316" s="170"/>
      <c r="Q316" s="210"/>
    </row>
    <row r="317" spans="1:17" x14ac:dyDescent="0.2">
      <c r="A317" s="104" t="s">
        <v>19</v>
      </c>
      <c r="B317" s="87">
        <v>2004334</v>
      </c>
      <c r="C317" s="87">
        <v>56626</v>
      </c>
      <c r="D317" s="87" t="s">
        <v>2100</v>
      </c>
      <c r="E317" s="87">
        <v>67</v>
      </c>
      <c r="F317" s="87" t="str">
        <f>IF(E317&lt;=20,"0-19",
IF(E317&lt;=50,"20-49",
IF(E317&lt;=80,"50-79","80+")))</f>
        <v>50-79</v>
      </c>
      <c r="G317" s="87" t="s">
        <v>2101</v>
      </c>
      <c r="H317" s="87" t="s">
        <v>22</v>
      </c>
      <c r="I317" s="87" t="s">
        <v>2102</v>
      </c>
      <c r="J317" s="87" t="s">
        <v>2304</v>
      </c>
      <c r="K317" s="86" t="s">
        <v>1906</v>
      </c>
      <c r="L317" s="87" t="s">
        <v>1922</v>
      </c>
      <c r="M317" s="87">
        <v>5</v>
      </c>
      <c r="N317" s="161">
        <v>93695</v>
      </c>
      <c r="O317" s="161" t="s">
        <v>2254</v>
      </c>
      <c r="P317" s="168">
        <v>254720453324</v>
      </c>
      <c r="Q317" s="210"/>
    </row>
    <row r="318" spans="1:17" ht="21" x14ac:dyDescent="0.2">
      <c r="A318" s="139" t="s">
        <v>836</v>
      </c>
      <c r="B318" s="82">
        <v>2602044</v>
      </c>
      <c r="C318" s="82">
        <v>63333</v>
      </c>
      <c r="D318" s="82" t="s">
        <v>1444</v>
      </c>
      <c r="E318" s="82">
        <v>58</v>
      </c>
      <c r="F318" s="82" t="str">
        <f>IF(E318&lt;=20,"0-19",
IF(E318&lt;=50,"20-49",
IF(E318&lt;=80,"50-79","80+")))</f>
        <v>50-79</v>
      </c>
      <c r="G318" s="82" t="s">
        <v>1445</v>
      </c>
      <c r="H318" s="82" t="s">
        <v>22</v>
      </c>
      <c r="I318" s="92" t="s">
        <v>1446</v>
      </c>
      <c r="J318" s="92" t="s">
        <v>2328</v>
      </c>
      <c r="K318" s="92" t="s">
        <v>1447</v>
      </c>
      <c r="L318" s="92" t="s">
        <v>1242</v>
      </c>
      <c r="M318" s="82">
        <v>5</v>
      </c>
      <c r="N318" s="84">
        <v>153714</v>
      </c>
      <c r="O318" s="82" t="s">
        <v>832</v>
      </c>
      <c r="P318" s="171"/>
      <c r="Q318" s="210"/>
    </row>
    <row r="319" spans="1:17" x14ac:dyDescent="0.2">
      <c r="A319" s="139" t="s">
        <v>422</v>
      </c>
      <c r="B319" s="87">
        <v>2011454</v>
      </c>
      <c r="C319" s="87">
        <v>13452</v>
      </c>
      <c r="D319" s="87" t="s">
        <v>423</v>
      </c>
      <c r="E319" s="86">
        <v>65</v>
      </c>
      <c r="F319" s="86" t="str">
        <f>IF(E319&lt;=20,"0-19",
IF(E319&lt;=50,"20-49",
IF(E319&lt;=80,"50-79","80+")))</f>
        <v>50-79</v>
      </c>
      <c r="G319" s="87" t="s">
        <v>424</v>
      </c>
      <c r="H319" s="87" t="s">
        <v>15</v>
      </c>
      <c r="I319" s="87" t="s">
        <v>425</v>
      </c>
      <c r="J319" s="114" t="s">
        <v>2546</v>
      </c>
      <c r="K319" s="86" t="s">
        <v>42</v>
      </c>
      <c r="L319" s="86" t="s">
        <v>94</v>
      </c>
      <c r="M319" s="87">
        <v>5</v>
      </c>
      <c r="N319" s="97">
        <v>251693</v>
      </c>
      <c r="O319" s="87" t="s">
        <v>18</v>
      </c>
      <c r="P319" s="171"/>
      <c r="Q319" s="210"/>
    </row>
    <row r="320" spans="1:17" x14ac:dyDescent="0.2">
      <c r="A320" s="139" t="s">
        <v>1016</v>
      </c>
      <c r="B320" s="82">
        <v>2503295</v>
      </c>
      <c r="C320" s="82">
        <v>62746</v>
      </c>
      <c r="D320" s="82" t="s">
        <v>1059</v>
      </c>
      <c r="E320" s="82">
        <v>12</v>
      </c>
      <c r="F320" s="82" t="str">
        <f>IF(E320&lt;=20,"0-19",
IF(E320&lt;=50,"20-49",
IF(E320&lt;=80,"50-79","80+")))</f>
        <v>0-19</v>
      </c>
      <c r="G320" s="82" t="s">
        <v>60</v>
      </c>
      <c r="H320" s="82" t="s">
        <v>88</v>
      </c>
      <c r="I320" s="92" t="s">
        <v>1060</v>
      </c>
      <c r="J320" s="114" t="s">
        <v>2311</v>
      </c>
      <c r="K320" s="92" t="s">
        <v>843</v>
      </c>
      <c r="L320" s="82" t="s">
        <v>851</v>
      </c>
      <c r="M320" s="82">
        <v>5</v>
      </c>
      <c r="N320" s="84">
        <v>145327</v>
      </c>
      <c r="O320" s="82" t="s">
        <v>832</v>
      </c>
      <c r="P320" s="170"/>
      <c r="Q320" s="210"/>
    </row>
    <row r="321" spans="1:17" x14ac:dyDescent="0.2">
      <c r="A321" s="105" t="s">
        <v>53</v>
      </c>
      <c r="B321" s="82">
        <v>2001108</v>
      </c>
      <c r="C321" s="82">
        <v>21421</v>
      </c>
      <c r="D321" s="82" t="s">
        <v>1860</v>
      </c>
      <c r="E321" s="82">
        <v>44</v>
      </c>
      <c r="F321" s="82" t="str">
        <f>IF(E321&lt;=20,"0-19",
IF(E321&lt;=50,"20-49",
IF(E321&lt;=80,"50-79","80+")))</f>
        <v>20-49</v>
      </c>
      <c r="G321" s="82" t="s">
        <v>1861</v>
      </c>
      <c r="H321" s="82" t="s">
        <v>664</v>
      </c>
      <c r="I321" s="92" t="s">
        <v>1862</v>
      </c>
      <c r="J321" s="92" t="s">
        <v>2288</v>
      </c>
      <c r="K321" s="82" t="s">
        <v>1863</v>
      </c>
      <c r="L321" s="82" t="s">
        <v>1551</v>
      </c>
      <c r="M321" s="82">
        <v>5</v>
      </c>
      <c r="N321" s="151">
        <v>450212</v>
      </c>
      <c r="O321" s="151" t="s">
        <v>2254</v>
      </c>
      <c r="P321" s="152">
        <v>254724926757</v>
      </c>
      <c r="Q321" s="210"/>
    </row>
    <row r="322" spans="1:17" ht="31.5" x14ac:dyDescent="0.2">
      <c r="A322" s="139" t="s">
        <v>1033</v>
      </c>
      <c r="B322" s="82">
        <v>2003427</v>
      </c>
      <c r="C322" s="82">
        <v>9108</v>
      </c>
      <c r="D322" s="82" t="s">
        <v>1034</v>
      </c>
      <c r="E322" s="82">
        <v>68</v>
      </c>
      <c r="F322" s="82" t="str">
        <f>IF(E322&lt;=20,"0-19",
IF(E322&lt;=50,"20-49",
IF(E322&lt;=80,"50-79","80+")))</f>
        <v>50-79</v>
      </c>
      <c r="G322" s="82" t="s">
        <v>60</v>
      </c>
      <c r="H322" s="82" t="s">
        <v>22</v>
      </c>
      <c r="I322" s="92" t="s">
        <v>1035</v>
      </c>
      <c r="J322" s="92" t="s">
        <v>2288</v>
      </c>
      <c r="K322" s="92" t="s">
        <v>1036</v>
      </c>
      <c r="L322" s="82" t="s">
        <v>896</v>
      </c>
      <c r="M322" s="82">
        <v>5</v>
      </c>
      <c r="N322" s="84">
        <v>104991</v>
      </c>
      <c r="O322" s="82" t="s">
        <v>832</v>
      </c>
      <c r="P322" s="170"/>
      <c r="Q322" s="210"/>
    </row>
    <row r="323" spans="1:17" ht="21" x14ac:dyDescent="0.2">
      <c r="A323" s="187" t="s">
        <v>426</v>
      </c>
      <c r="B323" s="190">
        <v>2005059</v>
      </c>
      <c r="C323" s="190">
        <v>18820</v>
      </c>
      <c r="D323" s="190" t="s">
        <v>427</v>
      </c>
      <c r="E323" s="189">
        <v>55</v>
      </c>
      <c r="F323" s="189" t="str">
        <f>IF(E323&lt;=20,"0-19",
IF(E323&lt;=50,"20-49",
IF(E323&lt;=80,"50-79","80+")))</f>
        <v>50-79</v>
      </c>
      <c r="G323" s="189" t="s">
        <v>428</v>
      </c>
      <c r="H323" s="189" t="s">
        <v>15</v>
      </c>
      <c r="I323" s="189" t="s">
        <v>429</v>
      </c>
      <c r="J323" s="189" t="s">
        <v>2288</v>
      </c>
      <c r="K323" s="189" t="s">
        <v>30</v>
      </c>
      <c r="L323" s="190" t="s">
        <v>289</v>
      </c>
      <c r="M323" s="92">
        <v>5</v>
      </c>
      <c r="N323" s="205">
        <v>225061</v>
      </c>
      <c r="O323" s="82" t="s">
        <v>18</v>
      </c>
      <c r="P323" s="170"/>
      <c r="Q323" s="210"/>
    </row>
    <row r="324" spans="1:17" x14ac:dyDescent="0.2">
      <c r="A324" s="139" t="s">
        <v>1250</v>
      </c>
      <c r="B324" s="82">
        <v>2011774</v>
      </c>
      <c r="C324" s="82">
        <v>31235</v>
      </c>
      <c r="D324" s="82" t="s">
        <v>1251</v>
      </c>
      <c r="E324" s="82">
        <v>64</v>
      </c>
      <c r="F324" s="82" t="str">
        <f>IF(E324&lt;=20,"0-19",
IF(E324&lt;=50,"20-49",
IF(E324&lt;=80,"50-79","80+")))</f>
        <v>50-79</v>
      </c>
      <c r="G324" s="82" t="s">
        <v>1252</v>
      </c>
      <c r="H324" s="82" t="s">
        <v>15</v>
      </c>
      <c r="I324" s="92" t="s">
        <v>1253</v>
      </c>
      <c r="J324" s="92" t="s">
        <v>2288</v>
      </c>
      <c r="K324" s="92" t="s">
        <v>860</v>
      </c>
      <c r="L324" s="92" t="s">
        <v>1241</v>
      </c>
      <c r="M324" s="82">
        <v>5</v>
      </c>
      <c r="N324" s="84">
        <v>79385</v>
      </c>
      <c r="O324" s="82" t="s">
        <v>832</v>
      </c>
      <c r="P324" s="171"/>
      <c r="Q324" s="210"/>
    </row>
    <row r="325" spans="1:17" ht="21" x14ac:dyDescent="0.2">
      <c r="A325" s="104" t="s">
        <v>1797</v>
      </c>
      <c r="B325" s="86">
        <v>2022970</v>
      </c>
      <c r="C325" s="87">
        <v>59899</v>
      </c>
      <c r="D325" s="86" t="s">
        <v>1798</v>
      </c>
      <c r="E325" s="86">
        <v>63</v>
      </c>
      <c r="F325" s="86" t="str">
        <f>IF(E325&lt;=20,"0-19",
IF(E325&lt;=50,"20-49",
IF(E325&lt;=80,"50-79","80+")))</f>
        <v>50-79</v>
      </c>
      <c r="G325" s="86" t="s">
        <v>1799</v>
      </c>
      <c r="H325" s="86" t="s">
        <v>22</v>
      </c>
      <c r="I325" s="86" t="s">
        <v>61</v>
      </c>
      <c r="J325" s="86" t="s">
        <v>2295</v>
      </c>
      <c r="K325" s="86" t="s">
        <v>1225</v>
      </c>
      <c r="L325" s="86" t="s">
        <v>1562</v>
      </c>
      <c r="M325" s="88">
        <v>5</v>
      </c>
      <c r="N325" s="163">
        <v>260100</v>
      </c>
      <c r="O325" s="163" t="s">
        <v>2254</v>
      </c>
      <c r="P325" s="168">
        <v>254722722182</v>
      </c>
      <c r="Q325" s="210"/>
    </row>
    <row r="326" spans="1:17" x14ac:dyDescent="0.2">
      <c r="A326" s="108" t="s">
        <v>456</v>
      </c>
      <c r="B326" s="87">
        <v>2015712</v>
      </c>
      <c r="C326" s="87">
        <v>13892</v>
      </c>
      <c r="D326" s="87" t="s">
        <v>457</v>
      </c>
      <c r="E326" s="86">
        <v>58</v>
      </c>
      <c r="F326" s="86" t="str">
        <f>IF(E326&lt;=20,"0-19",
IF(E326&lt;=50,"20-49",
IF(E326&lt;=80,"50-79","80+")))</f>
        <v>50-79</v>
      </c>
      <c r="G326" s="87" t="s">
        <v>458</v>
      </c>
      <c r="H326" s="87" t="s">
        <v>15</v>
      </c>
      <c r="I326" s="87" t="s">
        <v>459</v>
      </c>
      <c r="J326" s="87" t="s">
        <v>2295</v>
      </c>
      <c r="K326" s="86" t="s">
        <v>36</v>
      </c>
      <c r="L326" s="86" t="s">
        <v>141</v>
      </c>
      <c r="M326" s="87">
        <v>5</v>
      </c>
      <c r="N326" s="97">
        <v>139283</v>
      </c>
      <c r="O326" s="87" t="s">
        <v>18</v>
      </c>
      <c r="P326" s="171"/>
      <c r="Q326" s="210"/>
    </row>
    <row r="327" spans="1:17" ht="21" x14ac:dyDescent="0.2">
      <c r="A327" s="104" t="s">
        <v>1696</v>
      </c>
      <c r="B327" s="86">
        <v>2007815</v>
      </c>
      <c r="C327" s="87">
        <v>11812</v>
      </c>
      <c r="D327" s="86" t="s">
        <v>1697</v>
      </c>
      <c r="E327" s="86">
        <v>70</v>
      </c>
      <c r="F327" s="86" t="str">
        <f>IF(E327&lt;=20,"0-19",
IF(E327&lt;=50,"20-49",
IF(E327&lt;=80,"50-79","80+")))</f>
        <v>50-79</v>
      </c>
      <c r="G327" s="86" t="s">
        <v>1698</v>
      </c>
      <c r="H327" s="86" t="s">
        <v>15</v>
      </c>
      <c r="I327" s="86" t="s">
        <v>1699</v>
      </c>
      <c r="J327" s="114" t="s">
        <v>2270</v>
      </c>
      <c r="K327" s="86" t="s">
        <v>1232</v>
      </c>
      <c r="L327" s="88" t="s">
        <v>1553</v>
      </c>
      <c r="M327" s="88">
        <v>5</v>
      </c>
      <c r="N327" s="163">
        <v>83496</v>
      </c>
      <c r="O327" s="163" t="s">
        <v>2254</v>
      </c>
      <c r="P327" s="168">
        <v>254711994280</v>
      </c>
      <c r="Q327" s="210"/>
    </row>
    <row r="328" spans="1:17" x14ac:dyDescent="0.2">
      <c r="A328" s="139" t="s">
        <v>19</v>
      </c>
      <c r="B328" s="114">
        <v>2405116</v>
      </c>
      <c r="C328" s="113">
        <v>52917</v>
      </c>
      <c r="D328" s="114" t="s">
        <v>399</v>
      </c>
      <c r="E328" s="114">
        <v>64</v>
      </c>
      <c r="F328" s="114" t="str">
        <f>IF(E328&lt;=20,"0-19",
IF(E328&lt;=50,"20-49",
IF(E328&lt;=80,"50-79","80+")))</f>
        <v>50-79</v>
      </c>
      <c r="G328" s="114" t="s">
        <v>400</v>
      </c>
      <c r="H328" s="114" t="s">
        <v>22</v>
      </c>
      <c r="I328" s="114" t="s">
        <v>401</v>
      </c>
      <c r="J328" s="114" t="s">
        <v>2546</v>
      </c>
      <c r="K328" s="114" t="s">
        <v>103</v>
      </c>
      <c r="L328" s="114" t="s">
        <v>24</v>
      </c>
      <c r="M328" s="114">
        <v>5</v>
      </c>
      <c r="N328" s="116">
        <v>148490.70000000001</v>
      </c>
      <c r="O328" s="82" t="s">
        <v>18</v>
      </c>
      <c r="P328" s="170"/>
      <c r="Q328" s="210"/>
    </row>
    <row r="329" spans="1:17" x14ac:dyDescent="0.2">
      <c r="A329" s="105" t="s">
        <v>72</v>
      </c>
      <c r="B329" s="82">
        <v>2001580</v>
      </c>
      <c r="C329" s="82">
        <v>100644</v>
      </c>
      <c r="D329" s="82" t="s">
        <v>419</v>
      </c>
      <c r="E329" s="92">
        <v>68</v>
      </c>
      <c r="F329" s="92" t="str">
        <f>IF(E329&lt;=20,"0-19",
IF(E329&lt;=50,"20-49",
IF(E329&lt;=80,"50-79","80+")))</f>
        <v>50-79</v>
      </c>
      <c r="G329" s="82" t="s">
        <v>420</v>
      </c>
      <c r="H329" s="82" t="s">
        <v>22</v>
      </c>
      <c r="I329" s="82" t="s">
        <v>421</v>
      </c>
      <c r="J329" s="114" t="s">
        <v>2546</v>
      </c>
      <c r="K329" s="92" t="s">
        <v>99</v>
      </c>
      <c r="L329" s="92" t="s">
        <v>30</v>
      </c>
      <c r="M329" s="82">
        <v>5</v>
      </c>
      <c r="N329" s="101">
        <v>629327.19999999995</v>
      </c>
      <c r="O329" s="82" t="s">
        <v>18</v>
      </c>
      <c r="P329" s="170"/>
      <c r="Q329" s="210"/>
    </row>
    <row r="330" spans="1:17" x14ac:dyDescent="0.2">
      <c r="A330" s="105" t="s">
        <v>274</v>
      </c>
      <c r="B330" s="82">
        <v>2502105</v>
      </c>
      <c r="C330" s="82">
        <v>76472</v>
      </c>
      <c r="D330" s="82" t="s">
        <v>1646</v>
      </c>
      <c r="E330" s="82">
        <v>11</v>
      </c>
      <c r="F330" s="82" t="str">
        <f>IF(E330&lt;=20,"0-19",
IF(E330&lt;=50,"20-49",
IF(E330&lt;=80,"50-79","80+")))</f>
        <v>0-19</v>
      </c>
      <c r="G330" s="82" t="s">
        <v>1647</v>
      </c>
      <c r="H330" s="82" t="s">
        <v>1648</v>
      </c>
      <c r="I330" s="92" t="s">
        <v>1649</v>
      </c>
      <c r="J330" s="114" t="s">
        <v>2546</v>
      </c>
      <c r="K330" s="82" t="s">
        <v>1556</v>
      </c>
      <c r="L330" s="82" t="s">
        <v>1567</v>
      </c>
      <c r="M330" s="82">
        <v>5</v>
      </c>
      <c r="N330" s="151">
        <v>48403</v>
      </c>
      <c r="O330" s="151" t="s">
        <v>2254</v>
      </c>
      <c r="P330" s="152">
        <v>254714699371</v>
      </c>
      <c r="Q330" s="210"/>
    </row>
    <row r="331" spans="1:17" x14ac:dyDescent="0.2">
      <c r="A331" s="139" t="s">
        <v>1037</v>
      </c>
      <c r="B331" s="82">
        <v>2009251</v>
      </c>
      <c r="C331" s="82">
        <v>105618</v>
      </c>
      <c r="D331" s="82" t="s">
        <v>1038</v>
      </c>
      <c r="E331" s="82">
        <v>46</v>
      </c>
      <c r="F331" s="82" t="str">
        <f>IF(E331&lt;=20,"0-19",
IF(E331&lt;=50,"20-49",
IF(E331&lt;=80,"50-79","80+")))</f>
        <v>20-49</v>
      </c>
      <c r="G331" s="82" t="s">
        <v>1039</v>
      </c>
      <c r="H331" s="82" t="s">
        <v>15</v>
      </c>
      <c r="I331" s="92" t="s">
        <v>1040</v>
      </c>
      <c r="J331" s="114" t="s">
        <v>2546</v>
      </c>
      <c r="K331" s="92" t="s">
        <v>193</v>
      </c>
      <c r="L331" s="82" t="s">
        <v>834</v>
      </c>
      <c r="M331" s="82">
        <v>5</v>
      </c>
      <c r="N331" s="84">
        <v>94155</v>
      </c>
      <c r="O331" s="82" t="s">
        <v>832</v>
      </c>
      <c r="P331" s="170"/>
      <c r="Q331" s="210"/>
    </row>
    <row r="332" spans="1:17" ht="21" x14ac:dyDescent="0.2">
      <c r="A332" s="104" t="s">
        <v>2074</v>
      </c>
      <c r="B332" s="86">
        <v>2016650</v>
      </c>
      <c r="C332" s="87">
        <v>15315</v>
      </c>
      <c r="D332" s="86" t="s">
        <v>2075</v>
      </c>
      <c r="E332" s="86">
        <v>65</v>
      </c>
      <c r="F332" s="86" t="str">
        <f>IF(E332&lt;=20,"0-19",
IF(E332&lt;=50,"20-49",
IF(E332&lt;=80,"50-79","80+")))</f>
        <v>50-79</v>
      </c>
      <c r="G332" s="86" t="s">
        <v>2076</v>
      </c>
      <c r="H332" s="86" t="s">
        <v>15</v>
      </c>
      <c r="I332" s="86" t="s">
        <v>2077</v>
      </c>
      <c r="J332" s="114" t="s">
        <v>2546</v>
      </c>
      <c r="K332" s="86" t="s">
        <v>1916</v>
      </c>
      <c r="L332" s="86" t="s">
        <v>1898</v>
      </c>
      <c r="M332" s="86">
        <v>5</v>
      </c>
      <c r="N332" s="163">
        <v>81272</v>
      </c>
      <c r="O332" s="163" t="s">
        <v>2254</v>
      </c>
      <c r="P332" s="168">
        <v>254722480207</v>
      </c>
      <c r="Q332" s="210"/>
    </row>
    <row r="333" spans="1:17" ht="21" x14ac:dyDescent="0.2">
      <c r="A333" s="103" t="s">
        <v>75</v>
      </c>
      <c r="B333" s="113">
        <v>2019543</v>
      </c>
      <c r="C333" s="113">
        <v>16396</v>
      </c>
      <c r="D333" s="114" t="s">
        <v>390</v>
      </c>
      <c r="E333" s="113">
        <v>58</v>
      </c>
      <c r="F333" s="113" t="str">
        <f>IF(E333&lt;=20,"0-19",
IF(E333&lt;=50,"20-49",
IF(E333&lt;=80,"50-79","80+")))</f>
        <v>50-79</v>
      </c>
      <c r="G333" s="113" t="s">
        <v>391</v>
      </c>
      <c r="H333" s="113" t="s">
        <v>15</v>
      </c>
      <c r="I333" s="114" t="s">
        <v>392</v>
      </c>
      <c r="J333" s="114" t="s">
        <v>2546</v>
      </c>
      <c r="K333" s="114" t="s">
        <v>393</v>
      </c>
      <c r="L333" s="113" t="s">
        <v>25</v>
      </c>
      <c r="M333" s="114">
        <v>5</v>
      </c>
      <c r="N333" s="115">
        <v>43182.65</v>
      </c>
      <c r="O333" s="82" t="s">
        <v>18</v>
      </c>
      <c r="P333" s="170"/>
      <c r="Q333" s="210"/>
    </row>
    <row r="334" spans="1:17" ht="21" x14ac:dyDescent="0.2">
      <c r="A334" s="108" t="s">
        <v>430</v>
      </c>
      <c r="B334" s="87">
        <v>2018355</v>
      </c>
      <c r="C334" s="87">
        <v>63541</v>
      </c>
      <c r="D334" s="87" t="s">
        <v>431</v>
      </c>
      <c r="E334" s="86">
        <v>61</v>
      </c>
      <c r="F334" s="86" t="str">
        <f>IF(E334&lt;=20,"0-19",
IF(E334&lt;=50,"20-49",
IF(E334&lt;=80,"50-79","80+")))</f>
        <v>50-79</v>
      </c>
      <c r="G334" s="87" t="s">
        <v>60</v>
      </c>
      <c r="H334" s="87" t="s">
        <v>22</v>
      </c>
      <c r="I334" s="87" t="s">
        <v>432</v>
      </c>
      <c r="J334" s="87" t="s">
        <v>2310</v>
      </c>
      <c r="K334" s="86" t="s">
        <v>215</v>
      </c>
      <c r="L334" s="86" t="s">
        <v>67</v>
      </c>
      <c r="M334" s="87">
        <v>5</v>
      </c>
      <c r="N334" s="97">
        <v>23992.3</v>
      </c>
      <c r="O334" s="87" t="s">
        <v>18</v>
      </c>
      <c r="P334" s="171"/>
      <c r="Q334" s="210"/>
    </row>
    <row r="335" spans="1:17" x14ac:dyDescent="0.2">
      <c r="A335" s="139" t="s">
        <v>19</v>
      </c>
      <c r="B335" s="93">
        <v>2018292</v>
      </c>
      <c r="C335" s="82">
        <v>57035</v>
      </c>
      <c r="D335" s="93" t="s">
        <v>1050</v>
      </c>
      <c r="E335" s="93">
        <v>64</v>
      </c>
      <c r="F335" s="93" t="str">
        <f>IF(E335&lt;=20,"0-19",
IF(E335&lt;=50,"20-49",
IF(E335&lt;=80,"50-79","80+")))</f>
        <v>50-79</v>
      </c>
      <c r="G335" s="93" t="s">
        <v>60</v>
      </c>
      <c r="H335" s="93" t="s">
        <v>22</v>
      </c>
      <c r="I335" s="93" t="s">
        <v>1051</v>
      </c>
      <c r="J335" s="93" t="s">
        <v>2310</v>
      </c>
      <c r="K335" s="93" t="s">
        <v>85</v>
      </c>
      <c r="L335" s="93" t="s">
        <v>835</v>
      </c>
      <c r="M335" s="93">
        <v>5</v>
      </c>
      <c r="N335" s="94">
        <v>460000</v>
      </c>
      <c r="O335" s="82" t="s">
        <v>832</v>
      </c>
      <c r="P335" s="170"/>
      <c r="Q335" s="210"/>
    </row>
    <row r="336" spans="1:17" x14ac:dyDescent="0.2">
      <c r="A336" s="105" t="s">
        <v>1708</v>
      </c>
      <c r="B336" s="82">
        <v>2018024</v>
      </c>
      <c r="C336" s="82">
        <v>58041</v>
      </c>
      <c r="D336" s="82" t="s">
        <v>2128</v>
      </c>
      <c r="E336" s="82">
        <v>61</v>
      </c>
      <c r="F336" s="82" t="str">
        <f>IF(E336&lt;=20,"0-19",
IF(E336&lt;=50,"20-49",
IF(E336&lt;=80,"50-79","80+")))</f>
        <v>50-79</v>
      </c>
      <c r="G336" s="82" t="s">
        <v>2129</v>
      </c>
      <c r="H336" s="82" t="s">
        <v>22</v>
      </c>
      <c r="I336" s="82" t="s">
        <v>2130</v>
      </c>
      <c r="J336" s="82" t="s">
        <v>2310</v>
      </c>
      <c r="K336" s="92" t="s">
        <v>1543</v>
      </c>
      <c r="L336" s="82" t="s">
        <v>1908</v>
      </c>
      <c r="M336" s="82">
        <v>5</v>
      </c>
      <c r="N336" s="151">
        <v>132853.62</v>
      </c>
      <c r="O336" s="151" t="s">
        <v>2254</v>
      </c>
      <c r="P336" s="152">
        <v>254717451764</v>
      </c>
      <c r="Q336" s="210"/>
    </row>
    <row r="337" spans="1:17" x14ac:dyDescent="0.2">
      <c r="A337" s="139" t="s">
        <v>1482</v>
      </c>
      <c r="B337" s="82">
        <v>2602064</v>
      </c>
      <c r="C337" s="82">
        <v>77476</v>
      </c>
      <c r="D337" s="82" t="s">
        <v>1488</v>
      </c>
      <c r="E337" s="82">
        <v>34</v>
      </c>
      <c r="F337" s="82" t="str">
        <f>IF(E337&lt;=20,"0-19",
IF(E337&lt;=50,"20-49",
IF(E337&lt;=80,"50-79","80+")))</f>
        <v>20-49</v>
      </c>
      <c r="G337" s="82" t="s">
        <v>1489</v>
      </c>
      <c r="H337" s="82" t="s">
        <v>15</v>
      </c>
      <c r="I337" s="92" t="s">
        <v>1490</v>
      </c>
      <c r="J337" s="114" t="s">
        <v>2311</v>
      </c>
      <c r="K337" s="92" t="s">
        <v>860</v>
      </c>
      <c r="L337" s="92" t="s">
        <v>1241</v>
      </c>
      <c r="M337" s="82">
        <v>5</v>
      </c>
      <c r="N337" s="84">
        <v>91953</v>
      </c>
      <c r="O337" s="82" t="s">
        <v>832</v>
      </c>
      <c r="P337" s="171"/>
      <c r="Q337" s="210"/>
    </row>
    <row r="338" spans="1:17" x14ac:dyDescent="0.2">
      <c r="A338" s="104" t="s">
        <v>354</v>
      </c>
      <c r="B338" s="86">
        <v>2023126</v>
      </c>
      <c r="C338" s="87">
        <v>63184</v>
      </c>
      <c r="D338" s="86" t="s">
        <v>2018</v>
      </c>
      <c r="E338" s="86">
        <v>20</v>
      </c>
      <c r="F338" s="86" t="str">
        <f>IF(E338&lt;=20,"0-19",
IF(E338&lt;=50,"20-49",
IF(E338&lt;=80,"50-79","80+")))</f>
        <v>0-19</v>
      </c>
      <c r="G338" s="86" t="s">
        <v>2019</v>
      </c>
      <c r="H338" s="86" t="s">
        <v>132</v>
      </c>
      <c r="I338" s="86" t="s">
        <v>486</v>
      </c>
      <c r="J338" s="114" t="s">
        <v>2311</v>
      </c>
      <c r="K338" s="86" t="s">
        <v>1895</v>
      </c>
      <c r="L338" s="86" t="s">
        <v>1923</v>
      </c>
      <c r="M338" s="86">
        <v>5</v>
      </c>
      <c r="N338" s="163">
        <v>52350</v>
      </c>
      <c r="O338" s="163" t="s">
        <v>2254</v>
      </c>
      <c r="P338" s="168">
        <v>254710416650</v>
      </c>
      <c r="Q338" s="210"/>
    </row>
    <row r="339" spans="1:17" ht="21" x14ac:dyDescent="0.2">
      <c r="A339" s="139" t="s">
        <v>63</v>
      </c>
      <c r="B339" s="82">
        <v>2010780</v>
      </c>
      <c r="C339" s="82">
        <v>58898</v>
      </c>
      <c r="D339" s="82" t="s">
        <v>1044</v>
      </c>
      <c r="E339" s="82">
        <v>58</v>
      </c>
      <c r="F339" s="82" t="str">
        <f>IF(E339&lt;=20,"0-19",
IF(E339&lt;=50,"20-49",
IF(E339&lt;=80,"50-79","80+")))</f>
        <v>50-79</v>
      </c>
      <c r="G339" s="82" t="s">
        <v>1045</v>
      </c>
      <c r="H339" s="82" t="s">
        <v>15</v>
      </c>
      <c r="I339" s="92" t="s">
        <v>1046</v>
      </c>
      <c r="J339" s="92" t="s">
        <v>2328</v>
      </c>
      <c r="K339" s="92" t="s">
        <v>834</v>
      </c>
      <c r="L339" s="82" t="s">
        <v>896</v>
      </c>
      <c r="M339" s="82">
        <v>5</v>
      </c>
      <c r="N339" s="84">
        <v>277489</v>
      </c>
      <c r="O339" s="82" t="s">
        <v>832</v>
      </c>
      <c r="P339" s="170"/>
      <c r="Q339" s="210"/>
    </row>
    <row r="340" spans="1:17" ht="21" x14ac:dyDescent="0.2">
      <c r="A340" s="105" t="s">
        <v>1575</v>
      </c>
      <c r="B340" s="93">
        <v>2402047</v>
      </c>
      <c r="C340" s="82">
        <v>20743</v>
      </c>
      <c r="D340" s="93" t="s">
        <v>2109</v>
      </c>
      <c r="E340" s="93">
        <v>70</v>
      </c>
      <c r="F340" s="93" t="str">
        <f>IF(E340&lt;=20,"0-19",
IF(E340&lt;=50,"20-49",
IF(E340&lt;=80,"50-79","80+")))</f>
        <v>50-79</v>
      </c>
      <c r="G340" s="93" t="s">
        <v>2110</v>
      </c>
      <c r="H340" s="93" t="s">
        <v>15</v>
      </c>
      <c r="I340" s="93" t="s">
        <v>2111</v>
      </c>
      <c r="J340" s="93" t="s">
        <v>2328</v>
      </c>
      <c r="K340" s="93" t="s">
        <v>1895</v>
      </c>
      <c r="L340" s="93" t="s">
        <v>1923</v>
      </c>
      <c r="M340" s="93">
        <v>5</v>
      </c>
      <c r="N340" s="166">
        <v>101320</v>
      </c>
      <c r="O340" s="166" t="s">
        <v>2254</v>
      </c>
      <c r="P340" s="152">
        <v>254721929930</v>
      </c>
      <c r="Q340" s="210"/>
    </row>
    <row r="341" spans="1:17" x14ac:dyDescent="0.2">
      <c r="A341" s="103" t="s">
        <v>228</v>
      </c>
      <c r="B341" s="82">
        <v>2002456</v>
      </c>
      <c r="C341" s="82">
        <v>12997</v>
      </c>
      <c r="D341" s="82" t="s">
        <v>406</v>
      </c>
      <c r="E341" s="92">
        <v>65</v>
      </c>
      <c r="F341" s="92" t="str">
        <f>IF(E341&lt;=20,"0-19",
IF(E341&lt;=50,"20-49",
IF(E341&lt;=80,"50-79","80+")))</f>
        <v>50-79</v>
      </c>
      <c r="G341" s="82" t="s">
        <v>407</v>
      </c>
      <c r="H341" s="82" t="s">
        <v>22</v>
      </c>
      <c r="I341" s="82" t="s">
        <v>408</v>
      </c>
      <c r="J341" s="82" t="s">
        <v>2314</v>
      </c>
      <c r="K341" s="92" t="s">
        <v>67</v>
      </c>
      <c r="L341" s="92" t="s">
        <v>85</v>
      </c>
      <c r="M341" s="82">
        <v>5</v>
      </c>
      <c r="N341" s="101">
        <v>110462.98</v>
      </c>
      <c r="O341" s="82" t="s">
        <v>18</v>
      </c>
      <c r="P341" s="170"/>
      <c r="Q341" s="210"/>
    </row>
    <row r="342" spans="1:17" x14ac:dyDescent="0.2">
      <c r="A342" s="139" t="s">
        <v>1502</v>
      </c>
      <c r="B342" s="93">
        <v>2009519</v>
      </c>
      <c r="C342" s="82">
        <v>14587</v>
      </c>
      <c r="D342" s="93" t="s">
        <v>1041</v>
      </c>
      <c r="E342" s="93">
        <v>60</v>
      </c>
      <c r="F342" s="93" t="str">
        <f>IF(E342&lt;=20,"0-19",
IF(E342&lt;=50,"20-49",
IF(E342&lt;=80,"50-79","80+")))</f>
        <v>50-79</v>
      </c>
      <c r="G342" s="93" t="s">
        <v>14</v>
      </c>
      <c r="H342" s="93" t="s">
        <v>15</v>
      </c>
      <c r="I342" s="93" t="s">
        <v>1042</v>
      </c>
      <c r="J342" s="114" t="s">
        <v>2295</v>
      </c>
      <c r="K342" s="93" t="s">
        <v>1043</v>
      </c>
      <c r="L342" s="93" t="s">
        <v>846</v>
      </c>
      <c r="M342" s="93">
        <v>5</v>
      </c>
      <c r="N342" s="94">
        <v>41803</v>
      </c>
      <c r="O342" s="82" t="s">
        <v>832</v>
      </c>
      <c r="P342" s="170"/>
      <c r="Q342" s="210"/>
    </row>
    <row r="343" spans="1:17" x14ac:dyDescent="0.2">
      <c r="A343" s="139" t="s">
        <v>47</v>
      </c>
      <c r="B343" s="113">
        <v>2002532</v>
      </c>
      <c r="C343" s="113">
        <v>18558</v>
      </c>
      <c r="D343" s="114" t="s">
        <v>409</v>
      </c>
      <c r="E343" s="113">
        <v>73</v>
      </c>
      <c r="F343" s="113" t="str">
        <f>IF(E343&lt;=20,"0-19",
IF(E343&lt;=50,"20-49",
IF(E343&lt;=80,"50-79","80+")))</f>
        <v>50-79</v>
      </c>
      <c r="G343" s="113" t="s">
        <v>410</v>
      </c>
      <c r="H343" s="113" t="s">
        <v>22</v>
      </c>
      <c r="I343" s="114" t="s">
        <v>411</v>
      </c>
      <c r="J343" s="82" t="s">
        <v>2270</v>
      </c>
      <c r="K343" s="114" t="s">
        <v>412</v>
      </c>
      <c r="L343" s="113" t="s">
        <v>25</v>
      </c>
      <c r="M343" s="114">
        <v>5</v>
      </c>
      <c r="N343" s="115">
        <v>503236</v>
      </c>
      <c r="O343" s="87" t="s">
        <v>18</v>
      </c>
      <c r="P343" s="171"/>
      <c r="Q343" s="210"/>
    </row>
    <row r="344" spans="1:17" x14ac:dyDescent="0.2">
      <c r="A344" s="104" t="s">
        <v>1452</v>
      </c>
      <c r="B344" s="87">
        <v>2505080</v>
      </c>
      <c r="C344" s="87">
        <v>100854</v>
      </c>
      <c r="D344" s="87" t="s">
        <v>1453</v>
      </c>
      <c r="E344" s="87">
        <v>69</v>
      </c>
      <c r="F344" s="87" t="str">
        <f>IF(E344&lt;=20,"0-19",
IF(E344&lt;=50,"20-49",
IF(E344&lt;=80,"50-79","80+")))</f>
        <v>50-79</v>
      </c>
      <c r="G344" s="87" t="s">
        <v>1454</v>
      </c>
      <c r="H344" s="87" t="s">
        <v>22</v>
      </c>
      <c r="I344" s="86" t="s">
        <v>1645</v>
      </c>
      <c r="J344" s="86" t="s">
        <v>2270</v>
      </c>
      <c r="K344" s="87" t="s">
        <v>1572</v>
      </c>
      <c r="L344" s="87" t="s">
        <v>1559</v>
      </c>
      <c r="M344" s="87">
        <v>5</v>
      </c>
      <c r="N344" s="161">
        <v>47758</v>
      </c>
      <c r="O344" s="161" t="s">
        <v>2254</v>
      </c>
      <c r="P344" s="168">
        <v>254723768076</v>
      </c>
      <c r="Q344" s="210"/>
    </row>
    <row r="345" spans="1:17" x14ac:dyDescent="0.2">
      <c r="A345" s="104" t="s">
        <v>1768</v>
      </c>
      <c r="B345" s="86">
        <v>2001102</v>
      </c>
      <c r="C345" s="87">
        <v>636</v>
      </c>
      <c r="D345" s="86" t="s">
        <v>778</v>
      </c>
      <c r="E345" s="86">
        <v>82</v>
      </c>
      <c r="F345" s="86" t="str">
        <f>IF(E345&lt;=20,"0-19",
IF(E345&lt;=50,"20-49",
IF(E345&lt;=80,"50-79","80+")))</f>
        <v>80+</v>
      </c>
      <c r="G345" s="86" t="s">
        <v>126</v>
      </c>
      <c r="H345" s="86" t="s">
        <v>22</v>
      </c>
      <c r="I345" s="86" t="s">
        <v>1769</v>
      </c>
      <c r="J345" s="86" t="s">
        <v>2270</v>
      </c>
      <c r="K345" s="86" t="s">
        <v>1232</v>
      </c>
      <c r="L345" s="88" t="s">
        <v>1553</v>
      </c>
      <c r="M345" s="88">
        <v>5</v>
      </c>
      <c r="N345" s="163">
        <v>194191</v>
      </c>
      <c r="O345" s="163" t="s">
        <v>2254</v>
      </c>
      <c r="P345" s="168">
        <v>254721629072</v>
      </c>
      <c r="Q345" s="210"/>
    </row>
    <row r="346" spans="1:17" x14ac:dyDescent="0.2">
      <c r="A346" s="139" t="s">
        <v>319</v>
      </c>
      <c r="B346" s="113">
        <v>2001321</v>
      </c>
      <c r="C346" s="113">
        <v>9425</v>
      </c>
      <c r="D346" s="114" t="s">
        <v>402</v>
      </c>
      <c r="E346" s="113">
        <v>73</v>
      </c>
      <c r="F346" s="113" t="str">
        <f>IF(E346&lt;=20,"0-19",
IF(E346&lt;=50,"20-49",
IF(E346&lt;=80,"50-79","80+")))</f>
        <v>50-79</v>
      </c>
      <c r="G346" s="113" t="s">
        <v>403</v>
      </c>
      <c r="H346" s="113" t="s">
        <v>22</v>
      </c>
      <c r="I346" s="114" t="s">
        <v>404</v>
      </c>
      <c r="J346" s="114" t="s">
        <v>2270</v>
      </c>
      <c r="K346" s="114" t="s">
        <v>405</v>
      </c>
      <c r="L346" s="113" t="s">
        <v>71</v>
      </c>
      <c r="M346" s="114">
        <v>5</v>
      </c>
      <c r="N346" s="115">
        <v>479902</v>
      </c>
      <c r="O346" s="87" t="s">
        <v>18</v>
      </c>
      <c r="P346" s="171"/>
      <c r="Q346" s="210"/>
    </row>
    <row r="347" spans="1:17" x14ac:dyDescent="0.2">
      <c r="A347" s="139" t="s">
        <v>43</v>
      </c>
      <c r="B347" s="82">
        <v>2407155</v>
      </c>
      <c r="C347" s="82">
        <v>59414</v>
      </c>
      <c r="D347" s="82" t="s">
        <v>1323</v>
      </c>
      <c r="E347" s="82">
        <v>57</v>
      </c>
      <c r="F347" s="82" t="str">
        <f>IF(E347&lt;=20,"0-19",
IF(E347&lt;=50,"20-49",
IF(E347&lt;=80,"50-79","80+")))</f>
        <v>50-79</v>
      </c>
      <c r="G347" s="82" t="s">
        <v>1324</v>
      </c>
      <c r="H347" s="82" t="s">
        <v>15</v>
      </c>
      <c r="I347" s="82" t="s">
        <v>1325</v>
      </c>
      <c r="J347" s="82" t="s">
        <v>2270</v>
      </c>
      <c r="K347" s="82" t="s">
        <v>1326</v>
      </c>
      <c r="L347" s="82" t="s">
        <v>1231</v>
      </c>
      <c r="M347" s="82">
        <v>5</v>
      </c>
      <c r="N347" s="84">
        <v>444480.16</v>
      </c>
      <c r="O347" s="82" t="s">
        <v>832</v>
      </c>
      <c r="P347" s="170"/>
      <c r="Q347" s="210"/>
    </row>
    <row r="348" spans="1:17" x14ac:dyDescent="0.2">
      <c r="A348" s="139" t="s">
        <v>1503</v>
      </c>
      <c r="B348" s="82">
        <v>2022358</v>
      </c>
      <c r="C348" s="82">
        <v>18774</v>
      </c>
      <c r="D348" s="82" t="s">
        <v>1054</v>
      </c>
      <c r="E348" s="82">
        <v>60</v>
      </c>
      <c r="F348" s="82" t="str">
        <f>IF(E348&lt;=20,"0-19",
IF(E348&lt;=50,"20-49",
IF(E348&lt;=80,"50-79","80+")))</f>
        <v>50-79</v>
      </c>
      <c r="G348" s="82" t="s">
        <v>60</v>
      </c>
      <c r="H348" s="82" t="s">
        <v>22</v>
      </c>
      <c r="I348" s="92" t="s">
        <v>1055</v>
      </c>
      <c r="J348" s="92" t="s">
        <v>2270</v>
      </c>
      <c r="K348" s="92" t="s">
        <v>880</v>
      </c>
      <c r="L348" s="82" t="s">
        <v>831</v>
      </c>
      <c r="M348" s="82">
        <v>5</v>
      </c>
      <c r="N348" s="84">
        <v>155922.47</v>
      </c>
      <c r="O348" s="82" t="s">
        <v>832</v>
      </c>
      <c r="P348" s="170"/>
      <c r="Q348" s="210"/>
    </row>
    <row r="349" spans="1:17" ht="21" x14ac:dyDescent="0.2">
      <c r="A349" s="105" t="s">
        <v>1856</v>
      </c>
      <c r="B349" s="92">
        <v>2013452</v>
      </c>
      <c r="C349" s="82">
        <v>102717</v>
      </c>
      <c r="D349" s="92" t="s">
        <v>2217</v>
      </c>
      <c r="E349" s="92">
        <v>67</v>
      </c>
      <c r="F349" s="92" t="str">
        <f>IF(E349&lt;=20,"0-19",
IF(E349&lt;=50,"20-49",
IF(E349&lt;=80,"50-79","80+")))</f>
        <v>50-79</v>
      </c>
      <c r="G349" s="92" t="s">
        <v>2218</v>
      </c>
      <c r="H349" s="92" t="s">
        <v>15</v>
      </c>
      <c r="I349" s="92" t="s">
        <v>2266</v>
      </c>
      <c r="J349" s="114" t="s">
        <v>2546</v>
      </c>
      <c r="K349" s="92" t="s">
        <v>1928</v>
      </c>
      <c r="L349" s="92" t="s">
        <v>1918</v>
      </c>
      <c r="M349" s="92">
        <v>5</v>
      </c>
      <c r="N349" s="159">
        <v>378474</v>
      </c>
      <c r="O349" s="159" t="s">
        <v>2254</v>
      </c>
      <c r="P349" s="152">
        <v>254710918163</v>
      </c>
      <c r="Q349" s="210"/>
    </row>
    <row r="350" spans="1:17" x14ac:dyDescent="0.2">
      <c r="A350" s="139" t="s">
        <v>1482</v>
      </c>
      <c r="B350" s="82">
        <v>2018317</v>
      </c>
      <c r="C350" s="82">
        <v>75670</v>
      </c>
      <c r="D350" s="82" t="s">
        <v>1052</v>
      </c>
      <c r="E350" s="82">
        <v>16</v>
      </c>
      <c r="F350" s="82" t="str">
        <f>IF(E350&lt;=20,"0-19",
IF(E350&lt;=50,"20-49",
IF(E350&lt;=80,"50-79","80+")))</f>
        <v>0-19</v>
      </c>
      <c r="G350" s="82" t="s">
        <v>1053</v>
      </c>
      <c r="H350" s="82" t="s">
        <v>132</v>
      </c>
      <c r="I350" s="82" t="s">
        <v>89</v>
      </c>
      <c r="J350" s="114" t="s">
        <v>2546</v>
      </c>
      <c r="K350" s="92" t="s">
        <v>896</v>
      </c>
      <c r="L350" s="92" t="s">
        <v>860</v>
      </c>
      <c r="M350" s="82">
        <v>5</v>
      </c>
      <c r="N350" s="84">
        <v>69935</v>
      </c>
      <c r="O350" s="82" t="s">
        <v>832</v>
      </c>
      <c r="P350" s="171"/>
      <c r="Q350" s="210"/>
    </row>
    <row r="351" spans="1:17" x14ac:dyDescent="0.2">
      <c r="A351" s="105" t="s">
        <v>63</v>
      </c>
      <c r="B351" s="92">
        <v>2020141</v>
      </c>
      <c r="C351" s="82">
        <v>16148</v>
      </c>
      <c r="D351" s="92" t="s">
        <v>1800</v>
      </c>
      <c r="E351" s="92">
        <v>65</v>
      </c>
      <c r="F351" s="92" t="str">
        <f>IF(E351&lt;=20,"0-19",
IF(E351&lt;=50,"20-49",
IF(E351&lt;=80,"50-79","80+")))</f>
        <v>50-79</v>
      </c>
      <c r="G351" s="92" t="s">
        <v>1789</v>
      </c>
      <c r="H351" s="92" t="s">
        <v>22</v>
      </c>
      <c r="I351" s="92" t="s">
        <v>1801</v>
      </c>
      <c r="J351" s="92" t="s">
        <v>2283</v>
      </c>
      <c r="K351" s="92" t="s">
        <v>1225</v>
      </c>
      <c r="L351" s="92" t="s">
        <v>1562</v>
      </c>
      <c r="M351" s="93">
        <v>5</v>
      </c>
      <c r="N351" s="159">
        <v>261061</v>
      </c>
      <c r="O351" s="159" t="s">
        <v>2254</v>
      </c>
      <c r="P351" s="152">
        <v>254722699482</v>
      </c>
      <c r="Q351" s="210"/>
    </row>
    <row r="352" spans="1:17" x14ac:dyDescent="0.2">
      <c r="A352" s="139" t="s">
        <v>340</v>
      </c>
      <c r="B352" s="82">
        <v>2023528</v>
      </c>
      <c r="C352" s="82">
        <v>55634</v>
      </c>
      <c r="D352" s="82" t="s">
        <v>1056</v>
      </c>
      <c r="E352" s="82">
        <v>63</v>
      </c>
      <c r="F352" s="82" t="str">
        <f>IF(E352&lt;=20,"0-19",
IF(E352&lt;=50,"20-49",
IF(E352&lt;=80,"50-79","80+")))</f>
        <v>50-79</v>
      </c>
      <c r="G352" s="82" t="s">
        <v>1057</v>
      </c>
      <c r="H352" s="82" t="s">
        <v>15</v>
      </c>
      <c r="I352" s="92" t="s">
        <v>1058</v>
      </c>
      <c r="J352" s="92" t="s">
        <v>2283</v>
      </c>
      <c r="K352" s="92" t="s">
        <v>831</v>
      </c>
      <c r="L352" s="82" t="s">
        <v>855</v>
      </c>
      <c r="M352" s="82">
        <v>5</v>
      </c>
      <c r="N352" s="84">
        <v>99345</v>
      </c>
      <c r="O352" s="82" t="s">
        <v>832</v>
      </c>
      <c r="P352" s="171"/>
      <c r="Q352" s="210"/>
    </row>
    <row r="353" spans="1:17" x14ac:dyDescent="0.2">
      <c r="A353" s="105" t="s">
        <v>1696</v>
      </c>
      <c r="B353" s="82">
        <v>2002022</v>
      </c>
      <c r="C353" s="82">
        <v>13047</v>
      </c>
      <c r="D353" s="82" t="s">
        <v>2089</v>
      </c>
      <c r="E353" s="82">
        <v>69</v>
      </c>
      <c r="F353" s="82" t="str">
        <f>IF(E353&lt;=20,"0-19",
IF(E353&lt;=50,"20-49",
IF(E353&lt;=80,"50-79","80+")))</f>
        <v>50-79</v>
      </c>
      <c r="G353" s="82" t="s">
        <v>2090</v>
      </c>
      <c r="H353" s="82" t="s">
        <v>22</v>
      </c>
      <c r="I353" s="82" t="s">
        <v>2091</v>
      </c>
      <c r="J353" s="82" t="s">
        <v>2283</v>
      </c>
      <c r="K353" s="92" t="s">
        <v>2048</v>
      </c>
      <c r="L353" s="82" t="s">
        <v>1921</v>
      </c>
      <c r="M353" s="82">
        <v>5</v>
      </c>
      <c r="N353" s="151">
        <v>87664</v>
      </c>
      <c r="O353" s="151" t="s">
        <v>2254</v>
      </c>
      <c r="P353" s="152">
        <v>724551041</v>
      </c>
      <c r="Q353" s="210"/>
    </row>
    <row r="354" spans="1:17" x14ac:dyDescent="0.2">
      <c r="A354" s="139" t="s">
        <v>916</v>
      </c>
      <c r="B354" s="82">
        <v>200779</v>
      </c>
      <c r="C354" s="82">
        <v>1284</v>
      </c>
      <c r="D354" s="82" t="s">
        <v>1024</v>
      </c>
      <c r="E354" s="82">
        <v>66</v>
      </c>
      <c r="F354" s="82" t="str">
        <f>IF(E354&lt;=20,"0-19",
IF(E354&lt;=50,"20-49",
IF(E354&lt;=80,"50-79","80+")))</f>
        <v>50-79</v>
      </c>
      <c r="G354" s="82" t="s">
        <v>1025</v>
      </c>
      <c r="H354" s="82" t="s">
        <v>15</v>
      </c>
      <c r="I354" s="92" t="s">
        <v>1026</v>
      </c>
      <c r="J354" s="92" t="s">
        <v>2283</v>
      </c>
      <c r="K354" s="92" t="s">
        <v>835</v>
      </c>
      <c r="L354" s="82" t="s">
        <v>846</v>
      </c>
      <c r="M354" s="82">
        <v>5</v>
      </c>
      <c r="N354" s="84">
        <v>270736.14</v>
      </c>
      <c r="O354" s="82" t="s">
        <v>832</v>
      </c>
      <c r="P354" s="171"/>
      <c r="Q354" s="210"/>
    </row>
    <row r="355" spans="1:17" x14ac:dyDescent="0.2">
      <c r="A355" s="105" t="s">
        <v>53</v>
      </c>
      <c r="B355" s="82">
        <v>2012898</v>
      </c>
      <c r="C355" s="82">
        <v>69679</v>
      </c>
      <c r="D355" s="82" t="s">
        <v>1826</v>
      </c>
      <c r="E355" s="82">
        <v>49</v>
      </c>
      <c r="F355" s="82" t="str">
        <f>IF(E355&lt;=20,"0-19",
IF(E355&lt;=50,"20-49",
IF(E355&lt;=80,"50-79","80+")))</f>
        <v>20-49</v>
      </c>
      <c r="G355" s="82" t="s">
        <v>1827</v>
      </c>
      <c r="H355" s="82" t="s">
        <v>15</v>
      </c>
      <c r="I355" s="92" t="s">
        <v>1828</v>
      </c>
      <c r="J355" s="92" t="s">
        <v>2275</v>
      </c>
      <c r="K355" s="82" t="s">
        <v>1562</v>
      </c>
      <c r="L355" s="82" t="s">
        <v>1572</v>
      </c>
      <c r="M355" s="82">
        <v>6</v>
      </c>
      <c r="N355" s="151">
        <v>324380</v>
      </c>
      <c r="O355" s="151" t="s">
        <v>2254</v>
      </c>
      <c r="P355" s="152">
        <v>254758571773</v>
      </c>
      <c r="Q355" s="210"/>
    </row>
    <row r="356" spans="1:17" x14ac:dyDescent="0.2">
      <c r="A356" s="104" t="s">
        <v>63</v>
      </c>
      <c r="B356" s="87">
        <v>2020249</v>
      </c>
      <c r="C356" s="87">
        <v>19102</v>
      </c>
      <c r="D356" s="87" t="s">
        <v>1807</v>
      </c>
      <c r="E356" s="87">
        <v>58</v>
      </c>
      <c r="F356" s="87" t="str">
        <f>IF(E356&lt;=20,"0-19",
IF(E356&lt;=50,"20-49",
IF(E356&lt;=80,"50-79","80+")))</f>
        <v>50-79</v>
      </c>
      <c r="G356" s="87" t="s">
        <v>1808</v>
      </c>
      <c r="H356" s="87" t="s">
        <v>22</v>
      </c>
      <c r="I356" s="86" t="s">
        <v>1809</v>
      </c>
      <c r="J356" s="86" t="s">
        <v>2275</v>
      </c>
      <c r="K356" s="87" t="s">
        <v>1546</v>
      </c>
      <c r="L356" s="87" t="s">
        <v>1543</v>
      </c>
      <c r="M356" s="87">
        <v>6</v>
      </c>
      <c r="N356" s="161">
        <v>284948</v>
      </c>
      <c r="O356" s="161" t="s">
        <v>2254</v>
      </c>
      <c r="P356" s="168">
        <v>254722845819</v>
      </c>
      <c r="Q356" s="210"/>
    </row>
    <row r="357" spans="1:17" x14ac:dyDescent="0.2">
      <c r="A357" s="138" t="s">
        <v>309</v>
      </c>
      <c r="B357" s="87">
        <v>2020047</v>
      </c>
      <c r="C357" s="87">
        <v>83597</v>
      </c>
      <c r="D357" s="87" t="s">
        <v>437</v>
      </c>
      <c r="E357" s="86">
        <v>8</v>
      </c>
      <c r="F357" s="86" t="str">
        <f>IF(E357&lt;=20,"0-19",
IF(E357&lt;=50,"20-49",
IF(E357&lt;=80,"50-79","80+")))</f>
        <v>0-19</v>
      </c>
      <c r="G357" s="87" t="s">
        <v>438</v>
      </c>
      <c r="H357" s="87" t="s">
        <v>132</v>
      </c>
      <c r="I357" s="87" t="s">
        <v>439</v>
      </c>
      <c r="J357" s="87" t="s">
        <v>2275</v>
      </c>
      <c r="K357" s="86" t="s">
        <v>52</v>
      </c>
      <c r="L357" s="86" t="s">
        <v>141</v>
      </c>
      <c r="M357" s="87">
        <v>6</v>
      </c>
      <c r="N357" s="97">
        <v>298952.53000000003</v>
      </c>
      <c r="O357" s="87" t="s">
        <v>18</v>
      </c>
      <c r="P357" s="171"/>
      <c r="Q357" s="210"/>
    </row>
    <row r="358" spans="1:17" x14ac:dyDescent="0.2">
      <c r="A358" s="139" t="s">
        <v>847</v>
      </c>
      <c r="B358" s="93">
        <v>2005358</v>
      </c>
      <c r="C358" s="82">
        <v>8589</v>
      </c>
      <c r="D358" s="93" t="s">
        <v>1061</v>
      </c>
      <c r="E358" s="93">
        <v>66</v>
      </c>
      <c r="F358" s="93" t="str">
        <f>IF(E358&lt;=20,"0-19",
IF(E358&lt;=50,"20-49",
IF(E358&lt;=80,"50-79","80+")))</f>
        <v>50-79</v>
      </c>
      <c r="G358" s="93" t="s">
        <v>49</v>
      </c>
      <c r="H358" s="93" t="s">
        <v>15</v>
      </c>
      <c r="I358" s="93" t="s">
        <v>1062</v>
      </c>
      <c r="J358" s="93" t="s">
        <v>2275</v>
      </c>
      <c r="K358" s="93" t="s">
        <v>108</v>
      </c>
      <c r="L358" s="93" t="s">
        <v>835</v>
      </c>
      <c r="M358" s="93">
        <v>6</v>
      </c>
      <c r="N358" s="94">
        <v>246983</v>
      </c>
      <c r="O358" s="82" t="s">
        <v>832</v>
      </c>
      <c r="P358" s="170"/>
      <c r="Q358" s="210"/>
    </row>
    <row r="359" spans="1:17" x14ac:dyDescent="0.2">
      <c r="A359" s="139" t="s">
        <v>155</v>
      </c>
      <c r="B359" s="82">
        <v>2007480</v>
      </c>
      <c r="C359" s="82">
        <v>63926</v>
      </c>
      <c r="D359" s="82" t="s">
        <v>472</v>
      </c>
      <c r="E359" s="92">
        <v>54</v>
      </c>
      <c r="F359" s="92" t="str">
        <f>IF(E359&lt;=20,"0-19",
IF(E359&lt;=50,"20-49",
IF(E359&lt;=80,"50-79","80+")))</f>
        <v>50-79</v>
      </c>
      <c r="G359" s="82" t="s">
        <v>473</v>
      </c>
      <c r="H359" s="82" t="s">
        <v>15</v>
      </c>
      <c r="I359" s="82" t="s">
        <v>474</v>
      </c>
      <c r="J359" s="82" t="s">
        <v>2304</v>
      </c>
      <c r="K359" s="92" t="s">
        <v>52</v>
      </c>
      <c r="L359" s="92" t="s">
        <v>141</v>
      </c>
      <c r="M359" s="82">
        <v>6</v>
      </c>
      <c r="N359" s="101">
        <v>163919</v>
      </c>
      <c r="O359" s="82" t="s">
        <v>18</v>
      </c>
      <c r="P359" s="170"/>
      <c r="Q359" s="210"/>
    </row>
    <row r="360" spans="1:17" x14ac:dyDescent="0.2">
      <c r="A360" s="106" t="s">
        <v>340</v>
      </c>
      <c r="B360" s="87">
        <v>2015275</v>
      </c>
      <c r="C360" s="87">
        <v>32066</v>
      </c>
      <c r="D360" s="87" t="s">
        <v>2123</v>
      </c>
      <c r="E360" s="87">
        <v>66</v>
      </c>
      <c r="F360" s="87" t="str">
        <f>IF(E360&lt;=20,"0-19",
IF(E360&lt;=50,"20-49",
IF(E360&lt;=80,"50-79","80+")))</f>
        <v>50-79</v>
      </c>
      <c r="G360" s="87" t="s">
        <v>2124</v>
      </c>
      <c r="H360" s="87" t="s">
        <v>22</v>
      </c>
      <c r="I360" s="87" t="s">
        <v>360</v>
      </c>
      <c r="J360" s="87" t="s">
        <v>2304</v>
      </c>
      <c r="K360" s="86" t="s">
        <v>1551</v>
      </c>
      <c r="L360" s="87" t="s">
        <v>1916</v>
      </c>
      <c r="M360" s="87">
        <v>6</v>
      </c>
      <c r="N360" s="161">
        <v>115137</v>
      </c>
      <c r="O360" s="161" t="s">
        <v>2254</v>
      </c>
      <c r="P360" s="168">
        <v>254720269792</v>
      </c>
      <c r="Q360" s="210"/>
    </row>
    <row r="361" spans="1:17" x14ac:dyDescent="0.2">
      <c r="A361" s="104" t="s">
        <v>43</v>
      </c>
      <c r="B361" s="88">
        <v>2001990</v>
      </c>
      <c r="C361" s="87">
        <v>14236</v>
      </c>
      <c r="D361" s="88" t="s">
        <v>2174</v>
      </c>
      <c r="E361" s="88">
        <v>70</v>
      </c>
      <c r="F361" s="88" t="str">
        <f>IF(E361&lt;=20,"0-19",
IF(E361&lt;=50,"20-49",
IF(E361&lt;=80,"50-79","80+")))</f>
        <v>50-79</v>
      </c>
      <c r="G361" s="88" t="s">
        <v>2175</v>
      </c>
      <c r="H361" s="88" t="s">
        <v>22</v>
      </c>
      <c r="I361" s="88" t="s">
        <v>2176</v>
      </c>
      <c r="J361" s="114" t="s">
        <v>2304</v>
      </c>
      <c r="K361" s="88" t="s">
        <v>1895</v>
      </c>
      <c r="L361" s="88" t="s">
        <v>1918</v>
      </c>
      <c r="M361" s="88">
        <v>6</v>
      </c>
      <c r="N361" s="163">
        <v>191357</v>
      </c>
      <c r="O361" s="163" t="s">
        <v>2254</v>
      </c>
      <c r="P361" s="168">
        <v>254721681450</v>
      </c>
      <c r="Q361" s="210"/>
    </row>
    <row r="362" spans="1:17" x14ac:dyDescent="0.2">
      <c r="A362" s="139" t="s">
        <v>208</v>
      </c>
      <c r="B362" s="82">
        <v>2002525</v>
      </c>
      <c r="C362" s="82">
        <v>10337</v>
      </c>
      <c r="D362" s="82" t="s">
        <v>440</v>
      </c>
      <c r="E362" s="92">
        <v>69</v>
      </c>
      <c r="F362" s="92" t="str">
        <f>IF(E362&lt;=20,"0-19",
IF(E362&lt;=50,"20-49",
IF(E362&lt;=80,"50-79","80+")))</f>
        <v>50-79</v>
      </c>
      <c r="G362" s="82" t="s">
        <v>441</v>
      </c>
      <c r="H362" s="82" t="s">
        <v>22</v>
      </c>
      <c r="I362" s="82" t="s">
        <v>442</v>
      </c>
      <c r="J362" s="82" t="s">
        <v>2295</v>
      </c>
      <c r="K362" s="92" t="s">
        <v>79</v>
      </c>
      <c r="L362" s="92" t="s">
        <v>66</v>
      </c>
      <c r="M362" s="82">
        <v>6</v>
      </c>
      <c r="N362" s="101">
        <v>180225</v>
      </c>
      <c r="O362" s="82" t="s">
        <v>18</v>
      </c>
      <c r="P362" s="170"/>
      <c r="Q362" s="210"/>
    </row>
    <row r="363" spans="1:17" x14ac:dyDescent="0.2">
      <c r="A363" s="139" t="s">
        <v>19</v>
      </c>
      <c r="B363" s="82">
        <v>2020636</v>
      </c>
      <c r="C363" s="82">
        <v>18572</v>
      </c>
      <c r="D363" s="82" t="s">
        <v>968</v>
      </c>
      <c r="E363" s="82">
        <v>63</v>
      </c>
      <c r="F363" s="82" t="str">
        <f>IF(E363&lt;=20,"0-19",
IF(E363&lt;=50,"20-49",
IF(E363&lt;=80,"50-79","80+")))</f>
        <v>50-79</v>
      </c>
      <c r="G363" s="82" t="s">
        <v>969</v>
      </c>
      <c r="H363" s="82" t="s">
        <v>22</v>
      </c>
      <c r="I363" s="92" t="s">
        <v>970</v>
      </c>
      <c r="J363" s="92" t="s">
        <v>2295</v>
      </c>
      <c r="K363" s="92" t="s">
        <v>193</v>
      </c>
      <c r="L363" s="82" t="s">
        <v>846</v>
      </c>
      <c r="M363" s="82">
        <v>6</v>
      </c>
      <c r="N363" s="84">
        <v>316061</v>
      </c>
      <c r="O363" s="82" t="s">
        <v>832</v>
      </c>
      <c r="P363" s="170"/>
      <c r="Q363" s="210"/>
    </row>
    <row r="364" spans="1:17" x14ac:dyDescent="0.2">
      <c r="A364" s="103" t="s">
        <v>337</v>
      </c>
      <c r="B364" s="82">
        <v>2016925</v>
      </c>
      <c r="C364" s="82">
        <v>100384</v>
      </c>
      <c r="D364" s="82" t="s">
        <v>453</v>
      </c>
      <c r="E364" s="92">
        <v>66</v>
      </c>
      <c r="F364" s="92" t="str">
        <f>IF(E364&lt;=20,"0-19",
IF(E364&lt;=50,"20-49",
IF(E364&lt;=80,"50-79","80+")))</f>
        <v>50-79</v>
      </c>
      <c r="G364" s="82" t="s">
        <v>454</v>
      </c>
      <c r="H364" s="82" t="s">
        <v>22</v>
      </c>
      <c r="I364" s="82" t="s">
        <v>455</v>
      </c>
      <c r="J364" s="82" t="s">
        <v>2270</v>
      </c>
      <c r="K364" s="92" t="s">
        <v>94</v>
      </c>
      <c r="L364" s="92" t="s">
        <v>62</v>
      </c>
      <c r="M364" s="82">
        <v>6</v>
      </c>
      <c r="N364" s="101">
        <v>159557</v>
      </c>
      <c r="O364" s="82" t="s">
        <v>18</v>
      </c>
      <c r="P364" s="170"/>
      <c r="Q364" s="210"/>
    </row>
    <row r="365" spans="1:17" x14ac:dyDescent="0.2">
      <c r="A365" s="105" t="s">
        <v>72</v>
      </c>
      <c r="B365" s="82">
        <v>2003958</v>
      </c>
      <c r="C365" s="82">
        <v>31482</v>
      </c>
      <c r="D365" s="82" t="s">
        <v>496</v>
      </c>
      <c r="E365" s="82">
        <v>67</v>
      </c>
      <c r="F365" s="82" t="str">
        <f>IF(E365&lt;=20,"0-19",
IF(E365&lt;=50,"20-49",
IF(E365&lt;=80,"50-79","80+")))</f>
        <v>50-79</v>
      </c>
      <c r="G365" s="82" t="s">
        <v>497</v>
      </c>
      <c r="H365" s="82" t="s">
        <v>22</v>
      </c>
      <c r="I365" s="92" t="s">
        <v>1796</v>
      </c>
      <c r="J365" s="114" t="s">
        <v>2546</v>
      </c>
      <c r="K365" s="82" t="s">
        <v>1254</v>
      </c>
      <c r="L365" s="82" t="s">
        <v>1546</v>
      </c>
      <c r="M365" s="82">
        <v>6</v>
      </c>
      <c r="N365" s="151">
        <v>257311.2</v>
      </c>
      <c r="O365" s="151" t="s">
        <v>2254</v>
      </c>
      <c r="P365" s="152">
        <v>254721584850</v>
      </c>
      <c r="Q365" s="210"/>
    </row>
    <row r="366" spans="1:17" x14ac:dyDescent="0.2">
      <c r="A366" s="139" t="s">
        <v>836</v>
      </c>
      <c r="B366" s="82">
        <v>2002534</v>
      </c>
      <c r="C366" s="82">
        <v>9231</v>
      </c>
      <c r="D366" s="82" t="s">
        <v>1441</v>
      </c>
      <c r="E366" s="82">
        <v>70</v>
      </c>
      <c r="F366" s="82" t="str">
        <f>IF(E366&lt;=20,"0-19",
IF(E366&lt;=50,"20-49",
IF(E366&lt;=80,"50-79","80+")))</f>
        <v>50-79</v>
      </c>
      <c r="G366" s="82" t="s">
        <v>1442</v>
      </c>
      <c r="H366" s="82" t="s">
        <v>22</v>
      </c>
      <c r="I366" s="92" t="s">
        <v>1443</v>
      </c>
      <c r="J366" s="114" t="s">
        <v>2546</v>
      </c>
      <c r="K366" s="92" t="s">
        <v>1238</v>
      </c>
      <c r="L366" s="92" t="s">
        <v>1242</v>
      </c>
      <c r="M366" s="82">
        <v>6</v>
      </c>
      <c r="N366" s="84">
        <v>227599.6</v>
      </c>
      <c r="O366" s="82" t="s">
        <v>832</v>
      </c>
      <c r="P366" s="170"/>
      <c r="Q366" s="210"/>
    </row>
    <row r="367" spans="1:17" x14ac:dyDescent="0.2">
      <c r="A367" s="105" t="s">
        <v>856</v>
      </c>
      <c r="B367" s="92">
        <v>2018628</v>
      </c>
      <c r="C367" s="82">
        <v>55007</v>
      </c>
      <c r="D367" s="92" t="s">
        <v>1770</v>
      </c>
      <c r="E367" s="92">
        <v>63</v>
      </c>
      <c r="F367" s="92" t="str">
        <f>IF(E367&lt;=20,"0-19",
IF(E367&lt;=50,"20-49",
IF(E367&lt;=80,"50-79","80+")))</f>
        <v>50-79</v>
      </c>
      <c r="G367" s="92" t="s">
        <v>1771</v>
      </c>
      <c r="H367" s="92" t="s">
        <v>22</v>
      </c>
      <c r="I367" s="92" t="s">
        <v>1772</v>
      </c>
      <c r="J367" s="92" t="s">
        <v>2310</v>
      </c>
      <c r="K367" s="92" t="s">
        <v>1225</v>
      </c>
      <c r="L367" s="92" t="s">
        <v>1542</v>
      </c>
      <c r="M367" s="93">
        <v>6</v>
      </c>
      <c r="N367" s="159">
        <v>215427.83</v>
      </c>
      <c r="O367" s="159" t="s">
        <v>2254</v>
      </c>
      <c r="P367" s="152">
        <v>254722459110</v>
      </c>
      <c r="Q367" s="210"/>
    </row>
    <row r="368" spans="1:17" x14ac:dyDescent="0.2">
      <c r="A368" s="139" t="s">
        <v>68</v>
      </c>
      <c r="B368" s="113">
        <v>2009348</v>
      </c>
      <c r="C368" s="113">
        <v>31903</v>
      </c>
      <c r="D368" s="114" t="s">
        <v>466</v>
      </c>
      <c r="E368" s="113">
        <v>63</v>
      </c>
      <c r="F368" s="113" t="str">
        <f>IF(E368&lt;=20,"0-19",
IF(E368&lt;=50,"20-49",
IF(E368&lt;=80,"50-79","80+")))</f>
        <v>50-79</v>
      </c>
      <c r="G368" s="113" t="s">
        <v>467</v>
      </c>
      <c r="H368" s="113" t="s">
        <v>22</v>
      </c>
      <c r="I368" s="114" t="s">
        <v>468</v>
      </c>
      <c r="J368" s="114" t="s">
        <v>2310</v>
      </c>
      <c r="K368" s="114" t="s">
        <v>25</v>
      </c>
      <c r="L368" s="113" t="s">
        <v>37</v>
      </c>
      <c r="M368" s="114">
        <v>6</v>
      </c>
      <c r="N368" s="115">
        <v>107015</v>
      </c>
      <c r="O368" s="82" t="s">
        <v>18</v>
      </c>
      <c r="P368" s="170"/>
      <c r="Q368" s="210"/>
    </row>
    <row r="369" spans="1:17" ht="21" x14ac:dyDescent="0.2">
      <c r="A369" s="139" t="s">
        <v>856</v>
      </c>
      <c r="B369" s="92">
        <v>2003252</v>
      </c>
      <c r="C369" s="82">
        <v>60699</v>
      </c>
      <c r="D369" s="92" t="s">
        <v>1347</v>
      </c>
      <c r="E369" s="92">
        <v>64</v>
      </c>
      <c r="F369" s="92" t="str">
        <f>IF(E369&lt;=20,"0-19",
IF(E369&lt;=50,"20-49",
IF(E369&lt;=80,"50-79","80+")))</f>
        <v>50-79</v>
      </c>
      <c r="G369" s="92" t="s">
        <v>1348</v>
      </c>
      <c r="H369" s="92" t="s">
        <v>22</v>
      </c>
      <c r="I369" s="92" t="s">
        <v>1349</v>
      </c>
      <c r="J369" s="92" t="s">
        <v>2328</v>
      </c>
      <c r="K369" s="92" t="s">
        <v>1288</v>
      </c>
      <c r="L369" s="93" t="s">
        <v>1264</v>
      </c>
      <c r="M369" s="93">
        <v>6</v>
      </c>
      <c r="N369" s="101">
        <v>218929.94</v>
      </c>
      <c r="O369" s="82" t="s">
        <v>832</v>
      </c>
      <c r="P369" s="170"/>
      <c r="Q369" s="210"/>
    </row>
    <row r="370" spans="1:17" ht="21" x14ac:dyDescent="0.2">
      <c r="A370" s="139" t="s">
        <v>63</v>
      </c>
      <c r="B370" s="113">
        <v>2020497</v>
      </c>
      <c r="C370" s="113">
        <v>32267</v>
      </c>
      <c r="D370" s="114" t="s">
        <v>463</v>
      </c>
      <c r="E370" s="113">
        <v>52</v>
      </c>
      <c r="F370" s="113" t="str">
        <f>IF(E370&lt;=20,"0-19",
IF(E370&lt;=50,"20-49",
IF(E370&lt;=80,"50-79","80+")))</f>
        <v>50-79</v>
      </c>
      <c r="G370" s="113" t="s">
        <v>464</v>
      </c>
      <c r="H370" s="113" t="s">
        <v>15</v>
      </c>
      <c r="I370" s="114" t="s">
        <v>465</v>
      </c>
      <c r="J370" s="114" t="s">
        <v>2328</v>
      </c>
      <c r="K370" s="114" t="s">
        <v>57</v>
      </c>
      <c r="L370" s="113" t="s">
        <v>42</v>
      </c>
      <c r="M370" s="114">
        <v>6</v>
      </c>
      <c r="N370" s="115">
        <v>134113</v>
      </c>
      <c r="O370" s="87" t="s">
        <v>18</v>
      </c>
      <c r="P370" s="171"/>
      <c r="Q370" s="210"/>
    </row>
    <row r="371" spans="1:17" ht="21" x14ac:dyDescent="0.2">
      <c r="A371" s="139" t="s">
        <v>373</v>
      </c>
      <c r="B371" s="92">
        <v>2019948</v>
      </c>
      <c r="C371" s="82">
        <v>17370</v>
      </c>
      <c r="D371" s="92" t="s">
        <v>1063</v>
      </c>
      <c r="E371" s="92">
        <v>77</v>
      </c>
      <c r="F371" s="92" t="str">
        <f>IF(E371&lt;=20,"0-19",
IF(E371&lt;=50,"20-49",
IF(E371&lt;=80,"50-79","80+")))</f>
        <v>50-79</v>
      </c>
      <c r="G371" s="92" t="s">
        <v>1064</v>
      </c>
      <c r="H371" s="92" t="s">
        <v>15</v>
      </c>
      <c r="I371" s="92" t="s">
        <v>1065</v>
      </c>
      <c r="J371" s="92" t="s">
        <v>2314</v>
      </c>
      <c r="K371" s="92" t="s">
        <v>831</v>
      </c>
      <c r="L371" s="92" t="s">
        <v>909</v>
      </c>
      <c r="M371" s="92">
        <v>6</v>
      </c>
      <c r="N371" s="101">
        <v>352839</v>
      </c>
      <c r="O371" s="82" t="s">
        <v>832</v>
      </c>
      <c r="P371" s="171"/>
      <c r="Q371" s="210"/>
    </row>
    <row r="372" spans="1:17" ht="21" x14ac:dyDescent="0.2">
      <c r="A372" s="194" t="s">
        <v>228</v>
      </c>
      <c r="B372" s="188">
        <v>2002609</v>
      </c>
      <c r="C372" s="188">
        <v>14782</v>
      </c>
      <c r="D372" s="188" t="s">
        <v>475</v>
      </c>
      <c r="E372" s="199">
        <v>68</v>
      </c>
      <c r="F372" s="199" t="str">
        <f>IF(E372&lt;=20,"0-19",
IF(E372&lt;=50,"20-49",
IF(E372&lt;=80,"50-79","80+")))</f>
        <v>50-79</v>
      </c>
      <c r="G372" s="199" t="s">
        <v>476</v>
      </c>
      <c r="H372" s="199" t="s">
        <v>22</v>
      </c>
      <c r="I372" s="199" t="s">
        <v>477</v>
      </c>
      <c r="J372" s="199" t="s">
        <v>2314</v>
      </c>
      <c r="K372" s="199" t="s">
        <v>2261</v>
      </c>
      <c r="L372" s="188" t="s">
        <v>190</v>
      </c>
      <c r="M372" s="86">
        <v>6</v>
      </c>
      <c r="N372" s="192">
        <v>428828.37</v>
      </c>
      <c r="O372" s="87" t="s">
        <v>18</v>
      </c>
      <c r="P372" s="171"/>
      <c r="Q372" s="210"/>
    </row>
    <row r="373" spans="1:17" x14ac:dyDescent="0.2">
      <c r="A373" s="138" t="s">
        <v>43</v>
      </c>
      <c r="B373" s="87">
        <v>2010446</v>
      </c>
      <c r="C373" s="87">
        <v>100598</v>
      </c>
      <c r="D373" s="87" t="s">
        <v>443</v>
      </c>
      <c r="E373" s="86"/>
      <c r="F373" s="86" t="str">
        <f>IF(E373&lt;=20,"0-19",
IF(E373&lt;=50,"20-49",
IF(E373&lt;=80,"50-79","80+")))</f>
        <v>0-19</v>
      </c>
      <c r="G373" s="87" t="s">
        <v>444</v>
      </c>
      <c r="H373" s="87" t="s">
        <v>22</v>
      </c>
      <c r="I373" s="87" t="s">
        <v>445</v>
      </c>
      <c r="J373" s="87" t="s">
        <v>2270</v>
      </c>
      <c r="K373" s="86" t="s">
        <v>67</v>
      </c>
      <c r="L373" s="86" t="s">
        <v>85</v>
      </c>
      <c r="M373" s="87">
        <v>6</v>
      </c>
      <c r="N373" s="97">
        <v>240964</v>
      </c>
      <c r="O373" s="87" t="s">
        <v>18</v>
      </c>
      <c r="P373" s="171"/>
      <c r="Q373" s="210"/>
    </row>
    <row r="374" spans="1:17" x14ac:dyDescent="0.2">
      <c r="A374" s="139" t="s">
        <v>53</v>
      </c>
      <c r="B374" s="82">
        <v>2409102</v>
      </c>
      <c r="C374" s="82">
        <v>83166</v>
      </c>
      <c r="D374" s="82" t="s">
        <v>446</v>
      </c>
      <c r="E374" s="92">
        <v>35</v>
      </c>
      <c r="F374" s="92" t="str">
        <f>IF(E374&lt;=20,"0-19",
IF(E374&lt;=50,"20-49",
IF(E374&lt;=80,"50-79","80+")))</f>
        <v>20-49</v>
      </c>
      <c r="G374" s="82" t="s">
        <v>447</v>
      </c>
      <c r="H374" s="82" t="s">
        <v>15</v>
      </c>
      <c r="I374" s="82" t="s">
        <v>448</v>
      </c>
      <c r="J374" s="82" t="s">
        <v>2270</v>
      </c>
      <c r="K374" s="92" t="s">
        <v>141</v>
      </c>
      <c r="L374" s="92" t="s">
        <v>67</v>
      </c>
      <c r="M374" s="82">
        <v>6</v>
      </c>
      <c r="N374" s="101">
        <v>233533</v>
      </c>
      <c r="O374" s="82" t="s">
        <v>18</v>
      </c>
      <c r="P374" s="170"/>
      <c r="Q374" s="210"/>
    </row>
    <row r="375" spans="1:17" ht="21" x14ac:dyDescent="0.2">
      <c r="A375" s="139" t="s">
        <v>449</v>
      </c>
      <c r="B375" s="113">
        <v>2013074</v>
      </c>
      <c r="C375" s="113">
        <v>101343</v>
      </c>
      <c r="D375" s="114" t="s">
        <v>450</v>
      </c>
      <c r="E375" s="113">
        <v>68</v>
      </c>
      <c r="F375" s="113" t="str">
        <f>IF(E375&lt;=20,"0-19",
IF(E375&lt;=50,"20-49",
IF(E375&lt;=80,"50-79","80+")))</f>
        <v>50-79</v>
      </c>
      <c r="G375" s="113" t="s">
        <v>451</v>
      </c>
      <c r="H375" s="113" t="s">
        <v>15</v>
      </c>
      <c r="I375" s="114" t="s">
        <v>452</v>
      </c>
      <c r="J375" s="114" t="s">
        <v>2328</v>
      </c>
      <c r="K375" s="114" t="s">
        <v>17</v>
      </c>
      <c r="L375" s="113" t="s">
        <v>57</v>
      </c>
      <c r="M375" s="114">
        <v>6</v>
      </c>
      <c r="N375" s="115">
        <v>181295.44</v>
      </c>
      <c r="O375" s="87" t="s">
        <v>18</v>
      </c>
      <c r="P375" s="171"/>
      <c r="Q375" s="210"/>
    </row>
    <row r="376" spans="1:17" x14ac:dyDescent="0.2">
      <c r="A376" s="105" t="s">
        <v>1452</v>
      </c>
      <c r="B376" s="82">
        <v>2408065</v>
      </c>
      <c r="C376" s="82">
        <v>63074</v>
      </c>
      <c r="D376" s="82" t="s">
        <v>1729</v>
      </c>
      <c r="E376" s="82">
        <v>53</v>
      </c>
      <c r="F376" s="82" t="str">
        <f>IF(E376&lt;=20,"0-19",
IF(E376&lt;=50,"20-49",
IF(E376&lt;=80,"50-79","80+")))</f>
        <v>50-79</v>
      </c>
      <c r="G376" s="82" t="s">
        <v>1730</v>
      </c>
      <c r="H376" s="82" t="s">
        <v>15</v>
      </c>
      <c r="I376" s="92" t="s">
        <v>1731</v>
      </c>
      <c r="J376" s="114" t="s">
        <v>2546</v>
      </c>
      <c r="K376" s="82" t="s">
        <v>1542</v>
      </c>
      <c r="L376" s="82" t="s">
        <v>1589</v>
      </c>
      <c r="M376" s="82">
        <v>6</v>
      </c>
      <c r="N376" s="151">
        <v>111045</v>
      </c>
      <c r="O376" s="151" t="s">
        <v>2254</v>
      </c>
      <c r="P376" s="152">
        <v>254768258270</v>
      </c>
      <c r="Q376" s="210"/>
    </row>
    <row r="377" spans="1:17" x14ac:dyDescent="0.2">
      <c r="A377" s="104" t="s">
        <v>1630</v>
      </c>
      <c r="B377" s="87">
        <v>2018681</v>
      </c>
      <c r="C377" s="87">
        <v>12804</v>
      </c>
      <c r="D377" s="87" t="s">
        <v>2081</v>
      </c>
      <c r="E377" s="87">
        <v>65</v>
      </c>
      <c r="F377" s="87" t="str">
        <f>IF(E377&lt;=20,"0-19",
IF(E377&lt;=50,"20-49",
IF(E377&lt;=80,"50-79","80+")))</f>
        <v>50-79</v>
      </c>
      <c r="G377" s="87" t="s">
        <v>2082</v>
      </c>
      <c r="H377" s="87" t="s">
        <v>22</v>
      </c>
      <c r="I377" s="87" t="s">
        <v>2083</v>
      </c>
      <c r="J377" s="87" t="s">
        <v>2283</v>
      </c>
      <c r="K377" s="86" t="s">
        <v>1543</v>
      </c>
      <c r="L377" s="87" t="s">
        <v>1908</v>
      </c>
      <c r="M377" s="87">
        <v>6</v>
      </c>
      <c r="N377" s="161">
        <v>83186</v>
      </c>
      <c r="O377" s="161" t="s">
        <v>2254</v>
      </c>
      <c r="P377" s="168">
        <v>254722624432</v>
      </c>
      <c r="Q377" s="210"/>
    </row>
    <row r="378" spans="1:17" ht="21" x14ac:dyDescent="0.2">
      <c r="A378" s="104" t="s">
        <v>72</v>
      </c>
      <c r="B378" s="86">
        <v>2012382</v>
      </c>
      <c r="C378" s="87">
        <v>52592</v>
      </c>
      <c r="D378" s="86" t="s">
        <v>1751</v>
      </c>
      <c r="E378" s="86">
        <v>63</v>
      </c>
      <c r="F378" s="86" t="str">
        <f>IF(E378&lt;=20,"0-19",
IF(E378&lt;=50,"20-49",
IF(E378&lt;=80,"50-79","80+")))</f>
        <v>50-79</v>
      </c>
      <c r="G378" s="86" t="s">
        <v>1752</v>
      </c>
      <c r="H378" s="86" t="s">
        <v>15</v>
      </c>
      <c r="I378" s="86" t="s">
        <v>1753</v>
      </c>
      <c r="J378" s="86" t="s">
        <v>2283</v>
      </c>
      <c r="K378" s="86" t="s">
        <v>1225</v>
      </c>
      <c r="L378" s="86" t="s">
        <v>1542</v>
      </c>
      <c r="M378" s="88">
        <v>6</v>
      </c>
      <c r="N378" s="163">
        <v>158939</v>
      </c>
      <c r="O378" s="163" t="s">
        <v>2254</v>
      </c>
      <c r="P378" s="168">
        <v>254721362558</v>
      </c>
      <c r="Q378" s="210"/>
    </row>
    <row r="379" spans="1:17" x14ac:dyDescent="0.2">
      <c r="A379" s="105" t="s">
        <v>53</v>
      </c>
      <c r="B379" s="82">
        <v>2012416</v>
      </c>
      <c r="C379" s="82">
        <v>101301</v>
      </c>
      <c r="D379" s="82" t="s">
        <v>1818</v>
      </c>
      <c r="E379" s="82">
        <v>64</v>
      </c>
      <c r="F379" s="82" t="str">
        <f>IF(E379&lt;=20,"0-19",
IF(E379&lt;=50,"20-49",
IF(E379&lt;=80,"50-79","80+")))</f>
        <v>50-79</v>
      </c>
      <c r="G379" s="82" t="s">
        <v>1819</v>
      </c>
      <c r="H379" s="82" t="s">
        <v>1820</v>
      </c>
      <c r="I379" s="92" t="s">
        <v>1821</v>
      </c>
      <c r="J379" s="92" t="s">
        <v>2283</v>
      </c>
      <c r="K379" s="82" t="s">
        <v>1822</v>
      </c>
      <c r="L379" s="82" t="s">
        <v>1551</v>
      </c>
      <c r="M379" s="82">
        <v>6</v>
      </c>
      <c r="N379" s="151">
        <v>321122</v>
      </c>
      <c r="O379" s="151" t="s">
        <v>2254</v>
      </c>
      <c r="P379" s="152">
        <v>254728762115</v>
      </c>
      <c r="Q379" s="210"/>
    </row>
    <row r="380" spans="1:17" x14ac:dyDescent="0.2">
      <c r="A380" s="103" t="s">
        <v>354</v>
      </c>
      <c r="B380" s="82">
        <v>2003133</v>
      </c>
      <c r="C380" s="82">
        <v>9608</v>
      </c>
      <c r="D380" s="82" t="s">
        <v>460</v>
      </c>
      <c r="E380" s="92">
        <v>69</v>
      </c>
      <c r="F380" s="92" t="str">
        <f>IF(E380&lt;=20,"0-19",
IF(E380&lt;=50,"20-49",
IF(E380&lt;=80,"50-79","80+")))</f>
        <v>50-79</v>
      </c>
      <c r="G380" s="82" t="s">
        <v>461</v>
      </c>
      <c r="H380" s="82" t="s">
        <v>22</v>
      </c>
      <c r="I380" s="82" t="s">
        <v>462</v>
      </c>
      <c r="J380" s="82" t="s">
        <v>2283</v>
      </c>
      <c r="K380" s="92" t="s">
        <v>67</v>
      </c>
      <c r="L380" s="92" t="s">
        <v>85</v>
      </c>
      <c r="M380" s="82">
        <v>6</v>
      </c>
      <c r="N380" s="101">
        <v>83035</v>
      </c>
      <c r="O380" s="82" t="s">
        <v>18</v>
      </c>
      <c r="P380" s="170"/>
      <c r="Q380" s="210"/>
    </row>
    <row r="381" spans="1:17" x14ac:dyDescent="0.2">
      <c r="A381" s="139" t="s">
        <v>433</v>
      </c>
      <c r="B381" s="113">
        <v>2003637</v>
      </c>
      <c r="C381" s="113">
        <v>54838</v>
      </c>
      <c r="D381" s="114" t="s">
        <v>434</v>
      </c>
      <c r="E381" s="113">
        <v>63</v>
      </c>
      <c r="F381" s="113" t="str">
        <f>IF(E381&lt;=20,"0-19",
IF(E381&lt;=50,"20-49",
IF(E381&lt;=80,"50-79","80+")))</f>
        <v>50-79</v>
      </c>
      <c r="G381" s="113" t="s">
        <v>435</v>
      </c>
      <c r="H381" s="113" t="s">
        <v>22</v>
      </c>
      <c r="I381" s="114" t="s">
        <v>436</v>
      </c>
      <c r="J381" s="114" t="s">
        <v>2283</v>
      </c>
      <c r="K381" s="114" t="s">
        <v>17</v>
      </c>
      <c r="L381" s="113" t="s">
        <v>57</v>
      </c>
      <c r="M381" s="114">
        <v>6</v>
      </c>
      <c r="N381" s="115">
        <v>63740</v>
      </c>
      <c r="O381" s="82" t="s">
        <v>18</v>
      </c>
      <c r="P381" s="170"/>
      <c r="Q381" s="210"/>
    </row>
    <row r="382" spans="1:17" x14ac:dyDescent="0.2">
      <c r="A382" s="104" t="s">
        <v>1690</v>
      </c>
      <c r="B382" s="86">
        <v>2001981</v>
      </c>
      <c r="C382" s="87">
        <v>101191</v>
      </c>
      <c r="D382" s="86" t="s">
        <v>2220</v>
      </c>
      <c r="E382" s="86">
        <v>73</v>
      </c>
      <c r="F382" s="86" t="str">
        <f>IF(E382&lt;=20,"0-19",
IF(E382&lt;=50,"20-49",
IF(E382&lt;=80,"50-79","80+")))</f>
        <v>50-79</v>
      </c>
      <c r="G382" s="86" t="s">
        <v>2221</v>
      </c>
      <c r="H382" s="86" t="s">
        <v>22</v>
      </c>
      <c r="I382" s="86" t="s">
        <v>2222</v>
      </c>
      <c r="J382" s="86" t="s">
        <v>2283</v>
      </c>
      <c r="K382" s="86" t="s">
        <v>1543</v>
      </c>
      <c r="L382" s="86" t="s">
        <v>1911</v>
      </c>
      <c r="M382" s="86">
        <v>6</v>
      </c>
      <c r="N382" s="164">
        <v>410408</v>
      </c>
      <c r="O382" s="164" t="s">
        <v>2254</v>
      </c>
      <c r="P382" s="168">
        <v>254721369143</v>
      </c>
      <c r="Q382" s="210"/>
    </row>
    <row r="383" spans="1:17" ht="21" x14ac:dyDescent="0.2">
      <c r="A383" s="139" t="s">
        <v>221</v>
      </c>
      <c r="B383" s="82">
        <v>2005002</v>
      </c>
      <c r="C383" s="82">
        <v>105502</v>
      </c>
      <c r="D383" s="82" t="s">
        <v>947</v>
      </c>
      <c r="E383" s="82">
        <v>18</v>
      </c>
      <c r="F383" s="82" t="str">
        <f>IF(E383&lt;=20,"0-19",
IF(E383&lt;=50,"20-49",
IF(E383&lt;=80,"50-79","80+")))</f>
        <v>0-19</v>
      </c>
      <c r="G383" s="82" t="s">
        <v>1293</v>
      </c>
      <c r="H383" s="82" t="s">
        <v>88</v>
      </c>
      <c r="I383" s="92" t="s">
        <v>1294</v>
      </c>
      <c r="J383" s="114" t="s">
        <v>2295</v>
      </c>
      <c r="K383" s="92" t="s">
        <v>1204</v>
      </c>
      <c r="L383" s="92" t="s">
        <v>1241</v>
      </c>
      <c r="M383" s="82">
        <v>6</v>
      </c>
      <c r="N383" s="84">
        <v>300000</v>
      </c>
      <c r="O383" s="82" t="s">
        <v>832</v>
      </c>
      <c r="P383" s="171"/>
      <c r="Q383" s="210"/>
    </row>
    <row r="384" spans="1:17" x14ac:dyDescent="0.2">
      <c r="A384" s="139" t="s">
        <v>1482</v>
      </c>
      <c r="B384" s="92">
        <v>2407217</v>
      </c>
      <c r="C384" s="82">
        <v>62010</v>
      </c>
      <c r="D384" s="92" t="s">
        <v>1079</v>
      </c>
      <c r="E384" s="92">
        <v>59</v>
      </c>
      <c r="F384" s="92" t="str">
        <f>IF(E384&lt;=20,"0-19",
IF(E384&lt;=50,"20-49",
IF(E384&lt;=80,"50-79","80+")))</f>
        <v>50-79</v>
      </c>
      <c r="G384" s="92" t="s">
        <v>126</v>
      </c>
      <c r="H384" s="92" t="s">
        <v>22</v>
      </c>
      <c r="I384" s="92" t="s">
        <v>1080</v>
      </c>
      <c r="J384" s="114" t="s">
        <v>2275</v>
      </c>
      <c r="K384" s="92" t="s">
        <v>843</v>
      </c>
      <c r="L384" s="93" t="s">
        <v>909</v>
      </c>
      <c r="M384" s="92">
        <v>7</v>
      </c>
      <c r="N384" s="101">
        <v>246586</v>
      </c>
      <c r="O384" s="82" t="s">
        <v>832</v>
      </c>
      <c r="P384" s="171"/>
      <c r="Q384" s="210"/>
    </row>
    <row r="385" spans="1:17" x14ac:dyDescent="0.2">
      <c r="A385" s="139" t="s">
        <v>373</v>
      </c>
      <c r="B385" s="92">
        <v>2012194</v>
      </c>
      <c r="C385" s="82">
        <v>12346</v>
      </c>
      <c r="D385" s="92" t="s">
        <v>1471</v>
      </c>
      <c r="E385" s="92">
        <v>51</v>
      </c>
      <c r="F385" s="92" t="str">
        <f>IF(E385&lt;=20,"0-19",
IF(E385&lt;=50,"20-49",
IF(E385&lt;=80,"50-79","80+")))</f>
        <v>50-79</v>
      </c>
      <c r="G385" s="92" t="s">
        <v>14</v>
      </c>
      <c r="H385" s="92" t="s">
        <v>15</v>
      </c>
      <c r="I385" s="92" t="s">
        <v>1472</v>
      </c>
      <c r="J385" s="92" t="s">
        <v>2275</v>
      </c>
      <c r="K385" s="92" t="s">
        <v>851</v>
      </c>
      <c r="L385" s="92" t="s">
        <v>1260</v>
      </c>
      <c r="M385" s="92">
        <v>7</v>
      </c>
      <c r="N385" s="101">
        <v>1158144</v>
      </c>
      <c r="O385" s="82" t="s">
        <v>832</v>
      </c>
      <c r="P385" s="170"/>
      <c r="Q385" s="210"/>
    </row>
    <row r="386" spans="1:17" x14ac:dyDescent="0.2">
      <c r="A386" s="139" t="s">
        <v>68</v>
      </c>
      <c r="B386" s="82">
        <v>2020906</v>
      </c>
      <c r="C386" s="82">
        <v>103963</v>
      </c>
      <c r="D386" s="82" t="s">
        <v>493</v>
      </c>
      <c r="E386" s="92">
        <v>64</v>
      </c>
      <c r="F386" s="92" t="str">
        <f>IF(E386&lt;=20,"0-19",
IF(E386&lt;=50,"20-49",
IF(E386&lt;=80,"50-79","80+")))</f>
        <v>50-79</v>
      </c>
      <c r="G386" s="82" t="s">
        <v>494</v>
      </c>
      <c r="H386" s="82" t="s">
        <v>22</v>
      </c>
      <c r="I386" s="82" t="s">
        <v>495</v>
      </c>
      <c r="J386" s="82" t="s">
        <v>2275</v>
      </c>
      <c r="K386" s="92" t="s">
        <v>94</v>
      </c>
      <c r="L386" s="92" t="s">
        <v>30</v>
      </c>
      <c r="M386" s="82">
        <v>7</v>
      </c>
      <c r="N386" s="101">
        <v>93660</v>
      </c>
      <c r="O386" s="82" t="s">
        <v>18</v>
      </c>
      <c r="P386" s="170"/>
      <c r="Q386" s="210"/>
    </row>
    <row r="387" spans="1:17" x14ac:dyDescent="0.2">
      <c r="A387" s="139" t="s">
        <v>499</v>
      </c>
      <c r="B387" s="82">
        <v>2022173</v>
      </c>
      <c r="C387" s="82">
        <v>13297</v>
      </c>
      <c r="D387" s="82" t="s">
        <v>500</v>
      </c>
      <c r="E387" s="92">
        <v>64</v>
      </c>
      <c r="F387" s="92" t="str">
        <f>IF(E387&lt;=20,"0-19",
IF(E387&lt;=50,"20-49",
IF(E387&lt;=80,"50-79","80+")))</f>
        <v>50-79</v>
      </c>
      <c r="G387" s="82" t="s">
        <v>501</v>
      </c>
      <c r="H387" s="82" t="s">
        <v>15</v>
      </c>
      <c r="I387" s="82" t="s">
        <v>502</v>
      </c>
      <c r="J387" s="82" t="s">
        <v>2275</v>
      </c>
      <c r="K387" s="92" t="s">
        <v>36</v>
      </c>
      <c r="L387" s="92" t="s">
        <v>94</v>
      </c>
      <c r="M387" s="82">
        <v>7</v>
      </c>
      <c r="N387" s="101">
        <v>142720</v>
      </c>
      <c r="O387" s="82" t="s">
        <v>18</v>
      </c>
      <c r="P387" s="170"/>
      <c r="Q387" s="210"/>
    </row>
    <row r="388" spans="1:17" x14ac:dyDescent="0.2">
      <c r="A388" s="105" t="s">
        <v>354</v>
      </c>
      <c r="B388" s="82">
        <v>2508190</v>
      </c>
      <c r="C388" s="82">
        <v>21257</v>
      </c>
      <c r="D388" s="82" t="s">
        <v>1627</v>
      </c>
      <c r="E388" s="82">
        <v>55</v>
      </c>
      <c r="F388" s="82" t="str">
        <f>IF(E388&lt;=20,"0-19",
IF(E388&lt;=50,"20-49",
IF(E388&lt;=80,"50-79","80+")))</f>
        <v>50-79</v>
      </c>
      <c r="G388" s="82" t="s">
        <v>1628</v>
      </c>
      <c r="H388" s="82" t="s">
        <v>15</v>
      </c>
      <c r="I388" s="82" t="s">
        <v>2125</v>
      </c>
      <c r="J388" s="82" t="s">
        <v>2275</v>
      </c>
      <c r="K388" s="92" t="s">
        <v>1543</v>
      </c>
      <c r="L388" s="82" t="s">
        <v>1895</v>
      </c>
      <c r="M388" s="82">
        <v>7</v>
      </c>
      <c r="N388" s="151">
        <v>117625</v>
      </c>
      <c r="O388" s="151" t="s">
        <v>2254</v>
      </c>
      <c r="P388" s="152">
        <v>254721468007</v>
      </c>
      <c r="Q388" s="210"/>
    </row>
    <row r="389" spans="1:17" ht="31.5" x14ac:dyDescent="0.2">
      <c r="A389" s="139" t="s">
        <v>1482</v>
      </c>
      <c r="B389" s="82">
        <v>2009676</v>
      </c>
      <c r="C389" s="82">
        <v>101152</v>
      </c>
      <c r="D389" s="82" t="s">
        <v>1071</v>
      </c>
      <c r="E389" s="82">
        <v>68</v>
      </c>
      <c r="F389" s="82" t="str">
        <f>IF(E389&lt;=20,"0-19",
IF(E389&lt;=50,"20-49",
IF(E389&lt;=80,"50-79","80+")))</f>
        <v>50-79</v>
      </c>
      <c r="G389" s="82" t="s">
        <v>49</v>
      </c>
      <c r="H389" s="82" t="s">
        <v>15</v>
      </c>
      <c r="I389" s="92" t="s">
        <v>1072</v>
      </c>
      <c r="J389" s="92" t="s">
        <v>2275</v>
      </c>
      <c r="K389" s="92" t="s">
        <v>1073</v>
      </c>
      <c r="L389" s="82" t="s">
        <v>831</v>
      </c>
      <c r="M389" s="82">
        <v>7</v>
      </c>
      <c r="N389" s="84">
        <v>76880</v>
      </c>
      <c r="O389" s="82" t="s">
        <v>832</v>
      </c>
      <c r="P389" s="171"/>
      <c r="Q389" s="210"/>
    </row>
    <row r="390" spans="1:17" ht="21" x14ac:dyDescent="0.2">
      <c r="A390" s="139" t="s">
        <v>1482</v>
      </c>
      <c r="B390" s="93">
        <v>2502014</v>
      </c>
      <c r="C390" s="82">
        <v>54467</v>
      </c>
      <c r="D390" s="93" t="s">
        <v>1081</v>
      </c>
      <c r="E390" s="93">
        <v>63</v>
      </c>
      <c r="F390" s="93" t="str">
        <f>IF(E390&lt;=20,"0-19",
IF(E390&lt;=50,"20-49",
IF(E390&lt;=80,"50-79","80+")))</f>
        <v>50-79</v>
      </c>
      <c r="G390" s="93" t="s">
        <v>60</v>
      </c>
      <c r="H390" s="93" t="s">
        <v>22</v>
      </c>
      <c r="I390" s="93" t="s">
        <v>1082</v>
      </c>
      <c r="J390" s="93" t="s">
        <v>2275</v>
      </c>
      <c r="K390" s="93" t="s">
        <v>1083</v>
      </c>
      <c r="L390" s="93" t="s">
        <v>835</v>
      </c>
      <c r="M390" s="93">
        <v>7</v>
      </c>
      <c r="N390" s="94">
        <v>367854.81</v>
      </c>
      <c r="O390" s="82" t="s">
        <v>832</v>
      </c>
      <c r="P390" s="170"/>
      <c r="Q390" s="210"/>
    </row>
    <row r="391" spans="1:17" x14ac:dyDescent="0.2">
      <c r="A391" s="139" t="s">
        <v>856</v>
      </c>
      <c r="B391" s="82">
        <v>2002987</v>
      </c>
      <c r="C391" s="82">
        <v>60750</v>
      </c>
      <c r="D391" s="82" t="s">
        <v>1066</v>
      </c>
      <c r="E391" s="82">
        <v>56</v>
      </c>
      <c r="F391" s="82" t="str">
        <f>IF(E391&lt;=20,"0-19",
IF(E391&lt;=50,"20-49",
IF(E391&lt;=80,"50-79","80+")))</f>
        <v>50-79</v>
      </c>
      <c r="G391" s="82" t="s">
        <v>1067</v>
      </c>
      <c r="H391" s="82" t="s">
        <v>22</v>
      </c>
      <c r="I391" s="92" t="s">
        <v>1068</v>
      </c>
      <c r="J391" s="92" t="s">
        <v>2304</v>
      </c>
      <c r="K391" s="92" t="s">
        <v>835</v>
      </c>
      <c r="L391" s="82" t="s">
        <v>901</v>
      </c>
      <c r="M391" s="82">
        <v>7</v>
      </c>
      <c r="N391" s="84">
        <v>427126.14</v>
      </c>
      <c r="O391" s="82" t="s">
        <v>832</v>
      </c>
      <c r="P391" s="171"/>
      <c r="Q391" s="210"/>
    </row>
    <row r="392" spans="1:17" x14ac:dyDescent="0.2">
      <c r="A392" s="105" t="s">
        <v>53</v>
      </c>
      <c r="B392" s="82">
        <v>2016528</v>
      </c>
      <c r="C392" s="82">
        <v>70896</v>
      </c>
      <c r="D392" s="82" t="s">
        <v>1754</v>
      </c>
      <c r="E392" s="82">
        <v>50</v>
      </c>
      <c r="F392" s="82" t="str">
        <f>IF(E392&lt;=20,"0-19",
IF(E392&lt;=50,"20-49",
IF(E392&lt;=80,"50-79","80+")))</f>
        <v>20-49</v>
      </c>
      <c r="G392" s="82" t="s">
        <v>1755</v>
      </c>
      <c r="H392" s="82" t="s">
        <v>22</v>
      </c>
      <c r="I392" s="92" t="s">
        <v>1756</v>
      </c>
      <c r="J392" s="92" t="s">
        <v>2304</v>
      </c>
      <c r="K392" s="82" t="s">
        <v>1572</v>
      </c>
      <c r="L392" s="82" t="s">
        <v>1675</v>
      </c>
      <c r="M392" s="82">
        <v>7</v>
      </c>
      <c r="N392" s="151">
        <v>163642</v>
      </c>
      <c r="O392" s="151" t="s">
        <v>2254</v>
      </c>
      <c r="P392" s="152">
        <v>254722262639</v>
      </c>
      <c r="Q392" s="210"/>
    </row>
    <row r="393" spans="1:17" ht="21" x14ac:dyDescent="0.2">
      <c r="A393" s="139" t="s">
        <v>53</v>
      </c>
      <c r="B393" s="92">
        <v>2016328</v>
      </c>
      <c r="C393" s="82">
        <v>103314</v>
      </c>
      <c r="D393" s="92" t="s">
        <v>1077</v>
      </c>
      <c r="E393" s="92">
        <v>57</v>
      </c>
      <c r="F393" s="92" t="str">
        <f>IF(E393&lt;=20,"0-19",
IF(E393&lt;=50,"20-49",
IF(E393&lt;=80,"50-79","80+")))</f>
        <v>50-79</v>
      </c>
      <c r="G393" s="92" t="s">
        <v>14</v>
      </c>
      <c r="H393" s="92" t="s">
        <v>15</v>
      </c>
      <c r="I393" s="92" t="s">
        <v>1078</v>
      </c>
      <c r="J393" s="92" t="s">
        <v>2328</v>
      </c>
      <c r="K393" s="92" t="s">
        <v>843</v>
      </c>
      <c r="L393" s="92" t="s">
        <v>909</v>
      </c>
      <c r="M393" s="92">
        <v>7</v>
      </c>
      <c r="N393" s="101">
        <v>205497</v>
      </c>
      <c r="O393" s="82" t="s">
        <v>832</v>
      </c>
      <c r="P393" s="170"/>
      <c r="Q393" s="210"/>
    </row>
    <row r="394" spans="1:17" ht="21" x14ac:dyDescent="0.2">
      <c r="A394" s="139" t="s">
        <v>63</v>
      </c>
      <c r="B394" s="88">
        <v>2001514</v>
      </c>
      <c r="C394" s="87">
        <v>31068</v>
      </c>
      <c r="D394" s="88" t="s">
        <v>490</v>
      </c>
      <c r="E394" s="88">
        <v>72</v>
      </c>
      <c r="F394" s="88" t="str">
        <f>IF(E394&lt;=20,"0-19",
IF(E394&lt;=50,"20-49",
IF(E394&lt;=80,"50-79","80+")))</f>
        <v>50-79</v>
      </c>
      <c r="G394" s="88" t="s">
        <v>491</v>
      </c>
      <c r="H394" s="88" t="s">
        <v>22</v>
      </c>
      <c r="I394" s="88" t="s">
        <v>492</v>
      </c>
      <c r="J394" s="88" t="s">
        <v>2328</v>
      </c>
      <c r="K394" s="88" t="s">
        <v>57</v>
      </c>
      <c r="L394" s="88" t="s">
        <v>78</v>
      </c>
      <c r="M394" s="88">
        <v>7</v>
      </c>
      <c r="N394" s="90">
        <v>209416</v>
      </c>
      <c r="O394" s="87" t="s">
        <v>18</v>
      </c>
      <c r="P394" s="171"/>
      <c r="Q394" s="210"/>
    </row>
    <row r="395" spans="1:17" x14ac:dyDescent="0.2">
      <c r="A395" s="139" t="s">
        <v>47</v>
      </c>
      <c r="B395" s="113">
        <v>2001375</v>
      </c>
      <c r="C395" s="113">
        <v>17244</v>
      </c>
      <c r="D395" s="114" t="s">
        <v>487</v>
      </c>
      <c r="E395" s="113">
        <v>83</v>
      </c>
      <c r="F395" s="113" t="str">
        <f>IF(E395&lt;=20,"0-19",
IF(E395&lt;=50,"20-49",
IF(E395&lt;=80,"50-79","80+")))</f>
        <v>80+</v>
      </c>
      <c r="G395" s="113" t="s">
        <v>488</v>
      </c>
      <c r="H395" s="113" t="s">
        <v>22</v>
      </c>
      <c r="I395" s="114" t="s">
        <v>489</v>
      </c>
      <c r="J395" s="92" t="s">
        <v>2288</v>
      </c>
      <c r="K395" s="114" t="s">
        <v>103</v>
      </c>
      <c r="L395" s="113" t="s">
        <v>57</v>
      </c>
      <c r="M395" s="114">
        <v>7</v>
      </c>
      <c r="N395" s="115">
        <v>411716.34</v>
      </c>
      <c r="O395" s="82" t="s">
        <v>18</v>
      </c>
      <c r="P395" s="170"/>
      <c r="Q395" s="210"/>
    </row>
    <row r="396" spans="1:17" x14ac:dyDescent="0.2">
      <c r="A396" s="104" t="s">
        <v>72</v>
      </c>
      <c r="B396" s="87">
        <v>2003958</v>
      </c>
      <c r="C396" s="87">
        <v>31482</v>
      </c>
      <c r="D396" s="87" t="s">
        <v>496</v>
      </c>
      <c r="E396" s="86">
        <v>61</v>
      </c>
      <c r="F396" s="86" t="str">
        <f>IF(E396&lt;=20,"0-19",
IF(E396&lt;=50,"20-49",
IF(E396&lt;=80,"50-79","80+")))</f>
        <v>50-79</v>
      </c>
      <c r="G396" s="87" t="s">
        <v>497</v>
      </c>
      <c r="H396" s="87" t="s">
        <v>22</v>
      </c>
      <c r="I396" s="87" t="s">
        <v>498</v>
      </c>
      <c r="J396" s="87" t="s">
        <v>2295</v>
      </c>
      <c r="K396" s="86" t="s">
        <v>79</v>
      </c>
      <c r="L396" s="86" t="s">
        <v>62</v>
      </c>
      <c r="M396" s="87">
        <v>7</v>
      </c>
      <c r="N396" s="97">
        <v>283064</v>
      </c>
      <c r="O396" s="87" t="s">
        <v>18</v>
      </c>
      <c r="P396" s="171"/>
      <c r="Q396" s="210"/>
    </row>
    <row r="397" spans="1:17" x14ac:dyDescent="0.2">
      <c r="A397" s="139" t="s">
        <v>1452</v>
      </c>
      <c r="B397" s="82">
        <v>2505080</v>
      </c>
      <c r="C397" s="82">
        <v>100854</v>
      </c>
      <c r="D397" s="82" t="s">
        <v>1453</v>
      </c>
      <c r="E397" s="82">
        <v>69</v>
      </c>
      <c r="F397" s="82" t="str">
        <f>IF(E397&lt;=20,"0-19",
IF(E397&lt;=50,"20-49",
IF(E397&lt;=80,"50-79","80+")))</f>
        <v>50-79</v>
      </c>
      <c r="G397" s="82" t="s">
        <v>1454</v>
      </c>
      <c r="H397" s="82" t="s">
        <v>22</v>
      </c>
      <c r="I397" s="92" t="s">
        <v>1455</v>
      </c>
      <c r="J397" s="92" t="s">
        <v>2295</v>
      </c>
      <c r="K397" s="92" t="s">
        <v>1260</v>
      </c>
      <c r="L397" s="92" t="s">
        <v>1242</v>
      </c>
      <c r="M397" s="82">
        <v>7</v>
      </c>
      <c r="N397" s="84">
        <v>73800</v>
      </c>
      <c r="O397" s="82" t="s">
        <v>832</v>
      </c>
      <c r="P397" s="171"/>
      <c r="Q397" s="210"/>
    </row>
    <row r="398" spans="1:17" x14ac:dyDescent="0.2">
      <c r="A398" s="139" t="s">
        <v>1535</v>
      </c>
      <c r="B398" s="82">
        <v>2014910</v>
      </c>
      <c r="C398" s="82">
        <v>31110</v>
      </c>
      <c r="D398" s="82" t="s">
        <v>1536</v>
      </c>
      <c r="E398" s="82">
        <v>59</v>
      </c>
      <c r="F398" s="82" t="str">
        <f>IF(E398&lt;=20,"0-19",
IF(E398&lt;=50,"20-49",
IF(E398&lt;=80,"50-79","80+")))</f>
        <v>50-79</v>
      </c>
      <c r="G398" s="82" t="s">
        <v>1537</v>
      </c>
      <c r="H398" s="82" t="s">
        <v>15</v>
      </c>
      <c r="I398" s="82" t="s">
        <v>1538</v>
      </c>
      <c r="J398" s="82" t="s">
        <v>2295</v>
      </c>
      <c r="K398" s="82" t="s">
        <v>1539</v>
      </c>
      <c r="L398" s="82" t="s">
        <v>1249</v>
      </c>
      <c r="M398" s="82">
        <v>7</v>
      </c>
      <c r="N398" s="84">
        <v>100319.06</v>
      </c>
      <c r="O398" s="82" t="s">
        <v>832</v>
      </c>
      <c r="P398" s="171"/>
      <c r="Q398" s="210"/>
    </row>
    <row r="399" spans="1:17" x14ac:dyDescent="0.2">
      <c r="A399" s="139" t="s">
        <v>836</v>
      </c>
      <c r="B399" s="93">
        <v>2506100</v>
      </c>
      <c r="C399" s="82">
        <v>62340</v>
      </c>
      <c r="D399" s="93" t="s">
        <v>1084</v>
      </c>
      <c r="E399" s="93">
        <v>58</v>
      </c>
      <c r="F399" s="93" t="str">
        <f>IF(E399&lt;=20,"0-19",
IF(E399&lt;=50,"20-49",
IF(E399&lt;=80,"50-79","80+")))</f>
        <v>50-79</v>
      </c>
      <c r="G399" s="93" t="s">
        <v>1085</v>
      </c>
      <c r="H399" s="93" t="s">
        <v>22</v>
      </c>
      <c r="I399" s="93" t="s">
        <v>1086</v>
      </c>
      <c r="J399" s="93" t="s">
        <v>2270</v>
      </c>
      <c r="K399" s="93" t="s">
        <v>85</v>
      </c>
      <c r="L399" s="93" t="s">
        <v>880</v>
      </c>
      <c r="M399" s="93">
        <v>7</v>
      </c>
      <c r="N399" s="94">
        <v>160297</v>
      </c>
      <c r="O399" s="82" t="s">
        <v>832</v>
      </c>
      <c r="P399" s="171"/>
      <c r="Q399" s="210"/>
    </row>
    <row r="400" spans="1:17" x14ac:dyDescent="0.2">
      <c r="A400" s="104" t="s">
        <v>1410</v>
      </c>
      <c r="B400" s="87">
        <v>2019474</v>
      </c>
      <c r="C400" s="87">
        <v>57023</v>
      </c>
      <c r="D400" s="87" t="s">
        <v>1802</v>
      </c>
      <c r="E400" s="87">
        <v>59</v>
      </c>
      <c r="F400" s="87" t="str">
        <f>IF(E400&lt;=20,"0-19",
IF(E400&lt;=50,"20-49",
IF(E400&lt;=80,"50-79","80+")))</f>
        <v>50-79</v>
      </c>
      <c r="G400" s="87" t="s">
        <v>1803</v>
      </c>
      <c r="H400" s="87" t="s">
        <v>22</v>
      </c>
      <c r="I400" s="86" t="s">
        <v>1804</v>
      </c>
      <c r="J400" s="114" t="s">
        <v>2546</v>
      </c>
      <c r="K400" s="87" t="s">
        <v>108</v>
      </c>
      <c r="L400" s="87" t="s">
        <v>1546</v>
      </c>
      <c r="M400" s="87">
        <v>7</v>
      </c>
      <c r="N400" s="161">
        <v>268315</v>
      </c>
      <c r="O400" s="161" t="s">
        <v>2254</v>
      </c>
      <c r="P400" s="168">
        <v>254722845819</v>
      </c>
      <c r="Q400" s="210"/>
    </row>
    <row r="401" spans="1:17" x14ac:dyDescent="0.2">
      <c r="A401" s="104" t="s">
        <v>1656</v>
      </c>
      <c r="B401" s="87">
        <v>2502061</v>
      </c>
      <c r="C401" s="87">
        <v>87860</v>
      </c>
      <c r="D401" s="87" t="s">
        <v>2140</v>
      </c>
      <c r="E401" s="87">
        <v>1.5</v>
      </c>
      <c r="F401" s="87" t="str">
        <f>IF(E401&lt;=20,"0-19",
IF(E401&lt;=50,"20-49",
IF(E401&lt;=80,"50-79","80+")))</f>
        <v>0-19</v>
      </c>
      <c r="G401" s="87" t="s">
        <v>2141</v>
      </c>
      <c r="H401" s="87" t="s">
        <v>132</v>
      </c>
      <c r="I401" s="87" t="s">
        <v>2142</v>
      </c>
      <c r="J401" s="114" t="s">
        <v>2546</v>
      </c>
      <c r="K401" s="86" t="s">
        <v>2143</v>
      </c>
      <c r="L401" s="87" t="s">
        <v>1893</v>
      </c>
      <c r="M401" s="87">
        <v>7</v>
      </c>
      <c r="N401" s="161">
        <v>158505.45000000001</v>
      </c>
      <c r="O401" s="161" t="s">
        <v>2254</v>
      </c>
      <c r="P401" s="168">
        <v>254114750084</v>
      </c>
      <c r="Q401" s="210"/>
    </row>
    <row r="402" spans="1:17" x14ac:dyDescent="0.2">
      <c r="A402" s="139" t="s">
        <v>86</v>
      </c>
      <c r="B402" s="82">
        <v>2009846</v>
      </c>
      <c r="C402" s="82">
        <v>10966</v>
      </c>
      <c r="D402" s="82" t="s">
        <v>479</v>
      </c>
      <c r="E402" s="92">
        <v>70</v>
      </c>
      <c r="F402" s="92" t="str">
        <f>IF(E402&lt;=20,"0-19",
IF(E402&lt;=50,"20-49",
IF(E402&lt;=80,"50-79","80+")))</f>
        <v>50-79</v>
      </c>
      <c r="G402" s="82" t="s">
        <v>480</v>
      </c>
      <c r="H402" s="82" t="s">
        <v>22</v>
      </c>
      <c r="I402" s="82" t="s">
        <v>481</v>
      </c>
      <c r="J402" s="114" t="s">
        <v>2546</v>
      </c>
      <c r="K402" s="92" t="s">
        <v>482</v>
      </c>
      <c r="L402" s="92" t="s">
        <v>79</v>
      </c>
      <c r="M402" s="82">
        <v>7</v>
      </c>
      <c r="N402" s="101">
        <v>566422.69999999995</v>
      </c>
      <c r="O402" s="82" t="s">
        <v>18</v>
      </c>
      <c r="P402" s="170"/>
      <c r="Q402" s="210"/>
    </row>
    <row r="403" spans="1:17" x14ac:dyDescent="0.2">
      <c r="A403" s="139" t="s">
        <v>836</v>
      </c>
      <c r="B403" s="92">
        <v>2003627</v>
      </c>
      <c r="C403" s="82">
        <v>10424</v>
      </c>
      <c r="D403" s="92" t="s">
        <v>1069</v>
      </c>
      <c r="E403" s="92">
        <v>68</v>
      </c>
      <c r="F403" s="92" t="str">
        <f>IF(E403&lt;=20,"0-19",
IF(E403&lt;=50,"20-49",
IF(E403&lt;=80,"50-79","80+")))</f>
        <v>50-79</v>
      </c>
      <c r="G403" s="92" t="s">
        <v>126</v>
      </c>
      <c r="H403" s="92" t="s">
        <v>22</v>
      </c>
      <c r="I403" s="92" t="s">
        <v>1070</v>
      </c>
      <c r="J403" s="114" t="s">
        <v>2546</v>
      </c>
      <c r="K403" s="92" t="s">
        <v>843</v>
      </c>
      <c r="L403" s="92" t="s">
        <v>909</v>
      </c>
      <c r="M403" s="92">
        <v>7</v>
      </c>
      <c r="N403" s="101">
        <v>546512.19999999995</v>
      </c>
      <c r="O403" s="82" t="s">
        <v>832</v>
      </c>
      <c r="P403" s="171"/>
      <c r="Q403" s="210"/>
    </row>
    <row r="404" spans="1:17" x14ac:dyDescent="0.2">
      <c r="A404" s="105" t="s">
        <v>889</v>
      </c>
      <c r="B404" s="82">
        <v>2005261</v>
      </c>
      <c r="C404" s="82">
        <v>2067</v>
      </c>
      <c r="D404" s="82" t="s">
        <v>1681</v>
      </c>
      <c r="E404" s="82">
        <v>79</v>
      </c>
      <c r="F404" s="82" t="str">
        <f>IF(E404&lt;=20,"0-19",
IF(E404&lt;=50,"20-49",
IF(E404&lt;=80,"50-79","80+")))</f>
        <v>50-79</v>
      </c>
      <c r="G404" s="82" t="s">
        <v>1682</v>
      </c>
      <c r="H404" s="82" t="s">
        <v>706</v>
      </c>
      <c r="I404" s="92" t="s">
        <v>1683</v>
      </c>
      <c r="J404" s="114" t="s">
        <v>2546</v>
      </c>
      <c r="K404" s="82" t="s">
        <v>1610</v>
      </c>
      <c r="L404" s="82" t="s">
        <v>1559</v>
      </c>
      <c r="M404" s="82">
        <v>7</v>
      </c>
      <c r="N404" s="151">
        <v>70160</v>
      </c>
      <c r="O404" s="151" t="s">
        <v>2254</v>
      </c>
      <c r="P404" s="152">
        <v>254729882562</v>
      </c>
      <c r="Q404" s="210"/>
    </row>
    <row r="405" spans="1:17" x14ac:dyDescent="0.2">
      <c r="A405" s="139" t="s">
        <v>19</v>
      </c>
      <c r="B405" s="82">
        <v>2014688</v>
      </c>
      <c r="C405" s="82">
        <v>55141</v>
      </c>
      <c r="D405" s="82" t="s">
        <v>1074</v>
      </c>
      <c r="E405" s="82">
        <v>52</v>
      </c>
      <c r="F405" s="82" t="str">
        <f>IF(E405&lt;=20,"0-19",
IF(E405&lt;=50,"20-49",
IF(E405&lt;=80,"50-79","80+")))</f>
        <v>50-79</v>
      </c>
      <c r="G405" s="82" t="s">
        <v>1075</v>
      </c>
      <c r="H405" s="82" t="s">
        <v>15</v>
      </c>
      <c r="I405" s="92" t="s">
        <v>1076</v>
      </c>
      <c r="J405" s="114" t="s">
        <v>2311</v>
      </c>
      <c r="K405" s="92" t="s">
        <v>835</v>
      </c>
      <c r="L405" s="82" t="s">
        <v>901</v>
      </c>
      <c r="M405" s="82">
        <v>7</v>
      </c>
      <c r="N405" s="84">
        <v>140975</v>
      </c>
      <c r="O405" s="82" t="s">
        <v>832</v>
      </c>
      <c r="P405" s="170"/>
      <c r="Q405" s="210"/>
    </row>
    <row r="406" spans="1:17" x14ac:dyDescent="0.2">
      <c r="A406" s="103" t="s">
        <v>178</v>
      </c>
      <c r="B406" s="82">
        <v>2022537</v>
      </c>
      <c r="C406" s="82">
        <v>32636</v>
      </c>
      <c r="D406" s="82" t="s">
        <v>506</v>
      </c>
      <c r="E406" s="92">
        <v>60</v>
      </c>
      <c r="F406" s="92" t="str">
        <f>IF(E406&lt;=20,"0-19",
IF(E406&lt;=50,"20-49",
IF(E406&lt;=80,"50-79","80+")))</f>
        <v>50-79</v>
      </c>
      <c r="G406" s="82" t="s">
        <v>507</v>
      </c>
      <c r="H406" s="82" t="s">
        <v>22</v>
      </c>
      <c r="I406" s="82" t="s">
        <v>508</v>
      </c>
      <c r="J406" s="114" t="s">
        <v>2311</v>
      </c>
      <c r="K406" s="92" t="s">
        <v>66</v>
      </c>
      <c r="L406" s="92" t="s">
        <v>85</v>
      </c>
      <c r="M406" s="82">
        <v>7</v>
      </c>
      <c r="N406" s="101">
        <v>69941</v>
      </c>
      <c r="O406" s="82" t="s">
        <v>18</v>
      </c>
      <c r="P406" s="170"/>
      <c r="Q406" s="210"/>
    </row>
    <row r="407" spans="1:17" x14ac:dyDescent="0.2">
      <c r="A407" s="108" t="s">
        <v>483</v>
      </c>
      <c r="B407" s="87">
        <v>2001487</v>
      </c>
      <c r="C407" s="87">
        <v>11768</v>
      </c>
      <c r="D407" s="87" t="s">
        <v>484</v>
      </c>
      <c r="E407" s="86">
        <v>69</v>
      </c>
      <c r="F407" s="86" t="str">
        <f>IF(E407&lt;=20,"0-19",
IF(E407&lt;=50,"20-49",
IF(E407&lt;=80,"50-79","80+")))</f>
        <v>50-79</v>
      </c>
      <c r="G407" s="87" t="s">
        <v>485</v>
      </c>
      <c r="H407" s="87" t="s">
        <v>22</v>
      </c>
      <c r="I407" s="87" t="s">
        <v>486</v>
      </c>
      <c r="J407" s="114" t="s">
        <v>2311</v>
      </c>
      <c r="K407" s="86" t="s">
        <v>94</v>
      </c>
      <c r="L407" s="86" t="s">
        <v>31</v>
      </c>
      <c r="M407" s="87">
        <v>7</v>
      </c>
      <c r="N407" s="97">
        <v>212867</v>
      </c>
      <c r="O407" s="87" t="s">
        <v>18</v>
      </c>
      <c r="P407" s="171"/>
      <c r="Q407" s="210"/>
    </row>
    <row r="408" spans="1:17" x14ac:dyDescent="0.2">
      <c r="A408" s="105" t="s">
        <v>1622</v>
      </c>
      <c r="B408" s="93">
        <v>2001287</v>
      </c>
      <c r="C408" s="82">
        <v>17202</v>
      </c>
      <c r="D408" s="93" t="s">
        <v>2071</v>
      </c>
      <c r="E408" s="93">
        <v>84</v>
      </c>
      <c r="F408" s="93" t="str">
        <f>IF(E408&lt;=20,"0-19",
IF(E408&lt;=50,"20-49",
IF(E408&lt;=80,"50-79","80+")))</f>
        <v>80+</v>
      </c>
      <c r="G408" s="93" t="s">
        <v>2072</v>
      </c>
      <c r="H408" s="93" t="s">
        <v>22</v>
      </c>
      <c r="I408" s="93" t="s">
        <v>2073</v>
      </c>
      <c r="J408" s="114" t="s">
        <v>2295</v>
      </c>
      <c r="K408" s="93" t="s">
        <v>1895</v>
      </c>
      <c r="L408" s="93" t="s">
        <v>1906</v>
      </c>
      <c r="M408" s="93">
        <v>7</v>
      </c>
      <c r="N408" s="159">
        <v>81065</v>
      </c>
      <c r="O408" s="159" t="s">
        <v>2254</v>
      </c>
      <c r="P408" s="152">
        <v>7157332387</v>
      </c>
      <c r="Q408" s="210"/>
    </row>
    <row r="409" spans="1:17" x14ac:dyDescent="0.2">
      <c r="A409" s="139" t="s">
        <v>53</v>
      </c>
      <c r="B409" s="82">
        <v>2001006</v>
      </c>
      <c r="C409" s="82">
        <v>18347</v>
      </c>
      <c r="D409" s="82" t="s">
        <v>519</v>
      </c>
      <c r="E409" s="82">
        <v>60</v>
      </c>
      <c r="F409" s="82" t="str">
        <f>IF(E409&lt;=20,"0-19",
IF(E409&lt;=50,"20-49",
IF(E409&lt;=80,"50-79","80+")))</f>
        <v>50-79</v>
      </c>
      <c r="G409" s="82" t="s">
        <v>60</v>
      </c>
      <c r="H409" s="82" t="s">
        <v>22</v>
      </c>
      <c r="I409" s="92" t="s">
        <v>1358</v>
      </c>
      <c r="J409" s="92" t="s">
        <v>2270</v>
      </c>
      <c r="K409" s="92" t="s">
        <v>1359</v>
      </c>
      <c r="L409" s="92" t="s">
        <v>1241</v>
      </c>
      <c r="M409" s="82">
        <v>7</v>
      </c>
      <c r="N409" s="84">
        <v>280720.21999999997</v>
      </c>
      <c r="O409" s="82" t="s">
        <v>832</v>
      </c>
      <c r="P409" s="171"/>
      <c r="Q409" s="210"/>
    </row>
    <row r="410" spans="1:17" ht="21" x14ac:dyDescent="0.2">
      <c r="A410" s="105" t="s">
        <v>1708</v>
      </c>
      <c r="B410" s="92">
        <v>2023538</v>
      </c>
      <c r="C410" s="82">
        <v>65299</v>
      </c>
      <c r="D410" s="92" t="s">
        <v>2228</v>
      </c>
      <c r="E410" s="92">
        <v>58</v>
      </c>
      <c r="F410" s="92" t="str">
        <f>IF(E410&lt;=20,"0-19",
IF(E410&lt;=50,"20-49",
IF(E410&lt;=80,"50-79","80+")))</f>
        <v>50-79</v>
      </c>
      <c r="G410" s="92" t="s">
        <v>2229</v>
      </c>
      <c r="H410" s="92" t="s">
        <v>22</v>
      </c>
      <c r="I410" s="92" t="s">
        <v>2230</v>
      </c>
      <c r="J410" s="114" t="s">
        <v>2328</v>
      </c>
      <c r="K410" s="92" t="s">
        <v>1589</v>
      </c>
      <c r="L410" s="92" t="s">
        <v>1911</v>
      </c>
      <c r="M410" s="92">
        <v>7</v>
      </c>
      <c r="N410" s="166">
        <v>504320</v>
      </c>
      <c r="O410" s="166" t="s">
        <v>2254</v>
      </c>
      <c r="P410" s="152">
        <v>254759231438</v>
      </c>
      <c r="Q410" s="210"/>
    </row>
    <row r="411" spans="1:17" x14ac:dyDescent="0.2">
      <c r="A411" s="104" t="s">
        <v>1653</v>
      </c>
      <c r="B411" s="87">
        <v>2014680</v>
      </c>
      <c r="C411" s="87">
        <v>37008</v>
      </c>
      <c r="D411" s="87" t="s">
        <v>1877</v>
      </c>
      <c r="E411" s="87">
        <v>79</v>
      </c>
      <c r="F411" s="87" t="str">
        <f>IF(E411&lt;=20,"0-19",
IF(E411&lt;=50,"20-49",
IF(E411&lt;=80,"50-79","80+")))</f>
        <v>50-79</v>
      </c>
      <c r="G411" s="87" t="s">
        <v>1878</v>
      </c>
      <c r="H411" s="87" t="s">
        <v>15</v>
      </c>
      <c r="I411" s="86" t="s">
        <v>1879</v>
      </c>
      <c r="J411" s="114" t="str">
        <f>VLOOKUP(Table46[[#This Row],[Diagnosis]],Sheet3!A:B,2,0)</f>
        <v>Orthopedics / Neurosurgery</v>
      </c>
      <c r="K411" s="87" t="s">
        <v>1880</v>
      </c>
      <c r="L411" s="87" t="s">
        <v>1589</v>
      </c>
      <c r="M411" s="87">
        <v>7</v>
      </c>
      <c r="N411" s="161">
        <v>875388.09</v>
      </c>
      <c r="O411" s="161" t="s">
        <v>2254</v>
      </c>
      <c r="P411" s="168">
        <v>254722258303</v>
      </c>
      <c r="Q411" s="210"/>
    </row>
    <row r="412" spans="1:17" x14ac:dyDescent="0.2">
      <c r="A412" s="108" t="s">
        <v>456</v>
      </c>
      <c r="B412" s="113">
        <v>2017620</v>
      </c>
      <c r="C412" s="113">
        <v>54137</v>
      </c>
      <c r="D412" s="114" t="s">
        <v>469</v>
      </c>
      <c r="E412" s="113">
        <v>17</v>
      </c>
      <c r="F412" s="113" t="str">
        <f>IF(E412&lt;=20,"0-19",
IF(E412&lt;=50,"20-49",
IF(E412&lt;=80,"50-79","80+")))</f>
        <v>0-19</v>
      </c>
      <c r="G412" s="113" t="s">
        <v>470</v>
      </c>
      <c r="H412" s="113" t="s">
        <v>88</v>
      </c>
      <c r="I412" s="114" t="s">
        <v>471</v>
      </c>
      <c r="J412" s="114" t="s">
        <v>2314</v>
      </c>
      <c r="K412" s="114" t="s">
        <v>103</v>
      </c>
      <c r="L412" s="113" t="s">
        <v>57</v>
      </c>
      <c r="M412" s="114">
        <v>7</v>
      </c>
      <c r="N412" s="115">
        <v>39977.86</v>
      </c>
      <c r="O412" s="87" t="s">
        <v>18</v>
      </c>
      <c r="P412" s="171"/>
      <c r="Q412" s="210"/>
    </row>
    <row r="413" spans="1:17" x14ac:dyDescent="0.2">
      <c r="A413" s="139" t="s">
        <v>1482</v>
      </c>
      <c r="B413" s="82">
        <v>2022483</v>
      </c>
      <c r="C413" s="82">
        <v>80695</v>
      </c>
      <c r="D413" s="82" t="s">
        <v>1496</v>
      </c>
      <c r="E413" s="82">
        <v>3</v>
      </c>
      <c r="F413" s="82" t="str">
        <f>IF(E413&lt;=20,"0-19",
IF(E413&lt;=50,"20-49",
IF(E413&lt;=80,"50-79","80+")))</f>
        <v>0-19</v>
      </c>
      <c r="G413" s="82" t="s">
        <v>1497</v>
      </c>
      <c r="H413" s="82" t="s">
        <v>132</v>
      </c>
      <c r="I413" s="82" t="s">
        <v>1498</v>
      </c>
      <c r="J413" s="82" t="s">
        <v>2283</v>
      </c>
      <c r="K413" s="82" t="s">
        <v>1236</v>
      </c>
      <c r="L413" s="82" t="s">
        <v>1231</v>
      </c>
      <c r="M413" s="82">
        <v>7</v>
      </c>
      <c r="N413" s="84">
        <v>94977.41</v>
      </c>
      <c r="O413" s="82" t="s">
        <v>832</v>
      </c>
      <c r="P413" s="171"/>
      <c r="Q413" s="210"/>
    </row>
    <row r="414" spans="1:17" x14ac:dyDescent="0.2">
      <c r="A414" s="139" t="s">
        <v>38</v>
      </c>
      <c r="B414" s="87">
        <v>2508078</v>
      </c>
      <c r="C414" s="87">
        <v>102807</v>
      </c>
      <c r="D414" s="87" t="s">
        <v>503</v>
      </c>
      <c r="E414" s="86">
        <v>61</v>
      </c>
      <c r="F414" s="86" t="str">
        <f>IF(E414&lt;=20,"0-19",
IF(E414&lt;=50,"20-49",
IF(E414&lt;=80,"50-79","80+")))</f>
        <v>50-79</v>
      </c>
      <c r="G414" s="87" t="s">
        <v>504</v>
      </c>
      <c r="H414" s="87" t="s">
        <v>22</v>
      </c>
      <c r="I414" s="87" t="s">
        <v>505</v>
      </c>
      <c r="J414" s="87" t="s">
        <v>2275</v>
      </c>
      <c r="K414" s="86" t="s">
        <v>57</v>
      </c>
      <c r="L414" s="86" t="s">
        <v>79</v>
      </c>
      <c r="M414" s="87">
        <v>8</v>
      </c>
      <c r="N414" s="97">
        <v>210125</v>
      </c>
      <c r="O414" s="87" t="s">
        <v>18</v>
      </c>
      <c r="P414" s="171"/>
      <c r="Q414" s="210"/>
    </row>
    <row r="415" spans="1:17" x14ac:dyDescent="0.2">
      <c r="A415" s="108" t="s">
        <v>75</v>
      </c>
      <c r="B415" s="113">
        <v>2005082</v>
      </c>
      <c r="C415" s="113">
        <v>101741</v>
      </c>
      <c r="D415" s="114" t="s">
        <v>509</v>
      </c>
      <c r="E415" s="113">
        <v>68</v>
      </c>
      <c r="F415" s="113" t="str">
        <f>IF(E415&lt;=20,"0-19",
IF(E415&lt;=50,"20-49",
IF(E415&lt;=80,"50-79","80+")))</f>
        <v>50-79</v>
      </c>
      <c r="G415" s="113" t="s">
        <v>510</v>
      </c>
      <c r="H415" s="113" t="s">
        <v>15</v>
      </c>
      <c r="I415" s="114" t="s">
        <v>511</v>
      </c>
      <c r="J415" s="114" t="s">
        <v>2275</v>
      </c>
      <c r="K415" s="114" t="s">
        <v>46</v>
      </c>
      <c r="L415" s="113" t="s">
        <v>36</v>
      </c>
      <c r="M415" s="114">
        <v>8</v>
      </c>
      <c r="N415" s="115">
        <v>133798</v>
      </c>
      <c r="O415" s="87" t="s">
        <v>18</v>
      </c>
      <c r="P415" s="171"/>
      <c r="Q415" s="210"/>
    </row>
    <row r="416" spans="1:17" ht="21" x14ac:dyDescent="0.2">
      <c r="A416" s="104" t="s">
        <v>373</v>
      </c>
      <c r="B416" s="86">
        <v>2010107</v>
      </c>
      <c r="C416" s="87">
        <v>18913</v>
      </c>
      <c r="D416" s="86" t="s">
        <v>2240</v>
      </c>
      <c r="E416" s="86">
        <v>50</v>
      </c>
      <c r="F416" s="86" t="str">
        <f>IF(E416&lt;=20,"0-19",
IF(E416&lt;=50,"20-49",
IF(E416&lt;=80,"50-79","80+")))</f>
        <v>20-49</v>
      </c>
      <c r="G416" s="86" t="s">
        <v>2241</v>
      </c>
      <c r="H416" s="86" t="s">
        <v>15</v>
      </c>
      <c r="I416" s="86" t="s">
        <v>2359</v>
      </c>
      <c r="J416" s="86" t="s">
        <v>2275</v>
      </c>
      <c r="K416" s="86" t="s">
        <v>1675</v>
      </c>
      <c r="L416" s="86" t="s">
        <v>1923</v>
      </c>
      <c r="M416" s="86">
        <v>8</v>
      </c>
      <c r="N416" s="163">
        <v>761234</v>
      </c>
      <c r="O416" s="163" t="s">
        <v>2254</v>
      </c>
      <c r="P416" s="168">
        <v>254722828789</v>
      </c>
      <c r="Q416" s="210"/>
    </row>
    <row r="417" spans="1:17" x14ac:dyDescent="0.2">
      <c r="A417" s="104" t="s">
        <v>19</v>
      </c>
      <c r="B417" s="86">
        <v>2004334</v>
      </c>
      <c r="C417" s="87">
        <v>56626</v>
      </c>
      <c r="D417" s="86" t="s">
        <v>2100</v>
      </c>
      <c r="E417" s="86">
        <v>67</v>
      </c>
      <c r="F417" s="86" t="str">
        <f>IF(E417&lt;=20,"0-19",
IF(E417&lt;=50,"20-49",
IF(E417&lt;=80,"50-79","80+")))</f>
        <v>50-79</v>
      </c>
      <c r="G417" s="86" t="s">
        <v>2101</v>
      </c>
      <c r="H417" s="86" t="s">
        <v>22</v>
      </c>
      <c r="I417" s="86" t="s">
        <v>2212</v>
      </c>
      <c r="J417" s="86" t="s">
        <v>2304</v>
      </c>
      <c r="K417" s="86" t="s">
        <v>1572</v>
      </c>
      <c r="L417" s="86" t="s">
        <v>1911</v>
      </c>
      <c r="M417" s="88">
        <v>8</v>
      </c>
      <c r="N417" s="163">
        <v>358925</v>
      </c>
      <c r="O417" s="163" t="s">
        <v>2254</v>
      </c>
      <c r="P417" s="168">
        <v>254715565766</v>
      </c>
      <c r="Q417" s="210"/>
    </row>
    <row r="418" spans="1:17" ht="31.5" x14ac:dyDescent="0.2">
      <c r="A418" s="139" t="s">
        <v>1503</v>
      </c>
      <c r="B418" s="82">
        <v>2005177</v>
      </c>
      <c r="C418" s="82">
        <v>11971</v>
      </c>
      <c r="D418" s="82" t="s">
        <v>1532</v>
      </c>
      <c r="E418" s="82">
        <v>69</v>
      </c>
      <c r="F418" s="82" t="str">
        <f>IF(E418&lt;=20,"0-19",
IF(E418&lt;=50,"20-49",
IF(E418&lt;=80,"50-79","80+")))</f>
        <v>50-79</v>
      </c>
      <c r="G418" s="82" t="s">
        <v>1533</v>
      </c>
      <c r="H418" s="82" t="s">
        <v>15</v>
      </c>
      <c r="I418" s="92" t="s">
        <v>1446</v>
      </c>
      <c r="J418" s="92" t="s">
        <v>2328</v>
      </c>
      <c r="K418" s="92" t="s">
        <v>1534</v>
      </c>
      <c r="L418" s="92" t="s">
        <v>1242</v>
      </c>
      <c r="M418" s="82">
        <v>8</v>
      </c>
      <c r="N418" s="84">
        <v>392008.13</v>
      </c>
      <c r="O418" s="82" t="s">
        <v>832</v>
      </c>
      <c r="P418" s="170"/>
      <c r="Q418" s="210"/>
    </row>
    <row r="419" spans="1:17" ht="21" x14ac:dyDescent="0.2">
      <c r="A419" s="104" t="s">
        <v>1700</v>
      </c>
      <c r="B419" s="88">
        <v>2018762</v>
      </c>
      <c r="C419" s="87">
        <v>64037</v>
      </c>
      <c r="D419" s="88" t="s">
        <v>1701</v>
      </c>
      <c r="E419" s="88">
        <v>16</v>
      </c>
      <c r="F419" s="88" t="str">
        <f>IF(E419&lt;=20,"0-19",
IF(E419&lt;=50,"20-49",
IF(E419&lt;=80,"50-79","80+")))</f>
        <v>0-19</v>
      </c>
      <c r="G419" s="88" t="s">
        <v>49</v>
      </c>
      <c r="H419" s="88" t="s">
        <v>132</v>
      </c>
      <c r="I419" s="88" t="s">
        <v>1702</v>
      </c>
      <c r="J419" s="114" t="s">
        <v>2304</v>
      </c>
      <c r="K419" s="88" t="s">
        <v>1703</v>
      </c>
      <c r="L419" s="88" t="s">
        <v>1594</v>
      </c>
      <c r="M419" s="88">
        <v>8</v>
      </c>
      <c r="N419" s="163">
        <v>90922.35</v>
      </c>
      <c r="O419" s="163" t="s">
        <v>2254</v>
      </c>
      <c r="P419" s="168">
        <v>254726559225</v>
      </c>
      <c r="Q419" s="210"/>
    </row>
    <row r="420" spans="1:17" x14ac:dyDescent="0.2">
      <c r="A420" s="139" t="s">
        <v>1503</v>
      </c>
      <c r="B420" s="82">
        <v>2020509</v>
      </c>
      <c r="C420" s="82">
        <v>104396</v>
      </c>
      <c r="D420" s="82" t="s">
        <v>852</v>
      </c>
      <c r="E420" s="82">
        <v>57</v>
      </c>
      <c r="F420" s="82" t="str">
        <f>IF(E420&lt;=20,"0-19",
IF(E420&lt;=50,"20-49",
IF(E420&lt;=80,"50-79","80+")))</f>
        <v>50-79</v>
      </c>
      <c r="G420" s="82" t="s">
        <v>853</v>
      </c>
      <c r="H420" s="82" t="s">
        <v>15</v>
      </c>
      <c r="I420" s="92" t="s">
        <v>1090</v>
      </c>
      <c r="J420" s="92" t="s">
        <v>2288</v>
      </c>
      <c r="K420" s="92" t="s">
        <v>289</v>
      </c>
      <c r="L420" s="82" t="s">
        <v>846</v>
      </c>
      <c r="M420" s="82">
        <v>8</v>
      </c>
      <c r="N420" s="84">
        <v>117459.09</v>
      </c>
      <c r="O420" s="82" t="s">
        <v>832</v>
      </c>
      <c r="P420" s="170"/>
      <c r="Q420" s="210"/>
    </row>
    <row r="421" spans="1:17" x14ac:dyDescent="0.2">
      <c r="A421" s="139" t="s">
        <v>522</v>
      </c>
      <c r="B421" s="82">
        <v>2003111</v>
      </c>
      <c r="C421" s="82">
        <v>53272</v>
      </c>
      <c r="D421" s="82" t="s">
        <v>59</v>
      </c>
      <c r="E421" s="82">
        <v>67</v>
      </c>
      <c r="F421" s="82" t="str">
        <f>IF(E421&lt;=20,"0-19",
IF(E421&lt;=50,"20-49",
IF(E421&lt;=80,"50-79","80+")))</f>
        <v>50-79</v>
      </c>
      <c r="G421" s="82" t="s">
        <v>213</v>
      </c>
      <c r="H421" s="82" t="s">
        <v>22</v>
      </c>
      <c r="I421" s="92" t="s">
        <v>1087</v>
      </c>
      <c r="J421" s="92" t="s">
        <v>2295</v>
      </c>
      <c r="K421" s="92" t="s">
        <v>31</v>
      </c>
      <c r="L421" s="82" t="s">
        <v>834</v>
      </c>
      <c r="M421" s="82">
        <v>8</v>
      </c>
      <c r="N421" s="84">
        <v>487614</v>
      </c>
      <c r="O421" s="82" t="s">
        <v>832</v>
      </c>
      <c r="P421" s="171"/>
      <c r="Q421" s="210"/>
    </row>
    <row r="422" spans="1:17" x14ac:dyDescent="0.2">
      <c r="A422" s="104" t="s">
        <v>117</v>
      </c>
      <c r="B422" s="87">
        <v>2019370</v>
      </c>
      <c r="C422" s="87">
        <v>60236</v>
      </c>
      <c r="D422" s="87" t="s">
        <v>2178</v>
      </c>
      <c r="E422" s="87">
        <v>60</v>
      </c>
      <c r="F422" s="87" t="str">
        <f>IF(E422&lt;=20,"0-19",
IF(E422&lt;=50,"20-49",
IF(E422&lt;=80,"50-79","80+")))</f>
        <v>50-79</v>
      </c>
      <c r="G422" s="87" t="s">
        <v>2179</v>
      </c>
      <c r="H422" s="87" t="s">
        <v>22</v>
      </c>
      <c r="I422" s="87" t="s">
        <v>227</v>
      </c>
      <c r="J422" s="87" t="s">
        <v>2295</v>
      </c>
      <c r="K422" s="86" t="s">
        <v>1543</v>
      </c>
      <c r="L422" s="87" t="s">
        <v>1928</v>
      </c>
      <c r="M422" s="87">
        <v>8</v>
      </c>
      <c r="N422" s="161">
        <v>197385</v>
      </c>
      <c r="O422" s="161" t="s">
        <v>2254</v>
      </c>
      <c r="P422" s="168">
        <v>254720242011</v>
      </c>
      <c r="Q422" s="210"/>
    </row>
    <row r="423" spans="1:17" x14ac:dyDescent="0.2">
      <c r="A423" s="139" t="s">
        <v>373</v>
      </c>
      <c r="B423" s="82">
        <v>2001198</v>
      </c>
      <c r="C423" s="82">
        <v>18587</v>
      </c>
      <c r="D423" s="82" t="s">
        <v>512</v>
      </c>
      <c r="E423" s="92">
        <v>76</v>
      </c>
      <c r="F423" s="92" t="str">
        <f>IF(E423&lt;=20,"0-19",
IF(E423&lt;=50,"20-49",
IF(E423&lt;=80,"50-79","80+")))</f>
        <v>50-79</v>
      </c>
      <c r="G423" s="82" t="s">
        <v>513</v>
      </c>
      <c r="H423" s="82" t="s">
        <v>22</v>
      </c>
      <c r="I423" s="82" t="s">
        <v>514</v>
      </c>
      <c r="J423" s="82" t="s">
        <v>2295</v>
      </c>
      <c r="K423" s="92" t="s">
        <v>78</v>
      </c>
      <c r="L423" s="92" t="s">
        <v>67</v>
      </c>
      <c r="M423" s="82">
        <v>8</v>
      </c>
      <c r="N423" s="101">
        <v>768485</v>
      </c>
      <c r="O423" s="82" t="s">
        <v>18</v>
      </c>
      <c r="P423" s="170"/>
      <c r="Q423" s="210"/>
    </row>
    <row r="424" spans="1:17" x14ac:dyDescent="0.2">
      <c r="A424" s="104" t="s">
        <v>72</v>
      </c>
      <c r="B424" s="87">
        <v>2003958</v>
      </c>
      <c r="C424" s="87">
        <v>31482</v>
      </c>
      <c r="D424" s="87" t="s">
        <v>1757</v>
      </c>
      <c r="E424" s="87">
        <v>67</v>
      </c>
      <c r="F424" s="87" t="str">
        <f>IF(E424&lt;=20,"0-19",
IF(E424&lt;=50,"20-49",
IF(E424&lt;=80,"50-79","80+")))</f>
        <v>50-79</v>
      </c>
      <c r="G424" s="87" t="s">
        <v>497</v>
      </c>
      <c r="H424" s="87" t="s">
        <v>664</v>
      </c>
      <c r="I424" s="86" t="s">
        <v>1758</v>
      </c>
      <c r="J424" s="114" t="s">
        <v>2546</v>
      </c>
      <c r="K424" s="87" t="s">
        <v>1610</v>
      </c>
      <c r="L424" s="87" t="s">
        <v>1675</v>
      </c>
      <c r="M424" s="87">
        <v>8</v>
      </c>
      <c r="N424" s="161">
        <v>167912</v>
      </c>
      <c r="O424" s="161" t="s">
        <v>2254</v>
      </c>
      <c r="P424" s="168">
        <v>254722345021</v>
      </c>
      <c r="Q424" s="210"/>
    </row>
    <row r="425" spans="1:17" x14ac:dyDescent="0.2">
      <c r="A425" s="105" t="s">
        <v>1504</v>
      </c>
      <c r="B425" s="82">
        <v>2018355</v>
      </c>
      <c r="C425" s="82">
        <v>63541</v>
      </c>
      <c r="D425" s="82" t="s">
        <v>1636</v>
      </c>
      <c r="E425" s="82">
        <v>61</v>
      </c>
      <c r="F425" s="82" t="str">
        <f>IF(E425&lt;=20,"0-19",
IF(E425&lt;=50,"20-49",
IF(E425&lt;=80,"50-79","80+")))</f>
        <v>50-79</v>
      </c>
      <c r="G425" s="82" t="s">
        <v>1637</v>
      </c>
      <c r="H425" s="82" t="s">
        <v>22</v>
      </c>
      <c r="I425" s="92" t="s">
        <v>1638</v>
      </c>
      <c r="J425" s="92" t="s">
        <v>2310</v>
      </c>
      <c r="K425" s="82" t="s">
        <v>1639</v>
      </c>
      <c r="L425" s="82" t="s">
        <v>1567</v>
      </c>
      <c r="M425" s="82">
        <v>8</v>
      </c>
      <c r="N425" s="151">
        <v>43225</v>
      </c>
      <c r="O425" s="151" t="s">
        <v>2254</v>
      </c>
      <c r="P425" s="152">
        <v>254722260248</v>
      </c>
      <c r="Q425" s="210"/>
    </row>
    <row r="426" spans="1:17" x14ac:dyDescent="0.2">
      <c r="A426" s="139" t="s">
        <v>1410</v>
      </c>
      <c r="B426" s="82">
        <v>2019476</v>
      </c>
      <c r="C426" s="82">
        <v>57023</v>
      </c>
      <c r="D426" s="82" t="s">
        <v>1088</v>
      </c>
      <c r="E426" s="82">
        <v>59</v>
      </c>
      <c r="F426" s="82" t="str">
        <f>IF(E426&lt;=20,"0-19",
IF(E426&lt;=50,"20-49",
IF(E426&lt;=80,"50-79","80+")))</f>
        <v>50-79</v>
      </c>
      <c r="G426" s="82" t="s">
        <v>126</v>
      </c>
      <c r="H426" s="82" t="s">
        <v>22</v>
      </c>
      <c r="I426" s="82" t="s">
        <v>1089</v>
      </c>
      <c r="J426" s="114" t="s">
        <v>2295</v>
      </c>
      <c r="K426" s="92" t="s">
        <v>843</v>
      </c>
      <c r="L426" s="92" t="s">
        <v>860</v>
      </c>
      <c r="M426" s="82">
        <v>8</v>
      </c>
      <c r="N426" s="84">
        <v>475110</v>
      </c>
      <c r="O426" s="82" t="s">
        <v>832</v>
      </c>
      <c r="P426" s="170"/>
      <c r="Q426" s="210"/>
    </row>
    <row r="427" spans="1:17" x14ac:dyDescent="0.2">
      <c r="A427" s="194" t="s">
        <v>515</v>
      </c>
      <c r="B427" s="188">
        <v>2004274</v>
      </c>
      <c r="C427" s="188">
        <v>12673</v>
      </c>
      <c r="D427" s="188" t="s">
        <v>516</v>
      </c>
      <c r="E427" s="199">
        <v>68</v>
      </c>
      <c r="F427" s="199" t="str">
        <f>IF(E427&lt;=20,"0-19",
IF(E427&lt;=50,"20-49",
IF(E427&lt;=80,"50-79","80+")))</f>
        <v>50-79</v>
      </c>
      <c r="G427" s="199" t="s">
        <v>517</v>
      </c>
      <c r="H427" s="199" t="s">
        <v>22</v>
      </c>
      <c r="I427" s="199" t="s">
        <v>518</v>
      </c>
      <c r="J427" s="199" t="s">
        <v>2270</v>
      </c>
      <c r="K427" s="199" t="s">
        <v>66</v>
      </c>
      <c r="L427" s="188" t="s">
        <v>289</v>
      </c>
      <c r="M427" s="86">
        <v>8</v>
      </c>
      <c r="N427" s="192">
        <v>379882</v>
      </c>
      <c r="O427" s="87" t="s">
        <v>18</v>
      </c>
      <c r="P427" s="171"/>
      <c r="Q427" s="210"/>
    </row>
    <row r="428" spans="1:17" x14ac:dyDescent="0.2">
      <c r="A428" s="105" t="s">
        <v>354</v>
      </c>
      <c r="B428" s="93">
        <v>2001273</v>
      </c>
      <c r="C428" s="82">
        <v>20535</v>
      </c>
      <c r="D428" s="93" t="s">
        <v>387</v>
      </c>
      <c r="E428" s="93">
        <v>80</v>
      </c>
      <c r="F428" s="93" t="str">
        <f>IF(E428&lt;=20,"0-19",
IF(E428&lt;=50,"20-49",
IF(E428&lt;=80,"50-79","80+")))</f>
        <v>50-79</v>
      </c>
      <c r="G428" s="93" t="s">
        <v>388</v>
      </c>
      <c r="H428" s="93" t="s">
        <v>22</v>
      </c>
      <c r="I428" s="93" t="s">
        <v>1750</v>
      </c>
      <c r="J428" s="93" t="s">
        <v>2283</v>
      </c>
      <c r="K428" s="93" t="s">
        <v>1231</v>
      </c>
      <c r="L428" s="92" t="s">
        <v>1562</v>
      </c>
      <c r="M428" s="93">
        <v>8</v>
      </c>
      <c r="N428" s="159">
        <v>147165.88</v>
      </c>
      <c r="O428" s="159" t="s">
        <v>2254</v>
      </c>
      <c r="P428" s="152">
        <v>254722536183</v>
      </c>
      <c r="Q428" s="210"/>
    </row>
    <row r="429" spans="1:17" x14ac:dyDescent="0.2">
      <c r="A429" s="105" t="s">
        <v>856</v>
      </c>
      <c r="B429" s="82">
        <v>2002987</v>
      </c>
      <c r="C429" s="82">
        <v>60750</v>
      </c>
      <c r="D429" s="82" t="s">
        <v>1066</v>
      </c>
      <c r="E429" s="82">
        <v>56</v>
      </c>
      <c r="F429" s="82" t="str">
        <f>IF(E429&lt;=20,"0-19",
IF(E429&lt;=50,"20-49",
IF(E429&lt;=80,"50-79","80+")))</f>
        <v>50-79</v>
      </c>
      <c r="G429" s="82" t="s">
        <v>1067</v>
      </c>
      <c r="H429" s="82" t="s">
        <v>22</v>
      </c>
      <c r="I429" s="82" t="s">
        <v>1891</v>
      </c>
      <c r="J429" s="82" t="s">
        <v>2275</v>
      </c>
      <c r="K429" s="92" t="s">
        <v>1895</v>
      </c>
      <c r="L429" s="82" t="s">
        <v>1893</v>
      </c>
      <c r="M429" s="82">
        <v>9</v>
      </c>
      <c r="N429" s="151">
        <v>699263.64</v>
      </c>
      <c r="O429" s="151" t="s">
        <v>2254</v>
      </c>
      <c r="P429" s="152">
        <v>254703352923</v>
      </c>
      <c r="Q429" s="210"/>
    </row>
    <row r="430" spans="1:17" x14ac:dyDescent="0.2">
      <c r="A430" s="139" t="s">
        <v>449</v>
      </c>
      <c r="B430" s="82">
        <v>2013074</v>
      </c>
      <c r="C430" s="82">
        <v>101343</v>
      </c>
      <c r="D430" s="82" t="s">
        <v>1091</v>
      </c>
      <c r="E430" s="82">
        <v>68</v>
      </c>
      <c r="F430" s="82" t="str">
        <f>IF(E430&lt;=20,"0-19",
IF(E430&lt;=50,"20-49",
IF(E430&lt;=80,"50-79","80+")))</f>
        <v>50-79</v>
      </c>
      <c r="G430" s="82" t="s">
        <v>451</v>
      </c>
      <c r="H430" s="82" t="s">
        <v>15</v>
      </c>
      <c r="I430" s="92" t="s">
        <v>1092</v>
      </c>
      <c r="J430" s="92" t="s">
        <v>2288</v>
      </c>
      <c r="K430" s="92" t="s">
        <v>835</v>
      </c>
      <c r="L430" s="82" t="s">
        <v>855</v>
      </c>
      <c r="M430" s="82">
        <v>9</v>
      </c>
      <c r="N430" s="84">
        <v>196082.8</v>
      </c>
      <c r="O430" s="82" t="s">
        <v>832</v>
      </c>
      <c r="P430" s="170"/>
      <c r="Q430" s="210"/>
    </row>
    <row r="431" spans="1:17" x14ac:dyDescent="0.2">
      <c r="A431" s="104" t="s">
        <v>1856</v>
      </c>
      <c r="B431" s="86">
        <v>2021185</v>
      </c>
      <c r="C431" s="87">
        <v>64234</v>
      </c>
      <c r="D431" s="86" t="s">
        <v>1857</v>
      </c>
      <c r="E431" s="86">
        <v>60</v>
      </c>
      <c r="F431" s="86" t="str">
        <f>IF(E431&lt;=20,"0-19",
IF(E431&lt;=50,"20-49",
IF(E431&lt;=80,"50-79","80+")))</f>
        <v>50-79</v>
      </c>
      <c r="G431" s="86" t="s">
        <v>1858</v>
      </c>
      <c r="H431" s="86" t="s">
        <v>22</v>
      </c>
      <c r="I431" s="86" t="s">
        <v>1859</v>
      </c>
      <c r="J431" s="114" t="s">
        <v>2546</v>
      </c>
      <c r="K431" s="86" t="s">
        <v>1366</v>
      </c>
      <c r="L431" s="86" t="s">
        <v>1562</v>
      </c>
      <c r="M431" s="88">
        <v>9</v>
      </c>
      <c r="N431" s="164">
        <v>449874</v>
      </c>
      <c r="O431" s="164" t="s">
        <v>2254</v>
      </c>
      <c r="P431" s="168">
        <v>254724926757</v>
      </c>
      <c r="Q431" s="210"/>
    </row>
    <row r="432" spans="1:17" ht="21" x14ac:dyDescent="0.2">
      <c r="A432" s="105" t="s">
        <v>53</v>
      </c>
      <c r="B432" s="92">
        <v>2005719</v>
      </c>
      <c r="C432" s="82">
        <v>53410</v>
      </c>
      <c r="D432" s="93" t="s">
        <v>1864</v>
      </c>
      <c r="E432" s="117">
        <v>64</v>
      </c>
      <c r="F432" s="117" t="str">
        <f>IF(E432&lt;=20,"0-19",
IF(E432&lt;=50,"20-49",
IF(E432&lt;=80,"50-79","80+")))</f>
        <v>50-79</v>
      </c>
      <c r="G432" s="92" t="s">
        <v>1865</v>
      </c>
      <c r="H432" s="92" t="s">
        <v>15</v>
      </c>
      <c r="I432" s="92" t="s">
        <v>1866</v>
      </c>
      <c r="J432" s="92" t="s">
        <v>2328</v>
      </c>
      <c r="K432" s="92" t="s">
        <v>1231</v>
      </c>
      <c r="L432" s="92" t="s">
        <v>1542</v>
      </c>
      <c r="M432" s="93">
        <v>9</v>
      </c>
      <c r="N432" s="166">
        <v>650000</v>
      </c>
      <c r="O432" s="166" t="s">
        <v>2254</v>
      </c>
      <c r="P432" s="152">
        <v>254722612206</v>
      </c>
      <c r="Q432" s="210"/>
    </row>
    <row r="433" spans="1:17" ht="21" x14ac:dyDescent="0.2">
      <c r="A433" s="105" t="s">
        <v>2165</v>
      </c>
      <c r="B433" s="92">
        <v>2006498</v>
      </c>
      <c r="C433" s="82">
        <v>11078</v>
      </c>
      <c r="D433" s="92" t="s">
        <v>2166</v>
      </c>
      <c r="E433" s="92">
        <v>50</v>
      </c>
      <c r="F433" s="92" t="str">
        <f>IF(E433&lt;=20,"0-19",
IF(E433&lt;=50,"20-49",
IF(E433&lt;=80,"50-79","80+")))</f>
        <v>20-49</v>
      </c>
      <c r="G433" s="92" t="s">
        <v>2167</v>
      </c>
      <c r="H433" s="92" t="s">
        <v>15</v>
      </c>
      <c r="I433" s="92" t="s">
        <v>2168</v>
      </c>
      <c r="J433" s="92" t="s">
        <v>2328</v>
      </c>
      <c r="K433" s="92" t="s">
        <v>1908</v>
      </c>
      <c r="L433" s="92" t="s">
        <v>1898</v>
      </c>
      <c r="M433" s="92">
        <v>9</v>
      </c>
      <c r="N433" s="166">
        <v>180100</v>
      </c>
      <c r="O433" s="166" t="s">
        <v>2254</v>
      </c>
      <c r="P433" s="152">
        <v>254720367477</v>
      </c>
      <c r="Q433" s="210"/>
    </row>
    <row r="434" spans="1:17" x14ac:dyDescent="0.2">
      <c r="A434" s="105" t="s">
        <v>1653</v>
      </c>
      <c r="B434" s="82">
        <v>2020047</v>
      </c>
      <c r="C434" s="82">
        <v>83597</v>
      </c>
      <c r="D434" s="82" t="s">
        <v>1881</v>
      </c>
      <c r="E434" s="82">
        <v>8</v>
      </c>
      <c r="F434" s="82" t="str">
        <f>IF(E434&lt;=20,"0-19",
IF(E434&lt;=50,"20-49",
IF(E434&lt;=80,"50-79","80+")))</f>
        <v>0-19</v>
      </c>
      <c r="G434" s="82" t="s">
        <v>438</v>
      </c>
      <c r="H434" s="82" t="s">
        <v>132</v>
      </c>
      <c r="I434" s="92" t="s">
        <v>1882</v>
      </c>
      <c r="J434" s="92" t="s">
        <v>2322</v>
      </c>
      <c r="K434" s="82" t="s">
        <v>1883</v>
      </c>
      <c r="L434" s="82" t="s">
        <v>1572</v>
      </c>
      <c r="M434" s="82">
        <v>9</v>
      </c>
      <c r="N434" s="151">
        <v>1192329</v>
      </c>
      <c r="O434" s="151" t="s">
        <v>2254</v>
      </c>
      <c r="P434" s="152">
        <v>254722258303</v>
      </c>
      <c r="Q434" s="210"/>
    </row>
    <row r="435" spans="1:17" x14ac:dyDescent="0.2">
      <c r="A435" s="139" t="s">
        <v>38</v>
      </c>
      <c r="B435" s="93">
        <v>2001006</v>
      </c>
      <c r="C435" s="82">
        <v>18347</v>
      </c>
      <c r="D435" s="93" t="s">
        <v>519</v>
      </c>
      <c r="E435" s="93">
        <v>69</v>
      </c>
      <c r="F435" s="93" t="str">
        <f>IF(E435&lt;=20,"0-19",
IF(E435&lt;=50,"20-49",
IF(E435&lt;=80,"50-79","80+")))</f>
        <v>50-79</v>
      </c>
      <c r="G435" s="93" t="s">
        <v>520</v>
      </c>
      <c r="H435" s="93" t="s">
        <v>22</v>
      </c>
      <c r="I435" s="93" t="s">
        <v>521</v>
      </c>
      <c r="J435" s="93" t="s">
        <v>2275</v>
      </c>
      <c r="K435" s="93" t="s">
        <v>121</v>
      </c>
      <c r="L435" s="93" t="s">
        <v>78</v>
      </c>
      <c r="M435" s="93">
        <v>10</v>
      </c>
      <c r="N435" s="94">
        <v>439915</v>
      </c>
      <c r="O435" s="82" t="s">
        <v>18</v>
      </c>
      <c r="P435" s="170"/>
      <c r="Q435" s="210"/>
    </row>
    <row r="436" spans="1:17" x14ac:dyDescent="0.2">
      <c r="A436" s="139" t="s">
        <v>68</v>
      </c>
      <c r="B436" s="87">
        <v>2018243</v>
      </c>
      <c r="C436" s="87">
        <v>62659</v>
      </c>
      <c r="D436" s="87" t="s">
        <v>528</v>
      </c>
      <c r="E436" s="86">
        <v>59</v>
      </c>
      <c r="F436" s="86" t="str">
        <f>IF(E436&lt;=20,"0-19",
IF(E436&lt;=50,"20-49",
IF(E436&lt;=80,"50-79","80+")))</f>
        <v>50-79</v>
      </c>
      <c r="G436" s="87" t="s">
        <v>529</v>
      </c>
      <c r="H436" s="87" t="s">
        <v>22</v>
      </c>
      <c r="I436" s="87" t="s">
        <v>530</v>
      </c>
      <c r="J436" s="87" t="s">
        <v>2295</v>
      </c>
      <c r="K436" s="86" t="s">
        <v>37</v>
      </c>
      <c r="L436" s="86" t="s">
        <v>67</v>
      </c>
      <c r="M436" s="87">
        <v>10</v>
      </c>
      <c r="N436" s="97">
        <v>320187</v>
      </c>
      <c r="O436" s="87" t="s">
        <v>18</v>
      </c>
      <c r="P436" s="171"/>
      <c r="Q436" s="210"/>
    </row>
    <row r="437" spans="1:17" x14ac:dyDescent="0.2">
      <c r="A437" s="139" t="s">
        <v>522</v>
      </c>
      <c r="B437" s="82">
        <v>2002069</v>
      </c>
      <c r="C437" s="82">
        <v>16836</v>
      </c>
      <c r="D437" s="82" t="s">
        <v>526</v>
      </c>
      <c r="E437" s="92">
        <v>68</v>
      </c>
      <c r="F437" s="92" t="str">
        <f>IF(E437&lt;=20,"0-19",
IF(E437&lt;=50,"20-49",
IF(E437&lt;=80,"50-79","80+")))</f>
        <v>50-79</v>
      </c>
      <c r="G437" s="82" t="s">
        <v>527</v>
      </c>
      <c r="H437" s="82" t="s">
        <v>22</v>
      </c>
      <c r="I437" s="82" t="s">
        <v>227</v>
      </c>
      <c r="J437" s="82" t="s">
        <v>2295</v>
      </c>
      <c r="K437" s="92" t="s">
        <v>36</v>
      </c>
      <c r="L437" s="92" t="s">
        <v>66</v>
      </c>
      <c r="M437" s="82">
        <v>10</v>
      </c>
      <c r="N437" s="101">
        <v>273389.63</v>
      </c>
      <c r="O437" s="82" t="s">
        <v>18</v>
      </c>
      <c r="P437" s="170"/>
      <c r="Q437" s="210"/>
    </row>
    <row r="438" spans="1:17" ht="21" x14ac:dyDescent="0.2">
      <c r="A438" s="139" t="s">
        <v>63</v>
      </c>
      <c r="B438" s="82">
        <v>2002234</v>
      </c>
      <c r="C438" s="82">
        <v>31013</v>
      </c>
      <c r="D438" s="82" t="s">
        <v>1093</v>
      </c>
      <c r="E438" s="82">
        <v>69</v>
      </c>
      <c r="F438" s="82" t="str">
        <f>IF(E438&lt;=20,"0-19",
IF(E438&lt;=50,"20-49",
IF(E438&lt;=80,"50-79","80+")))</f>
        <v>50-79</v>
      </c>
      <c r="G438" s="82" t="s">
        <v>1094</v>
      </c>
      <c r="H438" s="82" t="s">
        <v>22</v>
      </c>
      <c r="I438" s="92" t="s">
        <v>1095</v>
      </c>
      <c r="J438" s="92" t="s">
        <v>2328</v>
      </c>
      <c r="K438" s="92" t="s">
        <v>193</v>
      </c>
      <c r="L438" s="82" t="s">
        <v>896</v>
      </c>
      <c r="M438" s="82">
        <v>10</v>
      </c>
      <c r="N438" s="84">
        <v>846478</v>
      </c>
      <c r="O438" s="82" t="s">
        <v>832</v>
      </c>
      <c r="P438" s="171"/>
      <c r="Q438" s="210"/>
    </row>
    <row r="439" spans="1:17" ht="21" x14ac:dyDescent="0.2">
      <c r="A439" s="139" t="s">
        <v>155</v>
      </c>
      <c r="B439" s="93">
        <v>2407209</v>
      </c>
      <c r="C439" s="82">
        <v>58921</v>
      </c>
      <c r="D439" s="93" t="s">
        <v>531</v>
      </c>
      <c r="E439" s="93">
        <v>44</v>
      </c>
      <c r="F439" s="93" t="str">
        <f>IF(E439&lt;=20,"0-19",
IF(E439&lt;=50,"20-49",
IF(E439&lt;=80,"50-79","80+")))</f>
        <v>20-49</v>
      </c>
      <c r="G439" s="93" t="s">
        <v>532</v>
      </c>
      <c r="H439" s="93" t="s">
        <v>15</v>
      </c>
      <c r="I439" s="93" t="s">
        <v>533</v>
      </c>
      <c r="J439" s="93" t="s">
        <v>2328</v>
      </c>
      <c r="K439" s="93" t="s">
        <v>121</v>
      </c>
      <c r="L439" s="93" t="s">
        <v>78</v>
      </c>
      <c r="M439" s="93">
        <v>10</v>
      </c>
      <c r="N439" s="94">
        <v>236795</v>
      </c>
      <c r="O439" s="82" t="s">
        <v>18</v>
      </c>
      <c r="P439" s="170"/>
      <c r="Q439" s="210"/>
    </row>
    <row r="440" spans="1:17" ht="21" x14ac:dyDescent="0.2">
      <c r="A440" s="139" t="s">
        <v>522</v>
      </c>
      <c r="B440" s="113">
        <v>2018815</v>
      </c>
      <c r="C440" s="113">
        <v>43293</v>
      </c>
      <c r="D440" s="114" t="s">
        <v>44</v>
      </c>
      <c r="E440" s="113">
        <v>60</v>
      </c>
      <c r="F440" s="113" t="str">
        <f>IF(E440&lt;=20,"0-19",
IF(E440&lt;=50,"20-49",
IF(E440&lt;=80,"50-79","80+")))</f>
        <v>50-79</v>
      </c>
      <c r="G440" s="113" t="s">
        <v>523</v>
      </c>
      <c r="H440" s="113" t="s">
        <v>15</v>
      </c>
      <c r="I440" s="114" t="s">
        <v>524</v>
      </c>
      <c r="J440" s="114" t="s">
        <v>2314</v>
      </c>
      <c r="K440" s="114" t="s">
        <v>525</v>
      </c>
      <c r="L440" s="113" t="s">
        <v>42</v>
      </c>
      <c r="M440" s="114">
        <v>10</v>
      </c>
      <c r="N440" s="115">
        <v>511509.72</v>
      </c>
      <c r="O440" s="87" t="s">
        <v>18</v>
      </c>
      <c r="P440" s="171"/>
      <c r="Q440" s="210"/>
    </row>
    <row r="441" spans="1:17" x14ac:dyDescent="0.2">
      <c r="A441" s="104" t="s">
        <v>515</v>
      </c>
      <c r="B441" s="87">
        <v>2002192</v>
      </c>
      <c r="C441" s="87">
        <v>104817</v>
      </c>
      <c r="D441" s="87" t="s">
        <v>753</v>
      </c>
      <c r="E441" s="87">
        <v>61</v>
      </c>
      <c r="F441" s="87" t="str">
        <f>IF(E441&lt;=20,"0-19",
IF(E441&lt;=50,"20-49",
IF(E441&lt;=80,"50-79","80+")))</f>
        <v>50-79</v>
      </c>
      <c r="G441" s="87" t="s">
        <v>1846</v>
      </c>
      <c r="H441" s="87" t="s">
        <v>22</v>
      </c>
      <c r="I441" s="86" t="s">
        <v>752</v>
      </c>
      <c r="J441" s="111" t="s">
        <v>2270</v>
      </c>
      <c r="K441" s="87" t="s">
        <v>1847</v>
      </c>
      <c r="L441" s="87" t="s">
        <v>1559</v>
      </c>
      <c r="M441" s="87">
        <v>10</v>
      </c>
      <c r="N441" s="161">
        <v>394307</v>
      </c>
      <c r="O441" s="161" t="s">
        <v>2254</v>
      </c>
      <c r="P441" s="168">
        <v>254721729511</v>
      </c>
      <c r="Q441" s="210"/>
    </row>
    <row r="442" spans="1:17" x14ac:dyDescent="0.2">
      <c r="A442" s="194" t="s">
        <v>534</v>
      </c>
      <c r="B442" s="188">
        <v>2001116</v>
      </c>
      <c r="C442" s="188">
        <v>1035</v>
      </c>
      <c r="D442" s="188" t="s">
        <v>535</v>
      </c>
      <c r="E442" s="199">
        <v>86</v>
      </c>
      <c r="F442" s="199" t="str">
        <f>IF(E442&lt;=20,"0-19",
IF(E442&lt;=50,"20-49",
IF(E442&lt;=80,"50-79","80+")))</f>
        <v>80+</v>
      </c>
      <c r="G442" s="199" t="s">
        <v>536</v>
      </c>
      <c r="H442" s="199" t="s">
        <v>22</v>
      </c>
      <c r="I442" s="199" t="s">
        <v>537</v>
      </c>
      <c r="J442" s="199" t="s">
        <v>2283</v>
      </c>
      <c r="K442" s="199" t="s">
        <v>95</v>
      </c>
      <c r="L442" s="188" t="s">
        <v>190</v>
      </c>
      <c r="M442" s="88">
        <v>10</v>
      </c>
      <c r="N442" s="192">
        <v>465833.84</v>
      </c>
      <c r="O442" s="87" t="s">
        <v>18</v>
      </c>
      <c r="P442" s="171"/>
      <c r="Q442" s="210"/>
    </row>
    <row r="443" spans="1:17" x14ac:dyDescent="0.2">
      <c r="A443" s="104" t="s">
        <v>373</v>
      </c>
      <c r="B443" s="87">
        <v>2408116</v>
      </c>
      <c r="C443" s="87">
        <v>18320</v>
      </c>
      <c r="D443" s="87" t="s">
        <v>1884</v>
      </c>
      <c r="E443" s="87">
        <v>74</v>
      </c>
      <c r="F443" s="87" t="str">
        <f>IF(E443&lt;=20,"0-19",
IF(E443&lt;=50,"20-49",
IF(E443&lt;=80,"50-79","80+")))</f>
        <v>50-79</v>
      </c>
      <c r="G443" s="87" t="s">
        <v>1885</v>
      </c>
      <c r="H443" s="87" t="s">
        <v>15</v>
      </c>
      <c r="I443" s="86" t="s">
        <v>1886</v>
      </c>
      <c r="J443" s="86" t="s">
        <v>2275</v>
      </c>
      <c r="K443" s="87" t="s">
        <v>1254</v>
      </c>
      <c r="L443" s="87" t="s">
        <v>1543</v>
      </c>
      <c r="M443" s="87">
        <v>11</v>
      </c>
      <c r="N443" s="161">
        <v>1486520</v>
      </c>
      <c r="O443" s="161" t="s">
        <v>2254</v>
      </c>
      <c r="P443" s="168">
        <v>710444129</v>
      </c>
      <c r="Q443" s="210"/>
    </row>
    <row r="444" spans="1:17" x14ac:dyDescent="0.2">
      <c r="A444" s="139" t="s">
        <v>43</v>
      </c>
      <c r="B444" s="82">
        <v>2007413</v>
      </c>
      <c r="C444" s="82">
        <v>20881</v>
      </c>
      <c r="D444" s="82" t="s">
        <v>27</v>
      </c>
      <c r="E444" s="82">
        <v>64</v>
      </c>
      <c r="F444" s="82" t="str">
        <f>IF(E444&lt;=20,"0-19",
IF(E444&lt;=50,"20-49",
IF(E444&lt;=80,"50-79","80+")))</f>
        <v>50-79</v>
      </c>
      <c r="G444" s="82" t="s">
        <v>28</v>
      </c>
      <c r="H444" s="82" t="s">
        <v>15</v>
      </c>
      <c r="I444" s="92" t="s">
        <v>1102</v>
      </c>
      <c r="J444" s="92" t="s">
        <v>2288</v>
      </c>
      <c r="K444" s="92" t="s">
        <v>31</v>
      </c>
      <c r="L444" s="82" t="s">
        <v>831</v>
      </c>
      <c r="M444" s="82">
        <v>11</v>
      </c>
      <c r="N444" s="84">
        <v>887876</v>
      </c>
      <c r="O444" s="82" t="s">
        <v>832</v>
      </c>
      <c r="P444" s="171"/>
      <c r="Q444" s="210"/>
    </row>
    <row r="445" spans="1:17" x14ac:dyDescent="0.2">
      <c r="A445" s="139" t="s">
        <v>1482</v>
      </c>
      <c r="B445" s="82">
        <v>2002546</v>
      </c>
      <c r="C445" s="82">
        <v>107206</v>
      </c>
      <c r="D445" s="82" t="s">
        <v>1493</v>
      </c>
      <c r="E445" s="82">
        <v>63</v>
      </c>
      <c r="F445" s="82" t="str">
        <f>IF(E445&lt;=20,"0-19",
IF(E445&lt;=50,"20-49",
IF(E445&lt;=80,"50-79","80+")))</f>
        <v>50-79</v>
      </c>
      <c r="G445" s="82" t="s">
        <v>1494</v>
      </c>
      <c r="H445" s="82" t="s">
        <v>15</v>
      </c>
      <c r="I445" s="82" t="s">
        <v>1495</v>
      </c>
      <c r="J445" s="114" t="s">
        <v>2546</v>
      </c>
      <c r="K445" s="82" t="s">
        <v>901</v>
      </c>
      <c r="L445" s="82" t="s">
        <v>1288</v>
      </c>
      <c r="M445" s="82">
        <v>11</v>
      </c>
      <c r="N445" s="84">
        <v>174027.96</v>
      </c>
      <c r="O445" s="82" t="s">
        <v>832</v>
      </c>
      <c r="P445" s="171"/>
      <c r="Q445" s="210"/>
    </row>
    <row r="446" spans="1:17" ht="21" x14ac:dyDescent="0.2">
      <c r="A446" s="139" t="s">
        <v>38</v>
      </c>
      <c r="B446" s="82">
        <v>2002890</v>
      </c>
      <c r="C446" s="82">
        <v>13580</v>
      </c>
      <c r="D446" s="82" t="s">
        <v>1099</v>
      </c>
      <c r="E446" s="82">
        <v>66</v>
      </c>
      <c r="F446" s="82" t="str">
        <f>IF(E446&lt;=20,"0-19",
IF(E446&lt;=50,"20-49",
IF(E446&lt;=80,"50-79","80+")))</f>
        <v>50-79</v>
      </c>
      <c r="G446" s="82" t="s">
        <v>1100</v>
      </c>
      <c r="H446" s="82" t="s">
        <v>22</v>
      </c>
      <c r="I446" s="92" t="s">
        <v>1101</v>
      </c>
      <c r="J446" s="92" t="s">
        <v>2328</v>
      </c>
      <c r="K446" s="92" t="s">
        <v>108</v>
      </c>
      <c r="L446" s="82" t="s">
        <v>846</v>
      </c>
      <c r="M446" s="82">
        <v>11</v>
      </c>
      <c r="N446" s="84">
        <v>642785</v>
      </c>
      <c r="O446" s="82" t="s">
        <v>832</v>
      </c>
      <c r="P446" s="171"/>
      <c r="Q446" s="210"/>
    </row>
    <row r="447" spans="1:17" ht="21" x14ac:dyDescent="0.2">
      <c r="A447" s="139" t="s">
        <v>337</v>
      </c>
      <c r="B447" s="82">
        <v>2019617</v>
      </c>
      <c r="C447" s="82">
        <v>62874</v>
      </c>
      <c r="D447" s="82" t="s">
        <v>1103</v>
      </c>
      <c r="E447" s="82">
        <v>19</v>
      </c>
      <c r="F447" s="82" t="str">
        <f>IF(E447&lt;=20,"0-19",
IF(E447&lt;=50,"20-49",
IF(E447&lt;=80,"50-79","80+")))</f>
        <v>0-19</v>
      </c>
      <c r="G447" s="82" t="s">
        <v>60</v>
      </c>
      <c r="H447" s="82" t="s">
        <v>132</v>
      </c>
      <c r="I447" s="92" t="s">
        <v>1104</v>
      </c>
      <c r="J447" s="92" t="s">
        <v>2328</v>
      </c>
      <c r="K447" s="92" t="s">
        <v>31</v>
      </c>
      <c r="L447" s="82" t="s">
        <v>831</v>
      </c>
      <c r="M447" s="82">
        <v>11</v>
      </c>
      <c r="N447" s="84">
        <v>949084</v>
      </c>
      <c r="O447" s="82" t="s">
        <v>832</v>
      </c>
      <c r="P447" s="171"/>
      <c r="Q447" s="210"/>
    </row>
    <row r="448" spans="1:17" ht="21" x14ac:dyDescent="0.2">
      <c r="A448" s="104" t="s">
        <v>544</v>
      </c>
      <c r="B448" s="86">
        <v>2001361</v>
      </c>
      <c r="C448" s="87">
        <v>6678</v>
      </c>
      <c r="D448" s="86" t="s">
        <v>1829</v>
      </c>
      <c r="E448" s="86">
        <v>72</v>
      </c>
      <c r="F448" s="86" t="str">
        <f>IF(E448&lt;=20,"0-19",
IF(E448&lt;=50,"20-49",
IF(E448&lt;=80,"50-79","80+")))</f>
        <v>50-79</v>
      </c>
      <c r="G448" s="86" t="s">
        <v>1830</v>
      </c>
      <c r="H448" s="86" t="s">
        <v>22</v>
      </c>
      <c r="I448" s="86" t="s">
        <v>1831</v>
      </c>
      <c r="J448" s="86" t="s">
        <v>2328</v>
      </c>
      <c r="K448" s="86" t="s">
        <v>1249</v>
      </c>
      <c r="L448" s="86" t="s">
        <v>834</v>
      </c>
      <c r="M448" s="88">
        <v>11</v>
      </c>
      <c r="N448" s="164">
        <v>333812</v>
      </c>
      <c r="O448" s="164" t="s">
        <v>2254</v>
      </c>
      <c r="P448" s="168">
        <v>254716574617</v>
      </c>
      <c r="Q448" s="210"/>
    </row>
    <row r="449" spans="1:17" x14ac:dyDescent="0.2">
      <c r="A449" s="139" t="s">
        <v>1482</v>
      </c>
      <c r="B449" s="93">
        <v>2001808</v>
      </c>
      <c r="C449" s="82">
        <v>19290</v>
      </c>
      <c r="D449" s="93" t="s">
        <v>1096</v>
      </c>
      <c r="E449" s="93">
        <v>69</v>
      </c>
      <c r="F449" s="93" t="str">
        <f>IF(E449&lt;=20,"0-19",
IF(E449&lt;=50,"20-49",
IF(E449&lt;=80,"50-79","80+")))</f>
        <v>50-79</v>
      </c>
      <c r="G449" s="93" t="s">
        <v>1097</v>
      </c>
      <c r="H449" s="93" t="s">
        <v>22</v>
      </c>
      <c r="I449" s="93" t="s">
        <v>1098</v>
      </c>
      <c r="J449" s="93" t="s">
        <v>2314</v>
      </c>
      <c r="K449" s="93" t="s">
        <v>873</v>
      </c>
      <c r="L449" s="93" t="s">
        <v>909</v>
      </c>
      <c r="M449" s="93">
        <v>11</v>
      </c>
      <c r="N449" s="94">
        <v>136236</v>
      </c>
      <c r="O449" s="82" t="s">
        <v>832</v>
      </c>
      <c r="P449" s="170"/>
      <c r="Q449" s="210"/>
    </row>
    <row r="450" spans="1:17" ht="21" x14ac:dyDescent="0.2">
      <c r="A450" s="105" t="s">
        <v>19</v>
      </c>
      <c r="B450" s="82">
        <v>2002482</v>
      </c>
      <c r="C450" s="82">
        <v>14794</v>
      </c>
      <c r="D450" s="82" t="s">
        <v>1785</v>
      </c>
      <c r="E450" s="82">
        <v>67</v>
      </c>
      <c r="F450" s="82" t="str">
        <f>IF(E450&lt;=20,"0-19",
IF(E450&lt;=50,"20-49",
IF(E450&lt;=80,"50-79","80+")))</f>
        <v>50-79</v>
      </c>
      <c r="G450" s="82" t="s">
        <v>1786</v>
      </c>
      <c r="H450" s="82" t="s">
        <v>22</v>
      </c>
      <c r="I450" s="92" t="s">
        <v>1787</v>
      </c>
      <c r="J450" s="92" t="s">
        <v>2314</v>
      </c>
      <c r="K450" s="82" t="s">
        <v>1594</v>
      </c>
      <c r="L450" s="82" t="s">
        <v>1567</v>
      </c>
      <c r="M450" s="82">
        <v>11</v>
      </c>
      <c r="N450" s="151">
        <v>241144</v>
      </c>
      <c r="O450" s="151" t="s">
        <v>2254</v>
      </c>
      <c r="P450" s="152">
        <v>254726800511</v>
      </c>
      <c r="Q450" s="210"/>
    </row>
    <row r="451" spans="1:17" x14ac:dyDescent="0.2">
      <c r="A451" s="105" t="s">
        <v>53</v>
      </c>
      <c r="B451" s="82">
        <v>2008867</v>
      </c>
      <c r="C451" s="82">
        <v>101493</v>
      </c>
      <c r="D451" s="82" t="s">
        <v>743</v>
      </c>
      <c r="E451" s="82">
        <v>62</v>
      </c>
      <c r="F451" s="82" t="str">
        <f>IF(E451&lt;=20,"0-19",
IF(E451&lt;=50,"20-49",
IF(E451&lt;=80,"50-79","80+")))</f>
        <v>50-79</v>
      </c>
      <c r="G451" s="82" t="s">
        <v>1520</v>
      </c>
      <c r="H451" s="82" t="s">
        <v>15</v>
      </c>
      <c r="I451" s="92" t="s">
        <v>1869</v>
      </c>
      <c r="J451" s="114" t="s">
        <v>2270</v>
      </c>
      <c r="K451" s="82" t="s">
        <v>1870</v>
      </c>
      <c r="L451" s="82" t="s">
        <v>1589</v>
      </c>
      <c r="M451" s="82">
        <v>11</v>
      </c>
      <c r="N451" s="151">
        <v>750113</v>
      </c>
      <c r="O451" s="151" t="s">
        <v>2254</v>
      </c>
      <c r="P451" s="152">
        <v>254718913055</v>
      </c>
      <c r="Q451" s="210"/>
    </row>
    <row r="452" spans="1:17" x14ac:dyDescent="0.2">
      <c r="A452" s="139" t="s">
        <v>522</v>
      </c>
      <c r="B452" s="113">
        <v>202056</v>
      </c>
      <c r="C452" s="113">
        <v>78023</v>
      </c>
      <c r="D452" s="114" t="s">
        <v>538</v>
      </c>
      <c r="E452" s="113">
        <v>42</v>
      </c>
      <c r="F452" s="113" t="str">
        <f>IF(E452&lt;=20,"0-19",
IF(E452&lt;=50,"20-49",
IF(E452&lt;=80,"50-79","80+")))</f>
        <v>20-49</v>
      </c>
      <c r="G452" s="113" t="s">
        <v>539</v>
      </c>
      <c r="H452" s="113" t="s">
        <v>22</v>
      </c>
      <c r="I452" s="114" t="s">
        <v>540</v>
      </c>
      <c r="J452" s="114" t="s">
        <v>2314</v>
      </c>
      <c r="K452" s="114" t="s">
        <v>103</v>
      </c>
      <c r="L452" s="113" t="s">
        <v>52</v>
      </c>
      <c r="M452" s="114">
        <v>11</v>
      </c>
      <c r="N452" s="115">
        <v>83422.33</v>
      </c>
      <c r="O452" s="82" t="s">
        <v>18</v>
      </c>
      <c r="P452" s="170"/>
      <c r="Q452" s="210"/>
    </row>
    <row r="453" spans="1:17" ht="21" x14ac:dyDescent="0.2">
      <c r="A453" s="139" t="s">
        <v>212</v>
      </c>
      <c r="B453" s="92">
        <v>2014542</v>
      </c>
      <c r="C453" s="82">
        <v>15484</v>
      </c>
      <c r="D453" s="92" t="s">
        <v>1282</v>
      </c>
      <c r="E453" s="92">
        <v>57</v>
      </c>
      <c r="F453" s="92" t="str">
        <f>IF(E453&lt;=20,"0-19",
IF(E453&lt;=50,"20-49",
IF(E453&lt;=80,"50-79","80+")))</f>
        <v>50-79</v>
      </c>
      <c r="G453" s="92" t="s">
        <v>1283</v>
      </c>
      <c r="H453" s="92" t="s">
        <v>15</v>
      </c>
      <c r="I453" s="92" t="s">
        <v>2360</v>
      </c>
      <c r="J453" s="92" t="s">
        <v>2275</v>
      </c>
      <c r="K453" s="92" t="s">
        <v>1236</v>
      </c>
      <c r="L453" s="93" t="s">
        <v>1254</v>
      </c>
      <c r="M453" s="93">
        <v>12</v>
      </c>
      <c r="N453" s="94">
        <v>194295</v>
      </c>
      <c r="O453" s="82" t="s">
        <v>832</v>
      </c>
      <c r="P453" s="170"/>
      <c r="Q453" s="210"/>
    </row>
    <row r="454" spans="1:17" x14ac:dyDescent="0.2">
      <c r="A454" s="139" t="s">
        <v>1237</v>
      </c>
      <c r="B454" s="82">
        <v>2020047</v>
      </c>
      <c r="C454" s="82">
        <v>83597</v>
      </c>
      <c r="D454" s="82" t="s">
        <v>1239</v>
      </c>
      <c r="E454" s="82">
        <v>8</v>
      </c>
      <c r="F454" s="82" t="str">
        <f>IF(E454&lt;=20,"0-19",
IF(E454&lt;=50,"20-49",
IF(E454&lt;=80,"50-79","80+")))</f>
        <v>0-19</v>
      </c>
      <c r="G454" s="82" t="s">
        <v>438</v>
      </c>
      <c r="H454" s="82" t="s">
        <v>132</v>
      </c>
      <c r="I454" s="92" t="s">
        <v>1240</v>
      </c>
      <c r="J454" s="114" t="s">
        <v>2546</v>
      </c>
      <c r="K454" s="92" t="s">
        <v>846</v>
      </c>
      <c r="L454" s="92" t="s">
        <v>1241</v>
      </c>
      <c r="M454" s="82">
        <v>12</v>
      </c>
      <c r="N454" s="84">
        <v>377178</v>
      </c>
      <c r="O454" s="82" t="s">
        <v>832</v>
      </c>
      <c r="P454" s="171"/>
      <c r="Q454" s="210"/>
    </row>
    <row r="455" spans="1:17" x14ac:dyDescent="0.2">
      <c r="A455" s="139" t="s">
        <v>1503</v>
      </c>
      <c r="B455" s="82">
        <v>2008867</v>
      </c>
      <c r="C455" s="82">
        <v>101493</v>
      </c>
      <c r="D455" s="82" t="s">
        <v>1519</v>
      </c>
      <c r="E455" s="82">
        <v>62</v>
      </c>
      <c r="F455" s="82" t="str">
        <f>IF(E455&lt;=20,"0-19",
IF(E455&lt;=50,"20-49",
IF(E455&lt;=80,"50-79","80+")))</f>
        <v>50-79</v>
      </c>
      <c r="G455" s="82" t="s">
        <v>1520</v>
      </c>
      <c r="H455" s="82" t="s">
        <v>15</v>
      </c>
      <c r="I455" s="82" t="s">
        <v>1521</v>
      </c>
      <c r="J455" s="82" t="s">
        <v>2270</v>
      </c>
      <c r="K455" s="82" t="s">
        <v>880</v>
      </c>
      <c r="L455" s="82" t="s">
        <v>1236</v>
      </c>
      <c r="M455" s="82">
        <v>12</v>
      </c>
      <c r="N455" s="84">
        <v>357723</v>
      </c>
      <c r="O455" s="82" t="s">
        <v>832</v>
      </c>
      <c r="P455" s="170"/>
      <c r="Q455" s="210"/>
    </row>
    <row r="456" spans="1:17" ht="21" x14ac:dyDescent="0.2">
      <c r="A456" s="139" t="s">
        <v>1417</v>
      </c>
      <c r="B456" s="82">
        <v>2402026</v>
      </c>
      <c r="C456" s="82">
        <v>56018</v>
      </c>
      <c r="D456" s="82" t="s">
        <v>1418</v>
      </c>
      <c r="E456" s="82">
        <v>59</v>
      </c>
      <c r="F456" s="82" t="str">
        <f>IF(E456&lt;=20,"0-19",
IF(E456&lt;=50,"20-49",
IF(E456&lt;=80,"50-79","80+")))</f>
        <v>50-79</v>
      </c>
      <c r="G456" s="82" t="s">
        <v>1419</v>
      </c>
      <c r="H456" s="82" t="s">
        <v>15</v>
      </c>
      <c r="I456" s="82" t="s">
        <v>1420</v>
      </c>
      <c r="J456" s="114" t="s">
        <v>2328</v>
      </c>
      <c r="K456" s="82" t="s">
        <v>909</v>
      </c>
      <c r="L456" s="82" t="s">
        <v>1231</v>
      </c>
      <c r="M456" s="82">
        <v>12</v>
      </c>
      <c r="N456" s="84">
        <v>512380</v>
      </c>
      <c r="O456" s="82" t="s">
        <v>832</v>
      </c>
      <c r="P456" s="170"/>
      <c r="Q456" s="210"/>
    </row>
    <row r="457" spans="1:17" x14ac:dyDescent="0.2">
      <c r="A457" s="105" t="s">
        <v>19</v>
      </c>
      <c r="B457" s="82">
        <v>2008980</v>
      </c>
      <c r="C457" s="82">
        <v>59457</v>
      </c>
      <c r="D457" s="82" t="s">
        <v>1838</v>
      </c>
      <c r="E457" s="82">
        <v>65</v>
      </c>
      <c r="F457" s="82" t="str">
        <f>IF(E457&lt;=20,"0-19",
IF(E457&lt;=50,"20-49",
IF(E457&lt;=80,"50-79","80+")))</f>
        <v>50-79</v>
      </c>
      <c r="G457" s="82" t="s">
        <v>314</v>
      </c>
      <c r="H457" s="82" t="s">
        <v>15</v>
      </c>
      <c r="I457" s="92" t="s">
        <v>1839</v>
      </c>
      <c r="J457" s="114" t="s">
        <v>2275</v>
      </c>
      <c r="K457" s="82" t="s">
        <v>1562</v>
      </c>
      <c r="L457" s="82" t="s">
        <v>1675</v>
      </c>
      <c r="M457" s="82">
        <v>13</v>
      </c>
      <c r="N457" s="151">
        <v>369816</v>
      </c>
      <c r="O457" s="151" t="s">
        <v>2254</v>
      </c>
      <c r="P457" s="152">
        <v>254722680420</v>
      </c>
      <c r="Q457" s="210"/>
    </row>
    <row r="458" spans="1:17" ht="21" x14ac:dyDescent="0.2">
      <c r="A458" s="104" t="s">
        <v>856</v>
      </c>
      <c r="B458" s="87">
        <v>2002660</v>
      </c>
      <c r="C458" s="87">
        <v>10320</v>
      </c>
      <c r="D458" s="87" t="s">
        <v>1871</v>
      </c>
      <c r="E458" s="87">
        <v>71</v>
      </c>
      <c r="F458" s="87" t="str">
        <f>IF(E458&lt;=20,"0-19",
IF(E458&lt;=50,"20-49",
IF(E458&lt;=80,"50-79","80+")))</f>
        <v>50-79</v>
      </c>
      <c r="G458" s="87" t="s">
        <v>1872</v>
      </c>
      <c r="H458" s="87" t="s">
        <v>22</v>
      </c>
      <c r="I458" s="86" t="s">
        <v>1873</v>
      </c>
      <c r="J458" s="86" t="s">
        <v>2275</v>
      </c>
      <c r="K458" s="87" t="s">
        <v>1232</v>
      </c>
      <c r="L458" s="87" t="s">
        <v>1589</v>
      </c>
      <c r="M458" s="87">
        <v>13</v>
      </c>
      <c r="N458" s="161">
        <v>762725.45</v>
      </c>
      <c r="O458" s="161" t="s">
        <v>2254</v>
      </c>
      <c r="P458" s="168">
        <v>254745782670</v>
      </c>
      <c r="Q458" s="210"/>
    </row>
    <row r="459" spans="1:17" x14ac:dyDescent="0.2">
      <c r="A459" s="104" t="s">
        <v>354</v>
      </c>
      <c r="B459" s="86">
        <v>2001529</v>
      </c>
      <c r="C459" s="87">
        <v>4598</v>
      </c>
      <c r="D459" s="86" t="s">
        <v>2191</v>
      </c>
      <c r="E459" s="86">
        <v>72</v>
      </c>
      <c r="F459" s="86" t="str">
        <f>IF(E459&lt;=20,"0-19",
IF(E459&lt;=50,"20-49",
IF(E459&lt;=80,"50-79","80+")))</f>
        <v>50-79</v>
      </c>
      <c r="G459" s="86" t="s">
        <v>2192</v>
      </c>
      <c r="H459" s="86" t="s">
        <v>22</v>
      </c>
      <c r="I459" s="86" t="s">
        <v>2193</v>
      </c>
      <c r="J459" s="86" t="s">
        <v>2275</v>
      </c>
      <c r="K459" s="86" t="s">
        <v>1567</v>
      </c>
      <c r="L459" s="88" t="s">
        <v>1906</v>
      </c>
      <c r="M459" s="88">
        <v>14</v>
      </c>
      <c r="N459" s="163">
        <v>224510.89</v>
      </c>
      <c r="O459" s="163" t="s">
        <v>2254</v>
      </c>
      <c r="P459" s="168">
        <v>254722975509</v>
      </c>
      <c r="Q459" s="210"/>
    </row>
    <row r="460" spans="1:17" x14ac:dyDescent="0.2">
      <c r="A460" s="105" t="s">
        <v>72</v>
      </c>
      <c r="B460" s="82">
        <v>2002534</v>
      </c>
      <c r="C460" s="82">
        <v>9231</v>
      </c>
      <c r="D460" s="82" t="s">
        <v>2223</v>
      </c>
      <c r="E460" s="82">
        <v>69</v>
      </c>
      <c r="F460" s="82" t="str">
        <f>IF(E460&lt;=20,"0-19",
IF(E460&lt;=50,"20-49",
IF(E460&lt;=80,"50-79","80+")))</f>
        <v>50-79</v>
      </c>
      <c r="G460" s="82" t="s">
        <v>1442</v>
      </c>
      <c r="H460" s="82" t="s">
        <v>22</v>
      </c>
      <c r="I460" s="82" t="s">
        <v>2224</v>
      </c>
      <c r="J460" s="82" t="s">
        <v>2288</v>
      </c>
      <c r="K460" s="92" t="s">
        <v>1562</v>
      </c>
      <c r="L460" s="82" t="s">
        <v>1908</v>
      </c>
      <c r="M460" s="82">
        <v>14</v>
      </c>
      <c r="N460" s="151">
        <v>413618.4</v>
      </c>
      <c r="O460" s="151" t="s">
        <v>2254</v>
      </c>
      <c r="P460" s="152">
        <v>254759231438</v>
      </c>
      <c r="Q460" s="210"/>
    </row>
    <row r="461" spans="1:17" ht="21" x14ac:dyDescent="0.2">
      <c r="A461" s="139" t="s">
        <v>856</v>
      </c>
      <c r="B461" s="92">
        <v>2006553</v>
      </c>
      <c r="C461" s="82">
        <v>100752</v>
      </c>
      <c r="D461" s="92" t="s">
        <v>1131</v>
      </c>
      <c r="E461" s="92">
        <v>63</v>
      </c>
      <c r="F461" s="92" t="str">
        <f>IF(E461&lt;=20,"0-19",
IF(E461&lt;=50,"20-49",
IF(E461&lt;=80,"50-79","80+")))</f>
        <v>50-79</v>
      </c>
      <c r="G461" s="92" t="s">
        <v>1353</v>
      </c>
      <c r="H461" s="92" t="s">
        <v>15</v>
      </c>
      <c r="I461" s="92" t="s">
        <v>1354</v>
      </c>
      <c r="J461" s="92" t="s">
        <v>2288</v>
      </c>
      <c r="K461" s="92" t="s">
        <v>860</v>
      </c>
      <c r="L461" s="92" t="s">
        <v>1254</v>
      </c>
      <c r="M461" s="92">
        <v>14</v>
      </c>
      <c r="N461" s="94">
        <v>772980</v>
      </c>
      <c r="O461" s="82" t="s">
        <v>832</v>
      </c>
      <c r="P461" s="170"/>
      <c r="Q461" s="210"/>
    </row>
    <row r="462" spans="1:17" ht="21" x14ac:dyDescent="0.2">
      <c r="A462" s="105" t="s">
        <v>53</v>
      </c>
      <c r="B462" s="82">
        <v>2001006</v>
      </c>
      <c r="C462" s="82">
        <v>18347</v>
      </c>
      <c r="D462" s="82" t="s">
        <v>607</v>
      </c>
      <c r="E462" s="82">
        <v>69</v>
      </c>
      <c r="F462" s="82" t="str">
        <f>IF(E462&lt;=20,"0-19",
IF(E462&lt;=50,"20-49",
IF(E462&lt;=80,"50-79","80+")))</f>
        <v>50-79</v>
      </c>
      <c r="G462" s="82" t="s">
        <v>520</v>
      </c>
      <c r="H462" s="82" t="s">
        <v>22</v>
      </c>
      <c r="I462" s="82" t="s">
        <v>2238</v>
      </c>
      <c r="J462" s="82" t="s">
        <v>2270</v>
      </c>
      <c r="K462" s="92" t="s">
        <v>2239</v>
      </c>
      <c r="L462" s="82" t="s">
        <v>1913</v>
      </c>
      <c r="M462" s="82">
        <v>14</v>
      </c>
      <c r="N462" s="151">
        <v>757994</v>
      </c>
      <c r="O462" s="151" t="s">
        <v>2254</v>
      </c>
      <c r="P462" s="152">
        <v>254722828789</v>
      </c>
      <c r="Q462" s="210"/>
    </row>
    <row r="463" spans="1:17" ht="21" x14ac:dyDescent="0.2">
      <c r="A463" s="104" t="s">
        <v>72</v>
      </c>
      <c r="B463" s="87">
        <v>2005039</v>
      </c>
      <c r="C463" s="87">
        <v>13172</v>
      </c>
      <c r="D463" s="87" t="s">
        <v>541</v>
      </c>
      <c r="E463" s="86">
        <v>65</v>
      </c>
      <c r="F463" s="86" t="str">
        <f>IF(E463&lt;=20,"0-19",
IF(E463&lt;=50,"20-49",
IF(E463&lt;=80,"50-79","80+")))</f>
        <v>50-79</v>
      </c>
      <c r="G463" s="87" t="s">
        <v>542</v>
      </c>
      <c r="H463" s="87" t="s">
        <v>15</v>
      </c>
      <c r="I463" s="87" t="s">
        <v>543</v>
      </c>
      <c r="J463" s="114" t="s">
        <v>2328</v>
      </c>
      <c r="K463" s="86" t="s">
        <v>51</v>
      </c>
      <c r="L463" s="86" t="s">
        <v>67</v>
      </c>
      <c r="M463" s="87">
        <v>14</v>
      </c>
      <c r="N463" s="97">
        <v>961520</v>
      </c>
      <c r="O463" s="87" t="s">
        <v>18</v>
      </c>
      <c r="P463" s="171"/>
      <c r="Q463" s="210"/>
    </row>
    <row r="464" spans="1:17" x14ac:dyDescent="0.2">
      <c r="A464" s="108" t="s">
        <v>228</v>
      </c>
      <c r="B464" s="87">
        <v>2501066</v>
      </c>
      <c r="C464" s="87">
        <v>93352</v>
      </c>
      <c r="D464" s="87" t="s">
        <v>2182</v>
      </c>
      <c r="E464" s="87">
        <v>38</v>
      </c>
      <c r="F464" s="87" t="str">
        <f>IF(E464&lt;=20,"0-19",
IF(E464&lt;=50,"20-49",
IF(E464&lt;=80,"50-79","80+")))</f>
        <v>20-49</v>
      </c>
      <c r="G464" s="87" t="s">
        <v>2183</v>
      </c>
      <c r="H464" s="87" t="s">
        <v>22</v>
      </c>
      <c r="I464" s="87" t="s">
        <v>471</v>
      </c>
      <c r="J464" s="114" t="s">
        <v>2314</v>
      </c>
      <c r="K464" s="86" t="s">
        <v>1542</v>
      </c>
      <c r="L464" s="87" t="s">
        <v>1895</v>
      </c>
      <c r="M464" s="87">
        <v>14</v>
      </c>
      <c r="N464" s="161">
        <v>207033.3</v>
      </c>
      <c r="O464" s="161" t="s">
        <v>2254</v>
      </c>
      <c r="P464" s="168">
        <v>254711864528</v>
      </c>
      <c r="Q464" s="210"/>
    </row>
    <row r="465" spans="1:17" x14ac:dyDescent="0.2">
      <c r="A465" s="103" t="s">
        <v>544</v>
      </c>
      <c r="B465" s="82">
        <v>2004049</v>
      </c>
      <c r="C465" s="82">
        <v>18559</v>
      </c>
      <c r="D465" s="82" t="s">
        <v>545</v>
      </c>
      <c r="E465" s="92">
        <v>71</v>
      </c>
      <c r="F465" s="92" t="str">
        <f>IF(E465&lt;=20,"0-19",
IF(E465&lt;=50,"20-49",
IF(E465&lt;=80,"50-79","80+")))</f>
        <v>50-79</v>
      </c>
      <c r="G465" s="82" t="s">
        <v>546</v>
      </c>
      <c r="H465" s="82" t="s">
        <v>22</v>
      </c>
      <c r="I465" s="82" t="s">
        <v>547</v>
      </c>
      <c r="J465" s="114" t="s">
        <v>2546</v>
      </c>
      <c r="K465" s="92" t="s">
        <v>52</v>
      </c>
      <c r="L465" s="92" t="s">
        <v>62</v>
      </c>
      <c r="M465" s="82">
        <v>14</v>
      </c>
      <c r="N465" s="101">
        <v>1326407</v>
      </c>
      <c r="O465" s="82" t="s">
        <v>18</v>
      </c>
      <c r="P465" s="170"/>
      <c r="Q465" s="210"/>
    </row>
    <row r="466" spans="1:17" ht="21" x14ac:dyDescent="0.2">
      <c r="A466" s="139" t="s">
        <v>1430</v>
      </c>
      <c r="B466" s="92">
        <v>2003072</v>
      </c>
      <c r="C466" s="82">
        <v>104118</v>
      </c>
      <c r="D466" s="92" t="s">
        <v>1431</v>
      </c>
      <c r="E466" s="92">
        <v>66</v>
      </c>
      <c r="F466" s="92" t="str">
        <f>IF(E466&lt;=20,"0-19",
IF(E466&lt;=50,"20-49",
IF(E466&lt;=80,"50-79","80+")))</f>
        <v>50-79</v>
      </c>
      <c r="G466" s="92" t="s">
        <v>1432</v>
      </c>
      <c r="H466" s="92" t="s">
        <v>22</v>
      </c>
      <c r="I466" s="92" t="s">
        <v>1433</v>
      </c>
      <c r="J466" s="92" t="s">
        <v>2275</v>
      </c>
      <c r="K466" s="92" t="s">
        <v>1434</v>
      </c>
      <c r="L466" s="92" t="s">
        <v>1225</v>
      </c>
      <c r="M466" s="92">
        <v>15</v>
      </c>
      <c r="N466" s="101">
        <v>478348.63</v>
      </c>
      <c r="O466" s="82" t="s">
        <v>832</v>
      </c>
      <c r="P466" s="170"/>
      <c r="Q466" s="210"/>
    </row>
    <row r="467" spans="1:17" x14ac:dyDescent="0.2">
      <c r="A467" s="138" t="s">
        <v>228</v>
      </c>
      <c r="B467" s="87">
        <v>2501032</v>
      </c>
      <c r="C467" s="87">
        <v>19598</v>
      </c>
      <c r="D467" s="87" t="s">
        <v>548</v>
      </c>
      <c r="E467" s="86">
        <v>44</v>
      </c>
      <c r="F467" s="86" t="str">
        <f>IF(E467&lt;=20,"0-19",
IF(E467&lt;=50,"20-49",
IF(E467&lt;=80,"50-79","80+")))</f>
        <v>20-49</v>
      </c>
      <c r="G467" s="87" t="s">
        <v>549</v>
      </c>
      <c r="H467" s="87" t="s">
        <v>22</v>
      </c>
      <c r="I467" s="87" t="s">
        <v>550</v>
      </c>
      <c r="J467" s="114" t="s">
        <v>2311</v>
      </c>
      <c r="K467" s="86" t="s">
        <v>24</v>
      </c>
      <c r="L467" s="86" t="s">
        <v>95</v>
      </c>
      <c r="M467" s="87">
        <v>15</v>
      </c>
      <c r="N467" s="97">
        <v>364420.36</v>
      </c>
      <c r="O467" s="87" t="s">
        <v>18</v>
      </c>
      <c r="P467" s="171"/>
      <c r="Q467" s="210"/>
    </row>
    <row r="468" spans="1:17" x14ac:dyDescent="0.2">
      <c r="A468" s="139" t="s">
        <v>53</v>
      </c>
      <c r="B468" s="82">
        <v>2000086</v>
      </c>
      <c r="C468" s="82">
        <v>17770</v>
      </c>
      <c r="D468" s="82" t="s">
        <v>551</v>
      </c>
      <c r="E468" s="92">
        <v>72</v>
      </c>
      <c r="F468" s="92" t="str">
        <f>IF(E468&lt;=20,"0-19",
IF(E468&lt;=50,"20-49",
IF(E468&lt;=80,"50-79","80+")))</f>
        <v>50-79</v>
      </c>
      <c r="G468" s="82" t="s">
        <v>552</v>
      </c>
      <c r="H468" s="82" t="s">
        <v>22</v>
      </c>
      <c r="I468" s="82" t="s">
        <v>553</v>
      </c>
      <c r="J468" s="82" t="s">
        <v>2270</v>
      </c>
      <c r="K468" s="92" t="s">
        <v>25</v>
      </c>
      <c r="L468" s="92" t="s">
        <v>66</v>
      </c>
      <c r="M468" s="82">
        <v>15</v>
      </c>
      <c r="N468" s="101">
        <v>612546</v>
      </c>
      <c r="O468" s="82" t="s">
        <v>18</v>
      </c>
      <c r="P468" s="170"/>
      <c r="Q468" s="210"/>
    </row>
    <row r="469" spans="1:17" x14ac:dyDescent="0.2">
      <c r="A469" s="105" t="s">
        <v>354</v>
      </c>
      <c r="B469" s="82">
        <v>2507448</v>
      </c>
      <c r="C469" s="82">
        <v>81740</v>
      </c>
      <c r="D469" s="82" t="s">
        <v>2134</v>
      </c>
      <c r="E469" s="82">
        <v>42</v>
      </c>
      <c r="F469" s="82" t="str">
        <f>IF(E469&lt;=20,"0-19",
IF(E469&lt;=50,"20-49",
IF(E469&lt;=80,"50-79","80+")))</f>
        <v>20-49</v>
      </c>
      <c r="G469" s="82" t="s">
        <v>2135</v>
      </c>
      <c r="H469" s="82" t="s">
        <v>22</v>
      </c>
      <c r="I469" s="82" t="s">
        <v>2136</v>
      </c>
      <c r="J469" s="114" t="s">
        <v>2311</v>
      </c>
      <c r="K469" s="92" t="s">
        <v>1675</v>
      </c>
      <c r="L469" s="82" t="s">
        <v>1922</v>
      </c>
      <c r="M469" s="82">
        <v>16</v>
      </c>
      <c r="N469" s="151">
        <v>152675.9</v>
      </c>
      <c r="O469" s="151" t="s">
        <v>2254</v>
      </c>
      <c r="P469" s="152">
        <v>254722787610</v>
      </c>
      <c r="Q469" s="210"/>
    </row>
    <row r="470" spans="1:17" ht="21" x14ac:dyDescent="0.2">
      <c r="A470" s="108" t="s">
        <v>354</v>
      </c>
      <c r="B470" s="87">
        <v>2019550</v>
      </c>
      <c r="C470" s="87">
        <v>60099</v>
      </c>
      <c r="D470" s="87" t="s">
        <v>575</v>
      </c>
      <c r="E470" s="86">
        <v>62</v>
      </c>
      <c r="F470" s="86" t="str">
        <f>IF(E470&lt;=20,"0-19",
IF(E470&lt;=50,"20-49",
IF(E470&lt;=80,"50-79","80+")))</f>
        <v>50-79</v>
      </c>
      <c r="G470" s="87" t="s">
        <v>576</v>
      </c>
      <c r="H470" s="87" t="s">
        <v>22</v>
      </c>
      <c r="I470" s="87" t="s">
        <v>577</v>
      </c>
      <c r="J470" s="82" t="s">
        <v>2270</v>
      </c>
      <c r="K470" s="86" t="s">
        <v>578</v>
      </c>
      <c r="L470" s="86" t="s">
        <v>154</v>
      </c>
      <c r="M470" s="87">
        <v>17</v>
      </c>
      <c r="N470" s="97">
        <v>315970</v>
      </c>
      <c r="O470" s="87" t="s">
        <v>18</v>
      </c>
      <c r="P470" s="171"/>
      <c r="Q470" s="210"/>
    </row>
    <row r="471" spans="1:17" x14ac:dyDescent="0.2">
      <c r="A471" s="139" t="s">
        <v>68</v>
      </c>
      <c r="B471" s="92">
        <v>2512234</v>
      </c>
      <c r="C471" s="82">
        <v>62162</v>
      </c>
      <c r="D471" s="92" t="s">
        <v>1408</v>
      </c>
      <c r="E471" s="92">
        <v>15</v>
      </c>
      <c r="F471" s="92" t="str">
        <f>IF(E471&lt;=20,"0-19",
IF(E471&lt;=50,"20-49",
IF(E471&lt;=80,"50-79","80+")))</f>
        <v>0-19</v>
      </c>
      <c r="G471" s="92" t="s">
        <v>49</v>
      </c>
      <c r="H471" s="92" t="s">
        <v>132</v>
      </c>
      <c r="I471" s="92" t="s">
        <v>1409</v>
      </c>
      <c r="J471" s="114" t="s">
        <v>2546</v>
      </c>
      <c r="K471" s="92" t="s">
        <v>901</v>
      </c>
      <c r="L471" s="92" t="s">
        <v>1264</v>
      </c>
      <c r="M471" s="92">
        <v>18</v>
      </c>
      <c r="N471" s="101">
        <v>562593</v>
      </c>
      <c r="O471" s="82" t="s">
        <v>832</v>
      </c>
      <c r="P471" s="170"/>
      <c r="Q471" s="210"/>
    </row>
    <row r="472" spans="1:17" x14ac:dyDescent="0.2">
      <c r="A472" s="139" t="s">
        <v>228</v>
      </c>
      <c r="B472" s="82">
        <v>2505152</v>
      </c>
      <c r="C472" s="82">
        <v>67191</v>
      </c>
      <c r="D472" s="82" t="s">
        <v>39</v>
      </c>
      <c r="E472" s="82">
        <v>57</v>
      </c>
      <c r="F472" s="82" t="str">
        <f>IF(E472&lt;=20,"0-19",
IF(E472&lt;=50,"20-49",
IF(E472&lt;=80,"50-79","80+")))</f>
        <v>50-79</v>
      </c>
      <c r="G472" s="82" t="s">
        <v>40</v>
      </c>
      <c r="H472" s="82" t="s">
        <v>22</v>
      </c>
      <c r="I472" s="92" t="s">
        <v>1105</v>
      </c>
      <c r="J472" s="114" t="s">
        <v>2311</v>
      </c>
      <c r="K472" s="92" t="s">
        <v>78</v>
      </c>
      <c r="L472" s="82" t="s">
        <v>834</v>
      </c>
      <c r="M472" s="82">
        <v>19</v>
      </c>
      <c r="N472" s="84">
        <v>288937.64</v>
      </c>
      <c r="O472" s="82" t="s">
        <v>832</v>
      </c>
      <c r="P472" s="171"/>
      <c r="Q472" s="210"/>
    </row>
    <row r="473" spans="1:17" x14ac:dyDescent="0.2">
      <c r="A473" s="139" t="s">
        <v>856</v>
      </c>
      <c r="B473" s="92">
        <v>2001872</v>
      </c>
      <c r="C473" s="82">
        <v>13663</v>
      </c>
      <c r="D473" s="92" t="s">
        <v>105</v>
      </c>
      <c r="E473" s="92">
        <v>65</v>
      </c>
      <c r="F473" s="92" t="str">
        <f>IF(E473&lt;=20,"0-19",
IF(E473&lt;=50,"20-49",
IF(E473&lt;=80,"50-79","80+")))</f>
        <v>50-79</v>
      </c>
      <c r="G473" s="92" t="s">
        <v>126</v>
      </c>
      <c r="H473" s="92" t="s">
        <v>22</v>
      </c>
      <c r="I473" s="92" t="s">
        <v>1342</v>
      </c>
      <c r="J473" s="92" t="s">
        <v>2288</v>
      </c>
      <c r="K473" s="92" t="s">
        <v>85</v>
      </c>
      <c r="L473" s="93" t="s">
        <v>1260</v>
      </c>
      <c r="M473" s="92">
        <v>20</v>
      </c>
      <c r="N473" s="101">
        <v>1398370.77</v>
      </c>
      <c r="O473" s="82" t="s">
        <v>832</v>
      </c>
      <c r="P473" s="171"/>
      <c r="Q473" s="210"/>
    </row>
    <row r="474" spans="1:17" ht="42" x14ac:dyDescent="0.2">
      <c r="A474" s="105" t="s">
        <v>856</v>
      </c>
      <c r="B474" s="92">
        <v>2001375</v>
      </c>
      <c r="C474" s="82">
        <v>17244</v>
      </c>
      <c r="D474" s="92" t="s">
        <v>1887</v>
      </c>
      <c r="E474" s="92">
        <v>83</v>
      </c>
      <c r="F474" s="92" t="str">
        <f>IF(E474&lt;=20,"0-19",
IF(E474&lt;=50,"20-49",
IF(E474&lt;=80,"50-79","80+")))</f>
        <v>80+</v>
      </c>
      <c r="G474" s="92" t="s">
        <v>488</v>
      </c>
      <c r="H474" s="92" t="s">
        <v>22</v>
      </c>
      <c r="I474" s="92" t="s">
        <v>1888</v>
      </c>
      <c r="J474" s="92" t="s">
        <v>2288</v>
      </c>
      <c r="K474" s="92" t="s">
        <v>1889</v>
      </c>
      <c r="L474" s="92" t="s">
        <v>1594</v>
      </c>
      <c r="M474" s="92">
        <v>20</v>
      </c>
      <c r="N474" s="159">
        <v>1580000</v>
      </c>
      <c r="O474" s="159" t="s">
        <v>2254</v>
      </c>
      <c r="P474" s="152">
        <v>254710645680</v>
      </c>
      <c r="Q474" s="210"/>
    </row>
    <row r="475" spans="1:17" x14ac:dyDescent="0.2">
      <c r="A475" s="105" t="s">
        <v>274</v>
      </c>
      <c r="B475" s="92">
        <v>2015924</v>
      </c>
      <c r="C475" s="82">
        <v>37303</v>
      </c>
      <c r="D475" s="92" t="s">
        <v>2149</v>
      </c>
      <c r="E475" s="92">
        <v>47</v>
      </c>
      <c r="F475" s="92" t="str">
        <f>IF(E475&lt;=20,"0-19",
IF(E475&lt;=50,"20-49",
IF(E475&lt;=80,"50-79","80+")))</f>
        <v>20-49</v>
      </c>
      <c r="G475" s="92" t="s">
        <v>2150</v>
      </c>
      <c r="H475" s="92" t="s">
        <v>22</v>
      </c>
      <c r="I475" s="92" t="s">
        <v>2151</v>
      </c>
      <c r="J475" s="114" t="s">
        <v>2311</v>
      </c>
      <c r="K475" s="92" t="s">
        <v>2265</v>
      </c>
      <c r="L475" s="92" t="s">
        <v>1928</v>
      </c>
      <c r="M475" s="92">
        <v>20</v>
      </c>
      <c r="N475" s="166">
        <v>166099.69</v>
      </c>
      <c r="O475" s="166" t="s">
        <v>2254</v>
      </c>
      <c r="P475" s="152">
        <v>254725560378</v>
      </c>
      <c r="Q475" s="210"/>
    </row>
    <row r="476" spans="1:17" ht="31.5" x14ac:dyDescent="0.2">
      <c r="A476" s="105" t="s">
        <v>544</v>
      </c>
      <c r="B476" s="82">
        <v>2009652</v>
      </c>
      <c r="C476" s="82">
        <v>10110</v>
      </c>
      <c r="D476" s="82" t="s">
        <v>2250</v>
      </c>
      <c r="E476" s="82">
        <v>56</v>
      </c>
      <c r="F476" s="82" t="str">
        <f>IF(E476&lt;=20,"0-19",
IF(E476&lt;=50,"20-49",
IF(E476&lt;=80,"50-79","80+")))</f>
        <v>50-79</v>
      </c>
      <c r="G476" s="82" t="s">
        <v>2251</v>
      </c>
      <c r="H476" s="82" t="s">
        <v>15</v>
      </c>
      <c r="I476" s="82" t="s">
        <v>2252</v>
      </c>
      <c r="J476" s="82" t="s">
        <v>2275</v>
      </c>
      <c r="K476" s="92" t="s">
        <v>2253</v>
      </c>
      <c r="L476" s="82" t="s">
        <v>2016</v>
      </c>
      <c r="M476" s="82">
        <v>21</v>
      </c>
      <c r="N476" s="151">
        <v>2000000</v>
      </c>
      <c r="O476" s="151" t="s">
        <v>2254</v>
      </c>
      <c r="P476" s="152">
        <v>254721872105</v>
      </c>
      <c r="Q476" s="210"/>
    </row>
    <row r="477" spans="1:17" x14ac:dyDescent="0.2">
      <c r="A477" s="103" t="s">
        <v>579</v>
      </c>
      <c r="B477" s="82">
        <v>2508213</v>
      </c>
      <c r="C477" s="82">
        <v>67872</v>
      </c>
      <c r="D477" s="82" t="s">
        <v>580</v>
      </c>
      <c r="E477" s="92">
        <v>19</v>
      </c>
      <c r="F477" s="92" t="str">
        <f>IF(E477&lt;=20,"0-19",
IF(E477&lt;=50,"20-49",
IF(E477&lt;=80,"50-79","80+")))</f>
        <v>0-19</v>
      </c>
      <c r="G477" s="82" t="s">
        <v>581</v>
      </c>
      <c r="H477" s="82" t="s">
        <v>132</v>
      </c>
      <c r="I477" s="82" t="s">
        <v>582</v>
      </c>
      <c r="J477" s="114" t="s">
        <v>2546</v>
      </c>
      <c r="K477" s="92" t="s">
        <v>583</v>
      </c>
      <c r="L477" s="92" t="s">
        <v>85</v>
      </c>
      <c r="M477" s="82">
        <v>21</v>
      </c>
      <c r="N477" s="101">
        <v>181815</v>
      </c>
      <c r="O477" s="82" t="s">
        <v>18</v>
      </c>
      <c r="P477" s="170"/>
      <c r="Q477" s="210"/>
    </row>
    <row r="478" spans="1:17" x14ac:dyDescent="0.2">
      <c r="A478" s="105" t="s">
        <v>354</v>
      </c>
      <c r="B478" s="82">
        <v>2003903</v>
      </c>
      <c r="C478" s="82">
        <v>12834</v>
      </c>
      <c r="D478" s="82" t="s">
        <v>2209</v>
      </c>
      <c r="E478" s="82">
        <v>67</v>
      </c>
      <c r="F478" s="82" t="str">
        <f>IF(E478&lt;=20,"0-19",
IF(E478&lt;=50,"20-49",
IF(E478&lt;=80,"50-79","80+")))</f>
        <v>50-79</v>
      </c>
      <c r="G478" s="82" t="s">
        <v>265</v>
      </c>
      <c r="H478" s="82" t="s">
        <v>664</v>
      </c>
      <c r="I478" s="82" t="s">
        <v>2210</v>
      </c>
      <c r="J478" s="82" t="s">
        <v>2283</v>
      </c>
      <c r="K478" s="92" t="s">
        <v>2211</v>
      </c>
      <c r="L478" s="82" t="s">
        <v>1913</v>
      </c>
      <c r="M478" s="82">
        <v>22</v>
      </c>
      <c r="N478" s="151">
        <v>339785.02</v>
      </c>
      <c r="O478" s="151" t="s">
        <v>2254</v>
      </c>
      <c r="P478" s="152">
        <v>254722505895</v>
      </c>
      <c r="Q478" s="210"/>
    </row>
    <row r="479" spans="1:17" ht="21" x14ac:dyDescent="0.2">
      <c r="A479" s="105" t="s">
        <v>354</v>
      </c>
      <c r="B479" s="93">
        <v>2020636</v>
      </c>
      <c r="C479" s="82">
        <v>18572</v>
      </c>
      <c r="D479" s="93" t="s">
        <v>968</v>
      </c>
      <c r="E479" s="93">
        <v>63</v>
      </c>
      <c r="F479" s="93" t="str">
        <f>IF(E479&lt;=20,"0-19",
IF(E479&lt;=50,"20-49",
IF(E479&lt;=80,"50-79","80+")))</f>
        <v>50-79</v>
      </c>
      <c r="G479" s="93" t="s">
        <v>969</v>
      </c>
      <c r="H479" s="93" t="s">
        <v>22</v>
      </c>
      <c r="I479" s="93" t="s">
        <v>1848</v>
      </c>
      <c r="J479" s="93" t="s">
        <v>2295</v>
      </c>
      <c r="K479" s="93" t="s">
        <v>2263</v>
      </c>
      <c r="L479" s="92" t="s">
        <v>1542</v>
      </c>
      <c r="M479" s="93">
        <v>23</v>
      </c>
      <c r="N479" s="166">
        <v>405877.22</v>
      </c>
      <c r="O479" s="166" t="s">
        <v>2254</v>
      </c>
      <c r="P479" s="152">
        <v>254720718885</v>
      </c>
      <c r="Q479" s="210"/>
    </row>
    <row r="480" spans="1:17" x14ac:dyDescent="0.2">
      <c r="A480" s="139" t="s">
        <v>43</v>
      </c>
      <c r="B480" s="82">
        <v>2002668</v>
      </c>
      <c r="C480" s="82">
        <v>17920</v>
      </c>
      <c r="D480" s="82" t="s">
        <v>1265</v>
      </c>
      <c r="E480" s="82">
        <v>66</v>
      </c>
      <c r="F480" s="82" t="str">
        <f>IF(E480&lt;=20,"0-19",
IF(E480&lt;=50,"20-49",
IF(E480&lt;=80,"50-79","80+")))</f>
        <v>50-79</v>
      </c>
      <c r="G480" s="82" t="s">
        <v>1317</v>
      </c>
      <c r="H480" s="82" t="s">
        <v>22</v>
      </c>
      <c r="I480" s="82" t="s">
        <v>1318</v>
      </c>
      <c r="J480" s="82" t="s">
        <v>2304</v>
      </c>
      <c r="K480" s="82" t="s">
        <v>1319</v>
      </c>
      <c r="L480" s="82" t="s">
        <v>1249</v>
      </c>
      <c r="M480" s="82">
        <v>24</v>
      </c>
      <c r="N480" s="84">
        <v>1929520</v>
      </c>
      <c r="O480" s="82" t="s">
        <v>832</v>
      </c>
      <c r="P480" s="170"/>
      <c r="Q480" s="210"/>
    </row>
    <row r="481" spans="1:17" x14ac:dyDescent="0.2">
      <c r="A481" s="139" t="s">
        <v>990</v>
      </c>
      <c r="B481" s="82">
        <v>2022800</v>
      </c>
      <c r="C481" s="82">
        <v>16631</v>
      </c>
      <c r="D481" s="82" t="s">
        <v>320</v>
      </c>
      <c r="E481" s="82">
        <v>57</v>
      </c>
      <c r="F481" s="82" t="str">
        <f>IF(E481&lt;=20,"0-19",
IF(E481&lt;=50,"20-49",
IF(E481&lt;=80,"50-79","80+")))</f>
        <v>50-79</v>
      </c>
      <c r="G481" s="82" t="s">
        <v>49</v>
      </c>
      <c r="H481" s="82" t="s">
        <v>15</v>
      </c>
      <c r="I481" s="92" t="s">
        <v>1261</v>
      </c>
      <c r="J481" s="92" t="s">
        <v>2270</v>
      </c>
      <c r="K481" s="92" t="s">
        <v>1262</v>
      </c>
      <c r="L481" s="92" t="s">
        <v>1241</v>
      </c>
      <c r="M481" s="82">
        <v>24</v>
      </c>
      <c r="N481" s="84">
        <v>553939</v>
      </c>
      <c r="O481" s="82" t="s">
        <v>832</v>
      </c>
      <c r="P481" s="171"/>
      <c r="Q481" s="210"/>
    </row>
    <row r="482" spans="1:17" ht="21" x14ac:dyDescent="0.2">
      <c r="A482" s="105" t="s">
        <v>515</v>
      </c>
      <c r="B482" s="82">
        <v>2014304</v>
      </c>
      <c r="C482" s="82">
        <v>55303</v>
      </c>
      <c r="D482" s="82" t="s">
        <v>1106</v>
      </c>
      <c r="E482" s="82">
        <v>14</v>
      </c>
      <c r="F482" s="82" t="str">
        <f>IF(E482&lt;=20,"0-19",
IF(E482&lt;=50,"20-49",
IF(E482&lt;=80,"50-79","80+")))</f>
        <v>0-19</v>
      </c>
      <c r="G482" s="82" t="s">
        <v>2232</v>
      </c>
      <c r="H482" s="82" t="s">
        <v>88</v>
      </c>
      <c r="I482" s="82" t="s">
        <v>2233</v>
      </c>
      <c r="J482" s="114" t="s">
        <v>2270</v>
      </c>
      <c r="K482" s="92" t="s">
        <v>2234</v>
      </c>
      <c r="L482" s="82" t="s">
        <v>1922</v>
      </c>
      <c r="M482" s="82">
        <v>27</v>
      </c>
      <c r="N482" s="151">
        <v>626634</v>
      </c>
      <c r="O482" s="151" t="s">
        <v>2254</v>
      </c>
      <c r="P482" s="152">
        <v>722582038</v>
      </c>
      <c r="Q482" s="210"/>
    </row>
    <row r="483" spans="1:17" ht="31.5" x14ac:dyDescent="0.2">
      <c r="A483" s="139" t="s">
        <v>515</v>
      </c>
      <c r="B483" s="82">
        <v>2014301</v>
      </c>
      <c r="C483" s="82">
        <v>55303</v>
      </c>
      <c r="D483" s="82" t="s">
        <v>1106</v>
      </c>
      <c r="E483" s="82">
        <v>14</v>
      </c>
      <c r="F483" s="82" t="str">
        <f>IF(E483&lt;=20,"0-19",
IF(E483&lt;=50,"20-49",
IF(E483&lt;=80,"50-79","80+")))</f>
        <v>0-19</v>
      </c>
      <c r="G483" s="82" t="s">
        <v>1107</v>
      </c>
      <c r="H483" s="82" t="s">
        <v>88</v>
      </c>
      <c r="I483" s="92" t="s">
        <v>1108</v>
      </c>
      <c r="J483" s="92" t="s">
        <v>2270</v>
      </c>
      <c r="K483" s="92" t="s">
        <v>1109</v>
      </c>
      <c r="L483" s="82" t="s">
        <v>835</v>
      </c>
      <c r="M483" s="82">
        <v>28</v>
      </c>
      <c r="N483" s="84">
        <v>728082</v>
      </c>
      <c r="O483" s="82" t="s">
        <v>832</v>
      </c>
      <c r="P483" s="171"/>
      <c r="Q483" s="210"/>
    </row>
    <row r="484" spans="1:17" x14ac:dyDescent="0.2">
      <c r="A484" s="139" t="s">
        <v>373</v>
      </c>
      <c r="B484" s="93">
        <v>2013777</v>
      </c>
      <c r="C484" s="82">
        <v>78863</v>
      </c>
      <c r="D484" s="93" t="s">
        <v>1114</v>
      </c>
      <c r="E484" s="92">
        <v>43</v>
      </c>
      <c r="F484" s="92" t="str">
        <f>IF(E484&lt;=20,"0-19",
IF(E484&lt;=50,"20-49",
IF(E484&lt;=80,"50-79","80+")))</f>
        <v>20-49</v>
      </c>
      <c r="G484" s="92" t="s">
        <v>1115</v>
      </c>
      <c r="H484" s="92" t="s">
        <v>22</v>
      </c>
      <c r="I484" s="92" t="s">
        <v>1116</v>
      </c>
      <c r="J484" s="92" t="s">
        <v>2295</v>
      </c>
      <c r="K484" s="92" t="s">
        <v>42</v>
      </c>
      <c r="L484" s="92" t="s">
        <v>36</v>
      </c>
      <c r="M484" s="92">
        <v>29</v>
      </c>
      <c r="N484" s="101">
        <v>1999999</v>
      </c>
      <c r="O484" s="82" t="s">
        <v>832</v>
      </c>
      <c r="P484" s="170"/>
      <c r="Q484" s="210"/>
    </row>
    <row r="485" spans="1:17" ht="21" x14ac:dyDescent="0.2">
      <c r="A485" s="139" t="s">
        <v>228</v>
      </c>
      <c r="B485" s="93">
        <v>2005259</v>
      </c>
      <c r="C485" s="82">
        <v>106787</v>
      </c>
      <c r="D485" s="93" t="s">
        <v>1110</v>
      </c>
      <c r="E485" s="93">
        <v>47</v>
      </c>
      <c r="F485" s="93" t="str">
        <f>IF(E485&lt;=20,"0-19",
IF(E485&lt;=50,"20-49",
IF(E485&lt;=80,"50-79","80+")))</f>
        <v>20-49</v>
      </c>
      <c r="G485" s="93" t="s">
        <v>1111</v>
      </c>
      <c r="H485" s="93" t="s">
        <v>15</v>
      </c>
      <c r="I485" s="93" t="s">
        <v>1112</v>
      </c>
      <c r="J485" s="114" t="s">
        <v>2314</v>
      </c>
      <c r="K485" s="93" t="s">
        <v>1113</v>
      </c>
      <c r="L485" s="93" t="s">
        <v>835</v>
      </c>
      <c r="M485" s="93">
        <v>29</v>
      </c>
      <c r="N485" s="94">
        <v>115440.52</v>
      </c>
      <c r="O485" s="82" t="s">
        <v>832</v>
      </c>
      <c r="P485" s="170"/>
      <c r="Q485" s="210"/>
    </row>
    <row r="486" spans="1:17" ht="21" x14ac:dyDescent="0.2">
      <c r="A486" s="104" t="s">
        <v>274</v>
      </c>
      <c r="B486" s="88">
        <v>2020064</v>
      </c>
      <c r="C486" s="87">
        <v>55459</v>
      </c>
      <c r="D486" s="88" t="s">
        <v>2225</v>
      </c>
      <c r="E486" s="88">
        <v>62</v>
      </c>
      <c r="F486" s="88" t="str">
        <f>IF(E486&lt;=20,"0-19",
IF(E486&lt;=50,"20-49",
IF(E486&lt;=80,"50-79","80+")))</f>
        <v>50-79</v>
      </c>
      <c r="G486" s="88" t="s">
        <v>2267</v>
      </c>
      <c r="H486" s="88" t="s">
        <v>15</v>
      </c>
      <c r="I486" s="88" t="s">
        <v>2227</v>
      </c>
      <c r="J486" s="88" t="s">
        <v>2304</v>
      </c>
      <c r="K486" s="88" t="s">
        <v>919</v>
      </c>
      <c r="L486" s="86" t="s">
        <v>1911</v>
      </c>
      <c r="M486" s="88">
        <v>30</v>
      </c>
      <c r="N486" s="163">
        <v>426456</v>
      </c>
      <c r="O486" s="163" t="s">
        <v>2254</v>
      </c>
      <c r="P486" s="168">
        <v>254759231438</v>
      </c>
      <c r="Q486" s="210"/>
    </row>
    <row r="487" spans="1:17" x14ac:dyDescent="0.2">
      <c r="A487" s="104" t="s">
        <v>354</v>
      </c>
      <c r="B487" s="87">
        <v>2602004</v>
      </c>
      <c r="C487" s="87">
        <v>62092</v>
      </c>
      <c r="D487" s="87" t="s">
        <v>1021</v>
      </c>
      <c r="E487" s="87">
        <v>59</v>
      </c>
      <c r="F487" s="87" t="str">
        <f>IF(E487&lt;=20,"0-19",
IF(E487&lt;=50,"20-49",
IF(E487&lt;=80,"50-79","80+")))</f>
        <v>50-79</v>
      </c>
      <c r="G487" s="87" t="s">
        <v>1022</v>
      </c>
      <c r="H487" s="87" t="s">
        <v>22</v>
      </c>
      <c r="I487" s="86" t="s">
        <v>1781</v>
      </c>
      <c r="J487" s="86" t="s">
        <v>2288</v>
      </c>
      <c r="K487" s="87" t="s">
        <v>896</v>
      </c>
      <c r="L487" s="87" t="s">
        <v>1589</v>
      </c>
      <c r="M487" s="87">
        <v>30</v>
      </c>
      <c r="N487" s="161">
        <v>533761</v>
      </c>
      <c r="O487" s="161" t="s">
        <v>2254</v>
      </c>
      <c r="P487" s="168">
        <v>254721293215</v>
      </c>
      <c r="Q487" s="210"/>
    </row>
    <row r="488" spans="1:17" x14ac:dyDescent="0.2">
      <c r="A488" s="104" t="s">
        <v>1502</v>
      </c>
      <c r="B488" s="87">
        <v>2022537</v>
      </c>
      <c r="C488" s="87">
        <v>32636</v>
      </c>
      <c r="D488" s="87" t="s">
        <v>1793</v>
      </c>
      <c r="E488" s="87">
        <v>61</v>
      </c>
      <c r="F488" s="87" t="str">
        <f>IF(E488&lt;=20,"0-19",
IF(E488&lt;=50,"20-49",
IF(E488&lt;=80,"50-79","80+")))</f>
        <v>50-79</v>
      </c>
      <c r="G488" s="87" t="s">
        <v>507</v>
      </c>
      <c r="H488" s="87" t="s">
        <v>664</v>
      </c>
      <c r="I488" s="86" t="s">
        <v>1794</v>
      </c>
      <c r="J488" s="114" t="s">
        <v>2311</v>
      </c>
      <c r="K488" s="87" t="s">
        <v>1795</v>
      </c>
      <c r="L488" s="87" t="s">
        <v>1551</v>
      </c>
      <c r="M488" s="87">
        <v>30</v>
      </c>
      <c r="N488" s="161">
        <v>253650</v>
      </c>
      <c r="O488" s="161" t="s">
        <v>2254</v>
      </c>
      <c r="P488" s="168">
        <v>254722676312</v>
      </c>
      <c r="Q488" s="210"/>
    </row>
    <row r="489" spans="1:17" x14ac:dyDescent="0.2">
      <c r="A489" s="139" t="s">
        <v>1503</v>
      </c>
      <c r="B489" s="93">
        <v>2505061</v>
      </c>
      <c r="C489" s="93">
        <v>59211</v>
      </c>
      <c r="D489" s="93" t="s">
        <v>584</v>
      </c>
      <c r="E489" s="93">
        <v>59</v>
      </c>
      <c r="F489" s="93" t="str">
        <f>IF(E489&lt;=20,"0-19",
IF(E489&lt;=50,"20-49",
IF(E489&lt;=80,"50-79","80+")))</f>
        <v>50-79</v>
      </c>
      <c r="G489" s="93" t="s">
        <v>585</v>
      </c>
      <c r="H489" s="92" t="s">
        <v>22</v>
      </c>
      <c r="I489" s="92" t="s">
        <v>586</v>
      </c>
      <c r="J489" s="92" t="s">
        <v>2270</v>
      </c>
      <c r="K489" s="93" t="s">
        <v>1117</v>
      </c>
      <c r="L489" s="93" t="s">
        <v>873</v>
      </c>
      <c r="M489" s="93">
        <v>30</v>
      </c>
      <c r="N489" s="101">
        <v>535449.43999999994</v>
      </c>
      <c r="O489" s="82" t="s">
        <v>832</v>
      </c>
      <c r="P489" s="170"/>
      <c r="Q489" s="210"/>
    </row>
    <row r="490" spans="1:17" ht="31.5" x14ac:dyDescent="0.2">
      <c r="A490" s="139" t="s">
        <v>1504</v>
      </c>
      <c r="B490" s="82">
        <v>2407217</v>
      </c>
      <c r="C490" s="82">
        <v>62010</v>
      </c>
      <c r="D490" s="82" t="s">
        <v>1118</v>
      </c>
      <c r="E490" s="82">
        <v>59</v>
      </c>
      <c r="F490" s="82" t="str">
        <f>IF(E490&lt;=20,"0-19",
IF(E490&lt;=50,"20-49",
IF(E490&lt;=80,"50-79","80+")))</f>
        <v>50-79</v>
      </c>
      <c r="G490" s="82" t="s">
        <v>1119</v>
      </c>
      <c r="H490" s="82" t="s">
        <v>22</v>
      </c>
      <c r="I490" s="92" t="s">
        <v>1120</v>
      </c>
      <c r="J490" s="92" t="s">
        <v>2275</v>
      </c>
      <c r="K490" s="92" t="s">
        <v>1121</v>
      </c>
      <c r="L490" s="82" t="s">
        <v>831</v>
      </c>
      <c r="M490" s="82">
        <v>32</v>
      </c>
      <c r="N490" s="84">
        <v>288663.15000000002</v>
      </c>
      <c r="O490" s="82" t="s">
        <v>832</v>
      </c>
      <c r="P490" s="171"/>
      <c r="Q490" s="210"/>
    </row>
    <row r="491" spans="1:17" x14ac:dyDescent="0.2">
      <c r="A491" s="104" t="s">
        <v>354</v>
      </c>
      <c r="B491" s="87">
        <v>2019543</v>
      </c>
      <c r="C491" s="87">
        <v>16396</v>
      </c>
      <c r="D491" s="87" t="s">
        <v>390</v>
      </c>
      <c r="E491" s="87">
        <v>40</v>
      </c>
      <c r="F491" s="87" t="str">
        <f>IF(E491&lt;=20,"0-19",
IF(E491&lt;=50,"20-49",
IF(E491&lt;=80,"50-79","80+")))</f>
        <v>20-49</v>
      </c>
      <c r="G491" s="87" t="s">
        <v>1867</v>
      </c>
      <c r="H491" s="87" t="s">
        <v>15</v>
      </c>
      <c r="I491" s="86" t="s">
        <v>1868</v>
      </c>
      <c r="J491" s="114" t="s">
        <v>2546</v>
      </c>
      <c r="K491" s="87" t="s">
        <v>95</v>
      </c>
      <c r="L491" s="87" t="s">
        <v>1572</v>
      </c>
      <c r="M491" s="87">
        <v>46</v>
      </c>
      <c r="N491" s="161">
        <v>661914.37</v>
      </c>
      <c r="O491" s="161" t="s">
        <v>2254</v>
      </c>
      <c r="P491" s="168">
        <v>254722952865</v>
      </c>
      <c r="Q491" s="210"/>
    </row>
    <row r="492" spans="1:17" x14ac:dyDescent="0.2">
      <c r="A492" s="139" t="s">
        <v>1383</v>
      </c>
      <c r="B492" s="93">
        <v>2015925</v>
      </c>
      <c r="C492" s="82">
        <v>37303</v>
      </c>
      <c r="D492" s="93" t="s">
        <v>1384</v>
      </c>
      <c r="E492" s="93">
        <v>46</v>
      </c>
      <c r="F492" s="93" t="str">
        <f>IF(E492&lt;=20,"0-19",
IF(E492&lt;=50,"20-49",
IF(E492&lt;=80,"50-79","80+")))</f>
        <v>20-49</v>
      </c>
      <c r="G492" s="93" t="s">
        <v>126</v>
      </c>
      <c r="H492" s="93" t="s">
        <v>664</v>
      </c>
      <c r="I492" s="93" t="s">
        <v>1385</v>
      </c>
      <c r="J492" s="114" t="s">
        <v>2311</v>
      </c>
      <c r="K492" s="93" t="s">
        <v>103</v>
      </c>
      <c r="L492" s="92" t="s">
        <v>1260</v>
      </c>
      <c r="M492" s="93">
        <v>47</v>
      </c>
      <c r="N492" s="94">
        <v>172244</v>
      </c>
      <c r="O492" s="82" t="s">
        <v>832</v>
      </c>
      <c r="P492" s="170"/>
      <c r="Q492" s="210"/>
    </row>
    <row r="493" spans="1:17" ht="21" x14ac:dyDescent="0.2">
      <c r="A493" s="139" t="s">
        <v>1504</v>
      </c>
      <c r="B493" s="93">
        <v>2011353</v>
      </c>
      <c r="C493" s="82">
        <v>14193</v>
      </c>
      <c r="D493" s="93" t="s">
        <v>1505</v>
      </c>
      <c r="E493" s="93">
        <v>66</v>
      </c>
      <c r="F493" s="93" t="str">
        <f>IF(E493&lt;=20,"0-19",
IF(E493&lt;=50,"20-49",
IF(E493&lt;=80,"50-79","80+")))</f>
        <v>50-79</v>
      </c>
      <c r="G493" s="93" t="s">
        <v>1506</v>
      </c>
      <c r="H493" s="93" t="s">
        <v>22</v>
      </c>
      <c r="I493" s="92" t="s">
        <v>1507</v>
      </c>
      <c r="J493" s="92" t="s">
        <v>2328</v>
      </c>
      <c r="K493" s="93" t="s">
        <v>1508</v>
      </c>
      <c r="L493" s="93" t="s">
        <v>1264</v>
      </c>
      <c r="M493" s="93">
        <v>47</v>
      </c>
      <c r="N493" s="94">
        <v>372651</v>
      </c>
      <c r="O493" s="82" t="s">
        <v>832</v>
      </c>
      <c r="P493" s="170"/>
      <c r="Q493" s="210"/>
    </row>
    <row r="494" spans="1:17" ht="21" x14ac:dyDescent="0.2">
      <c r="A494" s="104" t="s">
        <v>1033</v>
      </c>
      <c r="B494" s="86">
        <v>2005082</v>
      </c>
      <c r="C494" s="87">
        <v>101741</v>
      </c>
      <c r="D494" s="86" t="s">
        <v>76</v>
      </c>
      <c r="E494" s="86">
        <v>69</v>
      </c>
      <c r="F494" s="86" t="str">
        <f>IF(E494&lt;=20,"0-19",
IF(E494&lt;=50,"20-49",
IF(E494&lt;=80,"50-79","80+")))</f>
        <v>50-79</v>
      </c>
      <c r="G494" s="86" t="s">
        <v>2235</v>
      </c>
      <c r="H494" s="86" t="s">
        <v>15</v>
      </c>
      <c r="I494" s="86" t="s">
        <v>2236</v>
      </c>
      <c r="J494" s="86" t="s">
        <v>2270</v>
      </c>
      <c r="K494" s="86" t="s">
        <v>2237</v>
      </c>
      <c r="L494" s="88" t="s">
        <v>1923</v>
      </c>
      <c r="M494" s="86">
        <v>48</v>
      </c>
      <c r="N494" s="164">
        <v>722695</v>
      </c>
      <c r="O494" s="164" t="s">
        <v>2254</v>
      </c>
      <c r="P494" s="168">
        <v>254722828789</v>
      </c>
      <c r="Q494" s="210"/>
    </row>
    <row r="495" spans="1:17" x14ac:dyDescent="0.2">
      <c r="A495" s="105" t="s">
        <v>354</v>
      </c>
      <c r="B495" s="82">
        <v>2004007</v>
      </c>
      <c r="C495" s="82">
        <v>31602</v>
      </c>
      <c r="D495" s="82" t="s">
        <v>2243</v>
      </c>
      <c r="E495" s="82">
        <v>67</v>
      </c>
      <c r="F495" s="82" t="str">
        <f>IF(E495&lt;=20,"0-19",
IF(E495&lt;=50,"20-49",
IF(E495&lt;=80,"50-79","80+")))</f>
        <v>50-79</v>
      </c>
      <c r="G495" s="82" t="s">
        <v>2244</v>
      </c>
      <c r="H495" s="82" t="s">
        <v>22</v>
      </c>
      <c r="I495" s="82" t="s">
        <v>2245</v>
      </c>
      <c r="J495" s="82" t="s">
        <v>2275</v>
      </c>
      <c r="K495" s="92" t="s">
        <v>85</v>
      </c>
      <c r="L495" s="82" t="s">
        <v>1928</v>
      </c>
      <c r="M495" s="82">
        <v>49</v>
      </c>
      <c r="N495" s="151">
        <v>841975.53</v>
      </c>
      <c r="O495" s="151" t="s">
        <v>2254</v>
      </c>
      <c r="P495" s="152">
        <v>254720133344</v>
      </c>
      <c r="Q495" s="210"/>
    </row>
    <row r="496" spans="1:17" x14ac:dyDescent="0.2">
      <c r="A496" s="105" t="s">
        <v>354</v>
      </c>
      <c r="B496" s="82">
        <v>2013560</v>
      </c>
      <c r="C496" s="82">
        <v>6625</v>
      </c>
      <c r="D496" s="82" t="s">
        <v>1874</v>
      </c>
      <c r="E496" s="82">
        <v>65</v>
      </c>
      <c r="F496" s="82" t="str">
        <f>IF(E496&lt;=20,"0-19",
IF(E496&lt;=50,"20-49",
IF(E496&lt;=80,"50-79","80+")))</f>
        <v>50-79</v>
      </c>
      <c r="G496" s="82" t="s">
        <v>1875</v>
      </c>
      <c r="H496" s="82" t="s">
        <v>15</v>
      </c>
      <c r="I496" s="92" t="s">
        <v>1876</v>
      </c>
      <c r="J496" s="92" t="s">
        <v>2270</v>
      </c>
      <c r="K496" s="82" t="s">
        <v>17</v>
      </c>
      <c r="L496" s="82" t="s">
        <v>1572</v>
      </c>
      <c r="M496" s="82">
        <v>67</v>
      </c>
      <c r="N496" s="151">
        <v>788226.55</v>
      </c>
      <c r="O496" s="151" t="s">
        <v>2254</v>
      </c>
      <c r="P496" s="152">
        <v>254724268799</v>
      </c>
      <c r="Q496" s="210"/>
    </row>
    <row r="497" spans="1:17" x14ac:dyDescent="0.2">
      <c r="A497" s="104" t="s">
        <v>354</v>
      </c>
      <c r="B497" s="88">
        <v>2002495</v>
      </c>
      <c r="C497" s="87">
        <v>18530</v>
      </c>
      <c r="D497" s="88" t="s">
        <v>2246</v>
      </c>
      <c r="E497" s="88">
        <v>65</v>
      </c>
      <c r="F497" s="88" t="str">
        <f>IF(E497&lt;=20,"0-19",
IF(E497&lt;=50,"20-49",
IF(E497&lt;=80,"50-79","80+")))</f>
        <v>50-79</v>
      </c>
      <c r="G497" s="88" t="s">
        <v>2247</v>
      </c>
      <c r="H497" s="86" t="s">
        <v>22</v>
      </c>
      <c r="I497" s="86" t="s">
        <v>2248</v>
      </c>
      <c r="J497" s="86" t="s">
        <v>2304</v>
      </c>
      <c r="K497" s="88" t="s">
        <v>2249</v>
      </c>
      <c r="L497" s="88" t="s">
        <v>1911</v>
      </c>
      <c r="M497" s="88">
        <v>75</v>
      </c>
      <c r="N497" s="164">
        <v>1151634.9099999999</v>
      </c>
      <c r="O497" s="164" t="s">
        <v>2254</v>
      </c>
      <c r="P497" s="168">
        <v>254720133344</v>
      </c>
      <c r="Q497" s="210"/>
    </row>
    <row r="498" spans="1:17" ht="21" x14ac:dyDescent="0.2">
      <c r="A498" s="104" t="s">
        <v>1504</v>
      </c>
      <c r="B498" s="88">
        <v>2017620</v>
      </c>
      <c r="C498" s="87">
        <v>54137</v>
      </c>
      <c r="D498" s="88" t="s">
        <v>1387</v>
      </c>
      <c r="E498" s="88">
        <v>17</v>
      </c>
      <c r="F498" s="88" t="str">
        <f>IF(E498&lt;=20,"0-19",
IF(E498&lt;=50,"20-49",
IF(E498&lt;=80,"50-79","80+")))</f>
        <v>0-19</v>
      </c>
      <c r="G498" s="88" t="s">
        <v>470</v>
      </c>
      <c r="H498" s="88" t="s">
        <v>88</v>
      </c>
      <c r="I498" s="86" t="s">
        <v>471</v>
      </c>
      <c r="J498" s="114" t="s">
        <v>2314</v>
      </c>
      <c r="K498" s="88" t="s">
        <v>57</v>
      </c>
      <c r="L498" s="86" t="s">
        <v>1918</v>
      </c>
      <c r="M498" s="88">
        <v>76</v>
      </c>
      <c r="N498" s="163">
        <v>667761.6</v>
      </c>
      <c r="O498" s="163" t="s">
        <v>2254</v>
      </c>
      <c r="P498" s="168">
        <v>254722348407</v>
      </c>
      <c r="Q498" s="210"/>
    </row>
    <row r="499" spans="1:17" x14ac:dyDescent="0.2">
      <c r="A499" s="105" t="s">
        <v>889</v>
      </c>
      <c r="B499" s="82">
        <v>2001061</v>
      </c>
      <c r="C499" s="82">
        <v>2067</v>
      </c>
      <c r="D499" s="82" t="s">
        <v>1709</v>
      </c>
      <c r="E499" s="82">
        <v>79</v>
      </c>
      <c r="F499" s="82" t="str">
        <f>IF(E499&lt;=20,"0-19",
IF(E499&lt;=50,"20-49",
IF(E499&lt;=80,"50-79","80+")))</f>
        <v>50-79</v>
      </c>
      <c r="G499" s="82" t="s">
        <v>1710</v>
      </c>
      <c r="H499" s="82" t="s">
        <v>22</v>
      </c>
      <c r="I499" s="92" t="s">
        <v>1711</v>
      </c>
      <c r="J499" s="92" t="s">
        <v>2288</v>
      </c>
      <c r="K499" s="82" t="s">
        <v>1572</v>
      </c>
      <c r="L499" s="82" t="s">
        <v>1675</v>
      </c>
      <c r="M499" s="82" t="s">
        <v>1712</v>
      </c>
      <c r="N499" s="151">
        <v>95988</v>
      </c>
      <c r="O499" s="151" t="s">
        <v>2254</v>
      </c>
      <c r="P499" s="152">
        <v>254722613828</v>
      </c>
      <c r="Q499" s="210"/>
    </row>
    <row r="500" spans="1:17" x14ac:dyDescent="0.2">
      <c r="A500" s="139" t="s">
        <v>155</v>
      </c>
      <c r="B500" s="82">
        <v>2510126</v>
      </c>
      <c r="C500" s="82">
        <v>55824</v>
      </c>
      <c r="D500" s="82" t="s">
        <v>1122</v>
      </c>
      <c r="E500" s="82">
        <v>21</v>
      </c>
      <c r="F500" s="82" t="str">
        <f>IF(E500&lt;=20,"0-19",
IF(E500&lt;=50,"20-49",
IF(E500&lt;=80,"50-79","80+")))</f>
        <v>20-49</v>
      </c>
      <c r="G500" s="82" t="s">
        <v>49</v>
      </c>
      <c r="H500" s="82" t="s">
        <v>132</v>
      </c>
      <c r="I500" s="92" t="s">
        <v>1123</v>
      </c>
      <c r="J500" s="92" t="s">
        <v>2288</v>
      </c>
      <c r="K500" s="92" t="s">
        <v>1124</v>
      </c>
      <c r="L500" s="82" t="s">
        <v>831</v>
      </c>
      <c r="M500" s="82" t="s">
        <v>1125</v>
      </c>
      <c r="N500" s="84">
        <v>43586</v>
      </c>
      <c r="O500" s="82" t="s">
        <v>832</v>
      </c>
      <c r="P500" s="170"/>
      <c r="Q500" s="210"/>
    </row>
    <row r="501" spans="1:17" ht="21" hidden="1" x14ac:dyDescent="0.2">
      <c r="A501" s="108" t="s">
        <v>1890</v>
      </c>
      <c r="B501" s="87">
        <v>2002987</v>
      </c>
      <c r="C501" s="87">
        <v>60750</v>
      </c>
      <c r="D501" s="87" t="s">
        <v>1066</v>
      </c>
      <c r="E501" s="87">
        <v>56</v>
      </c>
      <c r="F501" s="87" t="str">
        <f>IF(E501&lt;=20,"0-19",
IF(E501&lt;=50,"20-49",
IF(E501&lt;=80,"50-79","80+")))</f>
        <v>50-79</v>
      </c>
      <c r="G501" s="87" t="s">
        <v>1067</v>
      </c>
      <c r="H501" s="87" t="s">
        <v>22</v>
      </c>
      <c r="I501" s="87" t="s">
        <v>1891</v>
      </c>
      <c r="J501" s="87" t="s">
        <v>2275</v>
      </c>
      <c r="K501" s="86" t="s">
        <v>1892</v>
      </c>
      <c r="L501" s="87" t="s">
        <v>1893</v>
      </c>
      <c r="M501" s="87">
        <v>1</v>
      </c>
      <c r="N501" s="161">
        <v>6500</v>
      </c>
      <c r="O501" s="161" t="s">
        <v>2254</v>
      </c>
      <c r="P501" s="168">
        <v>254722271315</v>
      </c>
      <c r="Q501" s="210"/>
    </row>
    <row r="502" spans="1:17" hidden="1" x14ac:dyDescent="0.2">
      <c r="A502" s="139" t="s">
        <v>1221</v>
      </c>
      <c r="B502" s="82">
        <v>2018628</v>
      </c>
      <c r="C502" s="82">
        <v>55007</v>
      </c>
      <c r="D502" s="82" t="s">
        <v>1222</v>
      </c>
      <c r="E502" s="82">
        <v>63</v>
      </c>
      <c r="F502" s="82" t="str">
        <f>IF(E502&lt;=20,"0-19",
IF(E502&lt;=50,"20-49",
IF(E502&lt;=80,"50-79","80+")))</f>
        <v>50-79</v>
      </c>
      <c r="G502" s="82" t="s">
        <v>60</v>
      </c>
      <c r="H502" s="82" t="s">
        <v>22</v>
      </c>
      <c r="I502" s="82" t="s">
        <v>1223</v>
      </c>
      <c r="J502" s="82" t="s">
        <v>2310</v>
      </c>
      <c r="K502" s="82" t="s">
        <v>1224</v>
      </c>
      <c r="L502" s="82" t="s">
        <v>1225</v>
      </c>
      <c r="M502" s="231" t="s">
        <v>1226</v>
      </c>
      <c r="N502" s="84">
        <v>20000</v>
      </c>
      <c r="O502" s="82" t="s">
        <v>832</v>
      </c>
      <c r="P502" s="171"/>
      <c r="Q502" s="210"/>
    </row>
    <row r="503" spans="1:17" ht="21" hidden="1" x14ac:dyDescent="0.2">
      <c r="A503" s="139" t="s">
        <v>1237</v>
      </c>
      <c r="B503" s="92">
        <v>2023530</v>
      </c>
      <c r="C503" s="82">
        <v>63470</v>
      </c>
      <c r="D503" s="92" t="s">
        <v>1243</v>
      </c>
      <c r="E503" s="92">
        <v>50</v>
      </c>
      <c r="F503" s="92" t="str">
        <f>IF(E503&lt;=20,"0-19",
IF(E503&lt;=50,"20-49",
IF(E503&lt;=80,"50-79","80+")))</f>
        <v>20-49</v>
      </c>
      <c r="G503" s="93" t="s">
        <v>49</v>
      </c>
      <c r="H503" s="93" t="s">
        <v>15</v>
      </c>
      <c r="I503" s="92" t="s">
        <v>1244</v>
      </c>
      <c r="J503" s="114" t="s">
        <v>2275</v>
      </c>
      <c r="K503" s="93" t="s">
        <v>1245</v>
      </c>
      <c r="L503" s="93" t="s">
        <v>1232</v>
      </c>
      <c r="M503" s="232" t="s">
        <v>556</v>
      </c>
      <c r="N503" s="94">
        <v>42000</v>
      </c>
      <c r="O503" s="82" t="s">
        <v>832</v>
      </c>
      <c r="P503" s="171"/>
      <c r="Q503" s="210"/>
    </row>
    <row r="504" spans="1:17" hidden="1" x14ac:dyDescent="0.2">
      <c r="A504" s="105" t="s">
        <v>43</v>
      </c>
      <c r="B504" s="92">
        <v>2002558</v>
      </c>
      <c r="C504" s="82">
        <v>31385</v>
      </c>
      <c r="D504" s="92" t="s">
        <v>2138</v>
      </c>
      <c r="E504" s="92">
        <v>64</v>
      </c>
      <c r="F504" s="92" t="str">
        <f>IF(E504&lt;=20,"0-19",
IF(E504&lt;=50,"20-49",
IF(E504&lt;=80,"50-79","80+")))</f>
        <v>50-79</v>
      </c>
      <c r="G504" s="93" t="s">
        <v>126</v>
      </c>
      <c r="H504" s="93" t="s">
        <v>22</v>
      </c>
      <c r="I504" s="92" t="s">
        <v>2139</v>
      </c>
      <c r="J504" s="92" t="s">
        <v>2275</v>
      </c>
      <c r="K504" s="93" t="s">
        <v>1918</v>
      </c>
      <c r="L504" s="93" t="s">
        <v>1918</v>
      </c>
      <c r="M504" s="231" t="s">
        <v>556</v>
      </c>
      <c r="N504" s="159">
        <v>155876</v>
      </c>
      <c r="O504" s="159" t="s">
        <v>2254</v>
      </c>
      <c r="P504" s="152">
        <v>254726508593</v>
      </c>
      <c r="Q504" s="210"/>
    </row>
    <row r="505" spans="1:17" hidden="1" x14ac:dyDescent="0.2">
      <c r="A505" s="139" t="s">
        <v>373</v>
      </c>
      <c r="B505" s="88">
        <v>2001379</v>
      </c>
      <c r="C505" s="87">
        <v>5803</v>
      </c>
      <c r="D505" s="88" t="s">
        <v>611</v>
      </c>
      <c r="E505" s="88">
        <v>73</v>
      </c>
      <c r="F505" s="88" t="str">
        <f>IF(E505&lt;=20,"0-19",
IF(E505&lt;=50,"20-49",
IF(E505&lt;=80,"50-79","80+")))</f>
        <v>50-79</v>
      </c>
      <c r="G505" s="88" t="s">
        <v>60</v>
      </c>
      <c r="H505" s="88" t="s">
        <v>22</v>
      </c>
      <c r="I505" s="88" t="s">
        <v>612</v>
      </c>
      <c r="J505" s="88" t="s">
        <v>2275</v>
      </c>
      <c r="K505" s="88" t="s">
        <v>78</v>
      </c>
      <c r="L505" s="88" t="s">
        <v>78</v>
      </c>
      <c r="M505" s="233" t="s">
        <v>556</v>
      </c>
      <c r="N505" s="90">
        <v>490109</v>
      </c>
      <c r="O505" s="87" t="s">
        <v>18</v>
      </c>
      <c r="P505" s="171"/>
      <c r="Q505" s="210"/>
    </row>
    <row r="506" spans="1:17" hidden="1" x14ac:dyDescent="0.2">
      <c r="A506" s="105" t="s">
        <v>544</v>
      </c>
      <c r="B506" s="82">
        <v>2015941</v>
      </c>
      <c r="C506" s="82">
        <v>55499</v>
      </c>
      <c r="D506" s="82" t="s">
        <v>1661</v>
      </c>
      <c r="E506" s="82">
        <v>64</v>
      </c>
      <c r="F506" s="82" t="str">
        <f>IF(E506&lt;=20,"0-19",
IF(E506&lt;=50,"20-49",
IF(E506&lt;=80,"50-79","80+")))</f>
        <v>50-79</v>
      </c>
      <c r="G506" s="82" t="s">
        <v>49</v>
      </c>
      <c r="H506" s="82" t="s">
        <v>15</v>
      </c>
      <c r="I506" s="92" t="s">
        <v>1662</v>
      </c>
      <c r="J506" s="92" t="s">
        <v>2275</v>
      </c>
      <c r="K506" s="82" t="s">
        <v>1663</v>
      </c>
      <c r="L506" s="82" t="s">
        <v>1572</v>
      </c>
      <c r="M506" s="231" t="s">
        <v>556</v>
      </c>
      <c r="N506" s="151">
        <v>61600</v>
      </c>
      <c r="O506" s="151" t="s">
        <v>2254</v>
      </c>
      <c r="P506" s="152">
        <v>254721396616</v>
      </c>
      <c r="Q506" s="210"/>
    </row>
    <row r="507" spans="1:17" hidden="1" x14ac:dyDescent="0.2">
      <c r="A507" s="139" t="s">
        <v>1449</v>
      </c>
      <c r="B507" s="82">
        <v>2004218</v>
      </c>
      <c r="C507" s="82">
        <v>15214</v>
      </c>
      <c r="D507" s="82" t="s">
        <v>1450</v>
      </c>
      <c r="E507" s="82">
        <v>67</v>
      </c>
      <c r="F507" s="82" t="str">
        <f>IF(E507&lt;=20,"0-19",
IF(E507&lt;=50,"20-49",
IF(E507&lt;=80,"50-79","80+")))</f>
        <v>50-79</v>
      </c>
      <c r="G507" s="82" t="s">
        <v>60</v>
      </c>
      <c r="H507" s="82" t="s">
        <v>22</v>
      </c>
      <c r="I507" s="92" t="s">
        <v>1451</v>
      </c>
      <c r="J507" s="92" t="s">
        <v>2275</v>
      </c>
      <c r="K507" s="92" t="s">
        <v>1241</v>
      </c>
      <c r="L507" s="92" t="s">
        <v>1241</v>
      </c>
      <c r="M507" s="232" t="s">
        <v>556</v>
      </c>
      <c r="N507" s="84">
        <v>25000</v>
      </c>
      <c r="O507" s="82" t="s">
        <v>832</v>
      </c>
      <c r="P507" s="170"/>
      <c r="Q507" s="210"/>
    </row>
    <row r="508" spans="1:17" hidden="1" x14ac:dyDescent="0.2">
      <c r="A508" s="139" t="s">
        <v>544</v>
      </c>
      <c r="B508" s="82">
        <v>2009676</v>
      </c>
      <c r="C508" s="82">
        <v>101152</v>
      </c>
      <c r="D508" s="82" t="s">
        <v>1071</v>
      </c>
      <c r="E508" s="82">
        <v>68</v>
      </c>
      <c r="F508" s="82" t="str">
        <f>IF(E508&lt;=20,"0-19",
IF(E508&lt;=50,"20-49",
IF(E508&lt;=80,"50-79","80+")))</f>
        <v>50-79</v>
      </c>
      <c r="G508" s="82" t="s">
        <v>49</v>
      </c>
      <c r="H508" s="82" t="s">
        <v>15</v>
      </c>
      <c r="I508" s="92" t="s">
        <v>1133</v>
      </c>
      <c r="J508" s="92" t="s">
        <v>2275</v>
      </c>
      <c r="K508" s="92" t="s">
        <v>846</v>
      </c>
      <c r="L508" s="82" t="s">
        <v>846</v>
      </c>
      <c r="M508" s="231" t="s">
        <v>556</v>
      </c>
      <c r="N508" s="84">
        <v>142320</v>
      </c>
      <c r="O508" s="82" t="s">
        <v>832</v>
      </c>
      <c r="P508" s="170"/>
      <c r="Q508" s="210"/>
    </row>
    <row r="509" spans="1:17" ht="21" hidden="1" x14ac:dyDescent="0.2">
      <c r="A509" s="103" t="s">
        <v>598</v>
      </c>
      <c r="B509" s="82">
        <v>2002343</v>
      </c>
      <c r="C509" s="82">
        <v>7835</v>
      </c>
      <c r="D509" s="82" t="s">
        <v>599</v>
      </c>
      <c r="E509" s="92">
        <v>70</v>
      </c>
      <c r="F509" s="92" t="str">
        <f>IF(E509&lt;=20,"0-19",
IF(E509&lt;=50,"20-49",
IF(E509&lt;=80,"50-79","80+")))</f>
        <v>50-79</v>
      </c>
      <c r="G509" s="82" t="s">
        <v>600</v>
      </c>
      <c r="H509" s="82" t="s">
        <v>22</v>
      </c>
      <c r="I509" s="82" t="s">
        <v>601</v>
      </c>
      <c r="J509" s="114" t="s">
        <v>2546</v>
      </c>
      <c r="K509" s="92" t="s">
        <v>602</v>
      </c>
      <c r="L509" s="92" t="s">
        <v>193</v>
      </c>
      <c r="M509" s="231" t="s">
        <v>556</v>
      </c>
      <c r="N509" s="101">
        <v>20800</v>
      </c>
      <c r="O509" s="82" t="s">
        <v>18</v>
      </c>
      <c r="P509" s="170"/>
      <c r="Q509" s="210"/>
    </row>
    <row r="510" spans="1:17" ht="21" hidden="1" x14ac:dyDescent="0.2">
      <c r="A510" s="139" t="s">
        <v>1482</v>
      </c>
      <c r="B510" s="82">
        <v>2021085</v>
      </c>
      <c r="C510" s="82">
        <v>18867</v>
      </c>
      <c r="D510" s="82" t="s">
        <v>1151</v>
      </c>
      <c r="E510" s="82">
        <v>64</v>
      </c>
      <c r="F510" s="82" t="str">
        <f>IF(E510&lt;=20,"0-19",
IF(E510&lt;=50,"20-49",
IF(E510&lt;=80,"50-79","80+")))</f>
        <v>50-79</v>
      </c>
      <c r="G510" s="82" t="s">
        <v>60</v>
      </c>
      <c r="H510" s="82" t="s">
        <v>22</v>
      </c>
      <c r="I510" s="92" t="s">
        <v>1152</v>
      </c>
      <c r="J510" s="114" t="s">
        <v>2546</v>
      </c>
      <c r="K510" s="92" t="s">
        <v>1153</v>
      </c>
      <c r="L510" s="82" t="s">
        <v>851</v>
      </c>
      <c r="M510" s="231" t="s">
        <v>556</v>
      </c>
      <c r="N510" s="84">
        <v>31458.02</v>
      </c>
      <c r="O510" s="82" t="s">
        <v>832</v>
      </c>
      <c r="P510" s="170"/>
      <c r="Q510" s="210"/>
    </row>
    <row r="511" spans="1:17" hidden="1" x14ac:dyDescent="0.2">
      <c r="A511" s="139" t="s">
        <v>155</v>
      </c>
      <c r="B511" s="82">
        <v>2017384</v>
      </c>
      <c r="C511" s="82">
        <v>53142</v>
      </c>
      <c r="D511" s="82" t="s">
        <v>1147</v>
      </c>
      <c r="E511" s="82">
        <v>63</v>
      </c>
      <c r="F511" s="82" t="str">
        <f>IF(E511&lt;=20,"0-19",
IF(E511&lt;=50,"20-49",
IF(E511&lt;=80,"50-79","80+")))</f>
        <v>50-79</v>
      </c>
      <c r="G511" s="82" t="s">
        <v>60</v>
      </c>
      <c r="H511" s="82" t="s">
        <v>22</v>
      </c>
      <c r="I511" s="92" t="s">
        <v>1148</v>
      </c>
      <c r="J511" s="114" t="s">
        <v>2546</v>
      </c>
      <c r="K511" s="92" t="s">
        <v>901</v>
      </c>
      <c r="L511" s="82" t="s">
        <v>901</v>
      </c>
      <c r="M511" s="231" t="s">
        <v>556</v>
      </c>
      <c r="N511" s="84">
        <v>150000</v>
      </c>
      <c r="O511" s="82" t="s">
        <v>832</v>
      </c>
      <c r="P511" s="171"/>
      <c r="Q511" s="210"/>
    </row>
    <row r="512" spans="1:17" hidden="1" x14ac:dyDescent="0.2">
      <c r="A512" s="139" t="s">
        <v>1482</v>
      </c>
      <c r="B512" s="82">
        <v>2023134</v>
      </c>
      <c r="C512" s="82">
        <v>18670</v>
      </c>
      <c r="D512" s="82" t="s">
        <v>1491</v>
      </c>
      <c r="E512" s="82">
        <v>49</v>
      </c>
      <c r="F512" s="82" t="str">
        <f>IF(E512&lt;=20,"0-19",
IF(E512&lt;=50,"20-49",
IF(E512&lt;=80,"50-79","80+")))</f>
        <v>20-49</v>
      </c>
      <c r="G512" s="82" t="s">
        <v>49</v>
      </c>
      <c r="H512" s="82" t="s">
        <v>15</v>
      </c>
      <c r="I512" s="92" t="s">
        <v>1492</v>
      </c>
      <c r="J512" s="114" t="s">
        <v>2546</v>
      </c>
      <c r="K512" s="92" t="s">
        <v>1241</v>
      </c>
      <c r="L512" s="92" t="s">
        <v>1241</v>
      </c>
      <c r="M512" s="232" t="s">
        <v>556</v>
      </c>
      <c r="N512" s="84">
        <v>21098</v>
      </c>
      <c r="O512" s="82" t="s">
        <v>832</v>
      </c>
      <c r="P512" s="170"/>
      <c r="Q512" s="210"/>
    </row>
    <row r="513" spans="1:17" hidden="1" x14ac:dyDescent="0.2">
      <c r="A513" s="108" t="s">
        <v>75</v>
      </c>
      <c r="B513" s="87">
        <v>2001089</v>
      </c>
      <c r="C513" s="87">
        <v>17668</v>
      </c>
      <c r="D513" s="87" t="s">
        <v>667</v>
      </c>
      <c r="E513" s="86">
        <v>78</v>
      </c>
      <c r="F513" s="86" t="str">
        <f>IF(E513&lt;=20,"0-19",
IF(E513&lt;=50,"20-49",
IF(E513&lt;=80,"50-79","80+")))</f>
        <v>50-79</v>
      </c>
      <c r="G513" s="87" t="s">
        <v>60</v>
      </c>
      <c r="H513" s="87" t="s">
        <v>22</v>
      </c>
      <c r="I513" s="87" t="s">
        <v>668</v>
      </c>
      <c r="J513" s="114" t="s">
        <v>2546</v>
      </c>
      <c r="K513" s="86" t="s">
        <v>108</v>
      </c>
      <c r="L513" s="86" t="s">
        <v>108</v>
      </c>
      <c r="M513" s="234" t="s">
        <v>556</v>
      </c>
      <c r="N513" s="97">
        <v>16237</v>
      </c>
      <c r="O513" s="87" t="s">
        <v>18</v>
      </c>
      <c r="P513" s="171"/>
      <c r="Q513" s="210"/>
    </row>
    <row r="514" spans="1:17" ht="21" hidden="1" x14ac:dyDescent="0.2">
      <c r="A514" s="139" t="s">
        <v>53</v>
      </c>
      <c r="B514" s="87">
        <v>2001220</v>
      </c>
      <c r="C514" s="88">
        <v>16779</v>
      </c>
      <c r="D514" s="88" t="s">
        <v>559</v>
      </c>
      <c r="E514" s="88">
        <v>66</v>
      </c>
      <c r="F514" s="88" t="str">
        <f>IF(E514&lt;=20,"0-19",
IF(E514&lt;=50,"20-49",
IF(E514&lt;=80,"50-79","80+")))</f>
        <v>50-79</v>
      </c>
      <c r="G514" s="88" t="s">
        <v>60</v>
      </c>
      <c r="H514" s="88" t="s">
        <v>22</v>
      </c>
      <c r="I514" s="88" t="s">
        <v>560</v>
      </c>
      <c r="J514" s="114" t="s">
        <v>2311</v>
      </c>
      <c r="K514" s="117" t="s">
        <v>561</v>
      </c>
      <c r="L514" s="88" t="s">
        <v>78</v>
      </c>
      <c r="M514" s="233" t="s">
        <v>556</v>
      </c>
      <c r="N514" s="90">
        <v>50000</v>
      </c>
      <c r="O514" s="87" t="s">
        <v>18</v>
      </c>
      <c r="P514" s="171"/>
      <c r="Q514" s="210"/>
    </row>
    <row r="515" spans="1:17" ht="21" hidden="1" x14ac:dyDescent="0.2">
      <c r="A515" s="139" t="s">
        <v>90</v>
      </c>
      <c r="B515" s="93">
        <v>20030720</v>
      </c>
      <c r="C515" s="82">
        <v>104118</v>
      </c>
      <c r="D515" s="93" t="s">
        <v>1158</v>
      </c>
      <c r="E515" s="93">
        <v>66</v>
      </c>
      <c r="F515" s="93" t="str">
        <f>IF(E515&lt;=20,"0-19",
IF(E515&lt;=50,"20-49",
IF(E515&lt;=80,"50-79","80+")))</f>
        <v>50-79</v>
      </c>
      <c r="G515" s="93" t="s">
        <v>126</v>
      </c>
      <c r="H515" s="93" t="s">
        <v>22</v>
      </c>
      <c r="I515" s="93" t="s">
        <v>1159</v>
      </c>
      <c r="J515" s="114" t="s">
        <v>2311</v>
      </c>
      <c r="K515" s="93" t="s">
        <v>1160</v>
      </c>
      <c r="L515" s="93" t="s">
        <v>843</v>
      </c>
      <c r="M515" s="231" t="s">
        <v>556</v>
      </c>
      <c r="N515" s="94">
        <v>25972.71</v>
      </c>
      <c r="O515" s="82" t="s">
        <v>832</v>
      </c>
      <c r="P515" s="170"/>
      <c r="Q515" s="210"/>
    </row>
    <row r="516" spans="1:17" hidden="1" x14ac:dyDescent="0.2">
      <c r="A516" s="139" t="s">
        <v>847</v>
      </c>
      <c r="B516" s="93">
        <v>2014982</v>
      </c>
      <c r="C516" s="82">
        <v>13660</v>
      </c>
      <c r="D516" s="93" t="s">
        <v>1143</v>
      </c>
      <c r="E516" s="93">
        <v>67</v>
      </c>
      <c r="F516" s="93" t="str">
        <f>IF(E516&lt;=20,"0-19",
IF(E516&lt;=50,"20-49",
IF(E516&lt;=80,"50-79","80+")))</f>
        <v>50-79</v>
      </c>
      <c r="G516" s="93" t="s">
        <v>126</v>
      </c>
      <c r="H516" s="93" t="s">
        <v>22</v>
      </c>
      <c r="I516" s="93" t="s">
        <v>1144</v>
      </c>
      <c r="J516" s="92" t="s">
        <v>2288</v>
      </c>
      <c r="K516" s="93" t="s">
        <v>843</v>
      </c>
      <c r="L516" s="93" t="s">
        <v>843</v>
      </c>
      <c r="M516" s="231" t="s">
        <v>556</v>
      </c>
      <c r="N516" s="94">
        <v>66499</v>
      </c>
      <c r="O516" s="82" t="s">
        <v>832</v>
      </c>
      <c r="P516" s="171"/>
      <c r="Q516" s="210"/>
    </row>
    <row r="517" spans="1:17" ht="21" hidden="1" x14ac:dyDescent="0.2">
      <c r="A517" s="104" t="s">
        <v>1166</v>
      </c>
      <c r="B517" s="88">
        <v>2412116</v>
      </c>
      <c r="C517" s="87">
        <v>104316</v>
      </c>
      <c r="D517" s="88" t="s">
        <v>1948</v>
      </c>
      <c r="E517" s="88">
        <v>41</v>
      </c>
      <c r="F517" s="88" t="str">
        <f>IF(E517&lt;=20,"0-19",
IF(E517&lt;=50,"20-49",
IF(E517&lt;=80,"50-79","80+")))</f>
        <v>20-49</v>
      </c>
      <c r="G517" s="86" t="s">
        <v>14</v>
      </c>
      <c r="H517" s="86" t="s">
        <v>15</v>
      </c>
      <c r="I517" s="86" t="s">
        <v>1949</v>
      </c>
      <c r="J517" s="92" t="s">
        <v>2288</v>
      </c>
      <c r="K517" s="88" t="s">
        <v>1912</v>
      </c>
      <c r="L517" s="88" t="s">
        <v>1898</v>
      </c>
      <c r="M517" s="233" t="s">
        <v>556</v>
      </c>
      <c r="N517" s="163">
        <v>25000</v>
      </c>
      <c r="O517" s="163" t="s">
        <v>2254</v>
      </c>
      <c r="P517" s="168">
        <v>254722218211</v>
      </c>
      <c r="Q517" s="210"/>
    </row>
    <row r="518" spans="1:17" hidden="1" x14ac:dyDescent="0.2">
      <c r="A518" s="139" t="s">
        <v>19</v>
      </c>
      <c r="B518" s="113">
        <v>2013935</v>
      </c>
      <c r="C518" s="113">
        <v>18811</v>
      </c>
      <c r="D518" s="114" t="s">
        <v>554</v>
      </c>
      <c r="E518" s="113">
        <v>60</v>
      </c>
      <c r="F518" s="113" t="str">
        <f>IF(E518&lt;=20,"0-19",
IF(E518&lt;=50,"20-49",
IF(E518&lt;=80,"50-79","80+")))</f>
        <v>50-79</v>
      </c>
      <c r="G518" s="113" t="s">
        <v>60</v>
      </c>
      <c r="H518" s="113" t="s">
        <v>22</v>
      </c>
      <c r="I518" s="114" t="s">
        <v>555</v>
      </c>
      <c r="J518" s="92" t="s">
        <v>2288</v>
      </c>
      <c r="K518" s="114" t="s">
        <v>57</v>
      </c>
      <c r="L518" s="113" t="s">
        <v>57</v>
      </c>
      <c r="M518" s="233" t="s">
        <v>556</v>
      </c>
      <c r="N518" s="115">
        <v>146477</v>
      </c>
      <c r="O518" s="87" t="s">
        <v>18</v>
      </c>
      <c r="P518" s="171"/>
      <c r="Q518" s="210"/>
    </row>
    <row r="519" spans="1:17" hidden="1" x14ac:dyDescent="0.2">
      <c r="A519" s="194" t="s">
        <v>615</v>
      </c>
      <c r="B519" s="188">
        <v>2017813</v>
      </c>
      <c r="C519" s="188">
        <v>59159</v>
      </c>
      <c r="D519" s="188" t="s">
        <v>616</v>
      </c>
      <c r="E519" s="199">
        <v>64</v>
      </c>
      <c r="F519" s="199" t="str">
        <f>IF(E519&lt;=20,"0-19",
IF(E519&lt;=50,"20-49",
IF(E519&lt;=80,"50-79","80+")))</f>
        <v>50-79</v>
      </c>
      <c r="G519" s="199" t="s">
        <v>60</v>
      </c>
      <c r="H519" s="199" t="s">
        <v>22</v>
      </c>
      <c r="I519" s="199" t="s">
        <v>617</v>
      </c>
      <c r="J519" s="199" t="s">
        <v>2288</v>
      </c>
      <c r="K519" s="199" t="s">
        <v>289</v>
      </c>
      <c r="L519" s="188" t="s">
        <v>289</v>
      </c>
      <c r="M519" s="233" t="s">
        <v>556</v>
      </c>
      <c r="N519" s="192">
        <v>53333</v>
      </c>
      <c r="O519" s="87" t="s">
        <v>18</v>
      </c>
      <c r="P519" s="171"/>
      <c r="Q519" s="210"/>
    </row>
    <row r="520" spans="1:17" hidden="1" x14ac:dyDescent="0.2">
      <c r="A520" s="139" t="s">
        <v>155</v>
      </c>
      <c r="B520" s="87">
        <v>2008457</v>
      </c>
      <c r="C520" s="87">
        <v>107319</v>
      </c>
      <c r="D520" s="87" t="s">
        <v>589</v>
      </c>
      <c r="E520" s="86">
        <v>20</v>
      </c>
      <c r="F520" s="86" t="str">
        <f>IF(E520&lt;=20,"0-19",
IF(E520&lt;=50,"20-49",
IF(E520&lt;=80,"50-79","80+")))</f>
        <v>0-19</v>
      </c>
      <c r="G520" s="87" t="s">
        <v>49</v>
      </c>
      <c r="H520" s="87" t="s">
        <v>132</v>
      </c>
      <c r="I520" s="87" t="s">
        <v>590</v>
      </c>
      <c r="J520" s="87" t="s">
        <v>2288</v>
      </c>
      <c r="K520" s="86" t="s">
        <v>66</v>
      </c>
      <c r="L520" s="86" t="s">
        <v>66</v>
      </c>
      <c r="M520" s="234" t="s">
        <v>556</v>
      </c>
      <c r="N520" s="97">
        <v>30000</v>
      </c>
      <c r="O520" s="87" t="s">
        <v>18</v>
      </c>
      <c r="P520" s="171"/>
      <c r="Q520" s="210"/>
    </row>
    <row r="521" spans="1:17" hidden="1" x14ac:dyDescent="0.2">
      <c r="A521" s="139" t="s">
        <v>1482</v>
      </c>
      <c r="B521" s="92">
        <v>2003008</v>
      </c>
      <c r="C521" s="82">
        <v>53413</v>
      </c>
      <c r="D521" s="92" t="s">
        <v>1483</v>
      </c>
      <c r="E521" s="92">
        <v>64</v>
      </c>
      <c r="F521" s="92" t="str">
        <f>IF(E521&lt;=20,"0-19",
IF(E521&lt;=50,"20-49",
IF(E521&lt;=80,"50-79","80+")))</f>
        <v>50-79</v>
      </c>
      <c r="G521" s="92" t="s">
        <v>60</v>
      </c>
      <c r="H521" s="92" t="s">
        <v>22</v>
      </c>
      <c r="I521" s="92" t="s">
        <v>1484</v>
      </c>
      <c r="J521" s="92" t="s">
        <v>2288</v>
      </c>
      <c r="K521" s="92" t="s">
        <v>1260</v>
      </c>
      <c r="L521" s="93" t="s">
        <v>1260</v>
      </c>
      <c r="M521" s="232" t="s">
        <v>556</v>
      </c>
      <c r="N521" s="101">
        <v>43474</v>
      </c>
      <c r="O521" s="82" t="s">
        <v>832</v>
      </c>
      <c r="P521" s="170"/>
      <c r="Q521" s="210"/>
    </row>
    <row r="522" spans="1:17" hidden="1" x14ac:dyDescent="0.2">
      <c r="A522" s="139" t="s">
        <v>373</v>
      </c>
      <c r="B522" s="113">
        <v>2009247</v>
      </c>
      <c r="C522" s="113">
        <v>17293</v>
      </c>
      <c r="D522" s="114" t="s">
        <v>613</v>
      </c>
      <c r="E522" s="113">
        <v>68</v>
      </c>
      <c r="F522" s="113" t="str">
        <f>IF(E522&lt;=20,"0-19",
IF(E522&lt;=50,"20-49",
IF(E522&lt;=80,"50-79","80+")))</f>
        <v>50-79</v>
      </c>
      <c r="G522" s="113" t="s">
        <v>49</v>
      </c>
      <c r="H522" s="113" t="s">
        <v>15</v>
      </c>
      <c r="I522" s="114" t="s">
        <v>614</v>
      </c>
      <c r="J522" s="114" t="s">
        <v>2288</v>
      </c>
      <c r="K522" s="114" t="s">
        <v>42</v>
      </c>
      <c r="L522" s="113" t="s">
        <v>42</v>
      </c>
      <c r="M522" s="233" t="s">
        <v>556</v>
      </c>
      <c r="N522" s="115">
        <v>196302</v>
      </c>
      <c r="O522" s="82" t="s">
        <v>18</v>
      </c>
      <c r="P522" s="170"/>
      <c r="Q522" s="210"/>
    </row>
    <row r="523" spans="1:17" hidden="1" x14ac:dyDescent="0.2">
      <c r="A523" s="104" t="s">
        <v>155</v>
      </c>
      <c r="B523" s="88">
        <v>2002439</v>
      </c>
      <c r="C523" s="87">
        <v>55156</v>
      </c>
      <c r="D523" s="88" t="s">
        <v>361</v>
      </c>
      <c r="E523" s="88">
        <v>75</v>
      </c>
      <c r="F523" s="88" t="str">
        <f>IF(E523&lt;=20,"0-19",
IF(E523&lt;=50,"20-49",
IF(E523&lt;=80,"50-79","80+")))</f>
        <v>50-79</v>
      </c>
      <c r="G523" s="88" t="s">
        <v>60</v>
      </c>
      <c r="H523" s="88" t="s">
        <v>22</v>
      </c>
      <c r="I523" s="88" t="s">
        <v>1297</v>
      </c>
      <c r="J523" s="88" t="s">
        <v>2288</v>
      </c>
      <c r="K523" s="88" t="s">
        <v>1594</v>
      </c>
      <c r="L523" s="88" t="s">
        <v>1594</v>
      </c>
      <c r="M523" s="234" t="s">
        <v>556</v>
      </c>
      <c r="N523" s="163">
        <v>62818</v>
      </c>
      <c r="O523" s="163" t="s">
        <v>2254</v>
      </c>
      <c r="P523" s="168">
        <v>254722274662</v>
      </c>
      <c r="Q523" s="210"/>
    </row>
    <row r="524" spans="1:17" hidden="1" x14ac:dyDescent="0.2">
      <c r="A524" s="139" t="s">
        <v>1482</v>
      </c>
      <c r="B524" s="92">
        <v>2507394</v>
      </c>
      <c r="C524" s="82">
        <v>60168</v>
      </c>
      <c r="D524" s="92" t="s">
        <v>1485</v>
      </c>
      <c r="E524" s="92">
        <v>60</v>
      </c>
      <c r="F524" s="92" t="str">
        <f>IF(E524&lt;=20,"0-19",
IF(E524&lt;=50,"20-49",
IF(E524&lt;=80,"50-79","80+")))</f>
        <v>50-79</v>
      </c>
      <c r="G524" s="92" t="s">
        <v>60</v>
      </c>
      <c r="H524" s="92" t="s">
        <v>22</v>
      </c>
      <c r="I524" s="92" t="s">
        <v>1297</v>
      </c>
      <c r="J524" s="92" t="s">
        <v>2288</v>
      </c>
      <c r="K524" s="92" t="s">
        <v>1260</v>
      </c>
      <c r="L524" s="93" t="s">
        <v>1260</v>
      </c>
      <c r="M524" s="232" t="s">
        <v>556</v>
      </c>
      <c r="N524" s="101">
        <v>34317</v>
      </c>
      <c r="O524" s="82" t="s">
        <v>832</v>
      </c>
      <c r="P524" s="171"/>
      <c r="Q524" s="210"/>
    </row>
    <row r="525" spans="1:17" hidden="1" x14ac:dyDescent="0.2">
      <c r="A525" s="139" t="s">
        <v>1295</v>
      </c>
      <c r="B525" s="82">
        <v>2407093</v>
      </c>
      <c r="C525" s="82">
        <v>56843</v>
      </c>
      <c r="D525" s="82" t="s">
        <v>1296</v>
      </c>
      <c r="E525" s="82">
        <v>61</v>
      </c>
      <c r="F525" s="82" t="str">
        <f>IF(E525&lt;=20,"0-19",
IF(E525&lt;=50,"20-49",
IF(E525&lt;=80,"50-79","80+")))</f>
        <v>50-79</v>
      </c>
      <c r="G525" s="82" t="s">
        <v>49</v>
      </c>
      <c r="H525" s="82" t="s">
        <v>15</v>
      </c>
      <c r="I525" s="82" t="s">
        <v>1297</v>
      </c>
      <c r="J525" s="82" t="s">
        <v>2288</v>
      </c>
      <c r="K525" s="82" t="s">
        <v>1225</v>
      </c>
      <c r="L525" s="82" t="s">
        <v>1225</v>
      </c>
      <c r="M525" s="232" t="s">
        <v>556</v>
      </c>
      <c r="N525" s="84">
        <v>36643</v>
      </c>
      <c r="O525" s="82" t="s">
        <v>832</v>
      </c>
      <c r="P525" s="170"/>
      <c r="Q525" s="210"/>
    </row>
    <row r="526" spans="1:17" ht="21" hidden="1" x14ac:dyDescent="0.2">
      <c r="A526" s="103" t="s">
        <v>337</v>
      </c>
      <c r="B526" s="113">
        <v>2003890</v>
      </c>
      <c r="C526" s="113">
        <v>15129</v>
      </c>
      <c r="D526" s="114" t="s">
        <v>568</v>
      </c>
      <c r="E526" s="113">
        <v>65</v>
      </c>
      <c r="F526" s="113" t="str">
        <f>IF(E526&lt;=20,"0-19",
IF(E526&lt;=50,"20-49",
IF(E526&lt;=80,"50-79","80+")))</f>
        <v>50-79</v>
      </c>
      <c r="G526" s="113" t="s">
        <v>60</v>
      </c>
      <c r="H526" s="113" t="s">
        <v>22</v>
      </c>
      <c r="I526" s="114" t="s">
        <v>567</v>
      </c>
      <c r="J526" s="114" t="s">
        <v>2288</v>
      </c>
      <c r="K526" s="114" t="s">
        <v>569</v>
      </c>
      <c r="L526" s="113" t="s">
        <v>51</v>
      </c>
      <c r="M526" s="233" t="s">
        <v>556</v>
      </c>
      <c r="N526" s="115">
        <v>30000</v>
      </c>
      <c r="O526" s="82" t="s">
        <v>18</v>
      </c>
      <c r="P526" s="170"/>
      <c r="Q526" s="210"/>
    </row>
    <row r="527" spans="1:17" hidden="1" x14ac:dyDescent="0.2">
      <c r="A527" s="139" t="s">
        <v>565</v>
      </c>
      <c r="B527" s="113">
        <v>2018319</v>
      </c>
      <c r="C527" s="113">
        <v>101582</v>
      </c>
      <c r="D527" s="114" t="s">
        <v>566</v>
      </c>
      <c r="E527" s="113">
        <v>49</v>
      </c>
      <c r="F527" s="113" t="str">
        <f>IF(E527&lt;=20,"0-19",
IF(E527&lt;=50,"20-49",
IF(E527&lt;=80,"50-79","80+")))</f>
        <v>20-49</v>
      </c>
      <c r="G527" s="113" t="s">
        <v>49</v>
      </c>
      <c r="H527" s="113" t="s">
        <v>15</v>
      </c>
      <c r="I527" s="114" t="s">
        <v>567</v>
      </c>
      <c r="J527" s="114" t="s">
        <v>2288</v>
      </c>
      <c r="K527" s="114" t="s">
        <v>37</v>
      </c>
      <c r="L527" s="113" t="s">
        <v>37</v>
      </c>
      <c r="M527" s="233" t="s">
        <v>556</v>
      </c>
      <c r="N527" s="115">
        <v>60000</v>
      </c>
      <c r="O527" s="87" t="s">
        <v>18</v>
      </c>
      <c r="P527" s="171"/>
      <c r="Q527" s="210"/>
    </row>
    <row r="528" spans="1:17" ht="21" hidden="1" x14ac:dyDescent="0.2">
      <c r="A528" s="108" t="s">
        <v>544</v>
      </c>
      <c r="B528" s="87">
        <v>2006072</v>
      </c>
      <c r="C528" s="87">
        <v>17405</v>
      </c>
      <c r="D528" s="87" t="s">
        <v>608</v>
      </c>
      <c r="E528" s="86">
        <v>75</v>
      </c>
      <c r="F528" s="86" t="str">
        <f>IF(E528&lt;=20,"0-19",
IF(E528&lt;=50,"20-49",
IF(E528&lt;=80,"50-79","80+")))</f>
        <v>50-79</v>
      </c>
      <c r="G528" s="87" t="s">
        <v>49</v>
      </c>
      <c r="H528" s="87" t="s">
        <v>15</v>
      </c>
      <c r="I528" s="87" t="s">
        <v>567</v>
      </c>
      <c r="J528" s="87" t="s">
        <v>2288</v>
      </c>
      <c r="K528" s="86" t="s">
        <v>207</v>
      </c>
      <c r="L528" s="86" t="s">
        <v>31</v>
      </c>
      <c r="M528" s="234" t="s">
        <v>556</v>
      </c>
      <c r="N528" s="97">
        <v>120000</v>
      </c>
      <c r="O528" s="87" t="s">
        <v>18</v>
      </c>
      <c r="P528" s="171"/>
      <c r="Q528" s="210"/>
    </row>
    <row r="529" spans="1:17" hidden="1" x14ac:dyDescent="0.2">
      <c r="A529" s="104" t="s">
        <v>373</v>
      </c>
      <c r="B529" s="87">
        <v>2009475</v>
      </c>
      <c r="C529" s="87">
        <v>20552</v>
      </c>
      <c r="D529" s="87" t="s">
        <v>1744</v>
      </c>
      <c r="E529" s="87">
        <v>70</v>
      </c>
      <c r="F529" s="87" t="str">
        <f>IF(E529&lt;=20,"0-19",
IF(E529&lt;=50,"20-49",
IF(E529&lt;=80,"50-79","80+")))</f>
        <v>50-79</v>
      </c>
      <c r="G529" s="87" t="s">
        <v>49</v>
      </c>
      <c r="H529" s="87" t="s">
        <v>15</v>
      </c>
      <c r="I529" s="86" t="s">
        <v>1745</v>
      </c>
      <c r="J529" s="86" t="s">
        <v>2288</v>
      </c>
      <c r="K529" s="87" t="s">
        <v>1567</v>
      </c>
      <c r="L529" s="87" t="s">
        <v>1567</v>
      </c>
      <c r="M529" s="234" t="s">
        <v>556</v>
      </c>
      <c r="N529" s="161">
        <v>130469</v>
      </c>
      <c r="O529" s="161" t="s">
        <v>2254</v>
      </c>
      <c r="P529" s="168">
        <v>254722700491</v>
      </c>
      <c r="Q529" s="210"/>
    </row>
    <row r="530" spans="1:17" ht="21" hidden="1" x14ac:dyDescent="0.2">
      <c r="A530" s="106" t="s">
        <v>603</v>
      </c>
      <c r="B530" s="88">
        <v>2013052</v>
      </c>
      <c r="C530" s="87">
        <v>60038</v>
      </c>
      <c r="D530" s="88" t="s">
        <v>604</v>
      </c>
      <c r="E530" s="88">
        <v>54</v>
      </c>
      <c r="F530" s="88" t="str">
        <f>IF(E530&lt;=20,"0-19",
IF(E530&lt;=50,"20-49",
IF(E530&lt;=80,"50-79","80+")))</f>
        <v>50-79</v>
      </c>
      <c r="G530" s="88" t="s">
        <v>49</v>
      </c>
      <c r="H530" s="88" t="s">
        <v>15</v>
      </c>
      <c r="I530" s="88" t="s">
        <v>605</v>
      </c>
      <c r="J530" s="88" t="s">
        <v>2288</v>
      </c>
      <c r="K530" s="88" t="s">
        <v>606</v>
      </c>
      <c r="L530" s="88" t="s">
        <v>78</v>
      </c>
      <c r="M530" s="233" t="s">
        <v>556</v>
      </c>
      <c r="N530" s="90">
        <v>20000</v>
      </c>
      <c r="O530" s="87" t="s">
        <v>18</v>
      </c>
      <c r="P530" s="171"/>
      <c r="Q530" s="210"/>
    </row>
    <row r="531" spans="1:17" hidden="1" x14ac:dyDescent="0.2">
      <c r="A531" s="105" t="s">
        <v>72</v>
      </c>
      <c r="B531" s="82">
        <v>2005658</v>
      </c>
      <c r="C531" s="82">
        <v>54643</v>
      </c>
      <c r="D531" s="82" t="s">
        <v>1577</v>
      </c>
      <c r="E531" s="82">
        <v>60</v>
      </c>
      <c r="F531" s="82" t="str">
        <f>IF(E531&lt;=20,"0-19",
IF(E531&lt;=50,"20-49",
IF(E531&lt;=80,"50-79","80+")))</f>
        <v>50-79</v>
      </c>
      <c r="G531" s="82" t="s">
        <v>49</v>
      </c>
      <c r="H531" s="82" t="s">
        <v>15</v>
      </c>
      <c r="I531" s="92" t="s">
        <v>1578</v>
      </c>
      <c r="J531" s="92" t="s">
        <v>2288</v>
      </c>
      <c r="K531" s="82" t="s">
        <v>1567</v>
      </c>
      <c r="L531" s="82" t="s">
        <v>1567</v>
      </c>
      <c r="M531" s="231" t="s">
        <v>556</v>
      </c>
      <c r="N531" s="151">
        <v>12000</v>
      </c>
      <c r="O531" s="151" t="s">
        <v>2254</v>
      </c>
      <c r="P531" s="152">
        <v>254715509227</v>
      </c>
      <c r="Q531" s="210"/>
    </row>
    <row r="532" spans="1:17" hidden="1" x14ac:dyDescent="0.2">
      <c r="A532" s="139" t="s">
        <v>1482</v>
      </c>
      <c r="B532" s="82">
        <v>2002477</v>
      </c>
      <c r="C532" s="82">
        <v>18273</v>
      </c>
      <c r="D532" s="82" t="s">
        <v>1129</v>
      </c>
      <c r="E532" s="82">
        <v>68</v>
      </c>
      <c r="F532" s="82" t="str">
        <f>IF(E532&lt;=20,"0-19",
IF(E532&lt;=50,"20-49",
IF(E532&lt;=80,"50-79","80+")))</f>
        <v>50-79</v>
      </c>
      <c r="G532" s="82" t="s">
        <v>60</v>
      </c>
      <c r="H532" s="82" t="s">
        <v>22</v>
      </c>
      <c r="I532" s="92" t="s">
        <v>1130</v>
      </c>
      <c r="J532" s="92" t="s">
        <v>2288</v>
      </c>
      <c r="K532" s="92" t="s">
        <v>855</v>
      </c>
      <c r="L532" s="82" t="s">
        <v>855</v>
      </c>
      <c r="M532" s="231" t="s">
        <v>556</v>
      </c>
      <c r="N532" s="84">
        <v>37779.4</v>
      </c>
      <c r="O532" s="82" t="s">
        <v>832</v>
      </c>
      <c r="P532" s="170"/>
      <c r="Q532" s="210"/>
    </row>
    <row r="533" spans="1:17" hidden="1" x14ac:dyDescent="0.2">
      <c r="A533" s="139" t="s">
        <v>53</v>
      </c>
      <c r="B533" s="82">
        <v>2006553</v>
      </c>
      <c r="C533" s="82">
        <v>100752</v>
      </c>
      <c r="D533" s="82" t="s">
        <v>1131</v>
      </c>
      <c r="E533" s="82">
        <v>63</v>
      </c>
      <c r="F533" s="82" t="str">
        <f>IF(E533&lt;=20,"0-19",
IF(E533&lt;=50,"20-49",
IF(E533&lt;=80,"50-79","80+")))</f>
        <v>50-79</v>
      </c>
      <c r="G533" s="82" t="s">
        <v>49</v>
      </c>
      <c r="H533" s="82" t="s">
        <v>15</v>
      </c>
      <c r="I533" s="92" t="s">
        <v>1132</v>
      </c>
      <c r="J533" s="92" t="s">
        <v>2288</v>
      </c>
      <c r="K533" s="92" t="s">
        <v>855</v>
      </c>
      <c r="L533" s="82" t="s">
        <v>855</v>
      </c>
      <c r="M533" s="231" t="s">
        <v>556</v>
      </c>
      <c r="N533" s="84">
        <v>70000</v>
      </c>
      <c r="O533" s="82" t="s">
        <v>832</v>
      </c>
      <c r="P533" s="171"/>
      <c r="Q533" s="210"/>
    </row>
    <row r="534" spans="1:17" hidden="1" x14ac:dyDescent="0.2">
      <c r="A534" s="104" t="s">
        <v>53</v>
      </c>
      <c r="B534" s="87">
        <v>2016327</v>
      </c>
      <c r="C534" s="87">
        <v>103314</v>
      </c>
      <c r="D534" s="87" t="s">
        <v>2009</v>
      </c>
      <c r="E534" s="87">
        <v>64</v>
      </c>
      <c r="F534" s="87" t="str">
        <f>IF(E534&lt;=20,"0-19",
IF(E534&lt;=50,"20-49",
IF(E534&lt;=80,"50-79","80+")))</f>
        <v>50-79</v>
      </c>
      <c r="G534" s="87" t="s">
        <v>60</v>
      </c>
      <c r="H534" s="87" t="s">
        <v>22</v>
      </c>
      <c r="I534" s="87" t="s">
        <v>2010</v>
      </c>
      <c r="J534" s="87" t="s">
        <v>2288</v>
      </c>
      <c r="K534" s="86" t="s">
        <v>1922</v>
      </c>
      <c r="L534" s="87" t="s">
        <v>1922</v>
      </c>
      <c r="M534" s="234" t="s">
        <v>556</v>
      </c>
      <c r="N534" s="161">
        <v>50000</v>
      </c>
      <c r="O534" s="161" t="s">
        <v>2254</v>
      </c>
      <c r="P534" s="168">
        <v>254725661357</v>
      </c>
      <c r="Q534" s="210"/>
    </row>
    <row r="535" spans="1:17" hidden="1" x14ac:dyDescent="0.2">
      <c r="A535" s="105" t="s">
        <v>1630</v>
      </c>
      <c r="B535" s="82">
        <v>2017885</v>
      </c>
      <c r="C535" s="82">
        <v>55503</v>
      </c>
      <c r="D535" s="82" t="s">
        <v>1631</v>
      </c>
      <c r="E535" s="82">
        <v>62</v>
      </c>
      <c r="F535" s="82" t="str">
        <f>IF(E535&lt;=20,"0-19",
IF(E535&lt;=50,"20-49",
IF(E535&lt;=80,"50-79","80+")))</f>
        <v>50-79</v>
      </c>
      <c r="G535" s="82" t="s">
        <v>60</v>
      </c>
      <c r="H535" s="82" t="s">
        <v>22</v>
      </c>
      <c r="I535" s="92" t="s">
        <v>1632</v>
      </c>
      <c r="J535" s="92" t="s">
        <v>2288</v>
      </c>
      <c r="K535" s="82" t="s">
        <v>1546</v>
      </c>
      <c r="L535" s="82" t="s">
        <v>1546</v>
      </c>
      <c r="M535" s="231" t="s">
        <v>556</v>
      </c>
      <c r="N535" s="151">
        <v>40093</v>
      </c>
      <c r="O535" s="151" t="s">
        <v>2254</v>
      </c>
      <c r="P535" s="152">
        <v>254713092310</v>
      </c>
      <c r="Q535" s="210"/>
    </row>
    <row r="536" spans="1:17" hidden="1" x14ac:dyDescent="0.2">
      <c r="A536" s="105" t="s">
        <v>1690</v>
      </c>
      <c r="B536" s="82">
        <v>2013818</v>
      </c>
      <c r="C536" s="82">
        <v>14250</v>
      </c>
      <c r="D536" s="82" t="s">
        <v>2114</v>
      </c>
      <c r="E536" s="82">
        <v>63</v>
      </c>
      <c r="F536" s="82" t="str">
        <f>IF(E536&lt;=20,"0-19",
IF(E536&lt;=50,"20-49",
IF(E536&lt;=80,"50-79","80+")))</f>
        <v>50-79</v>
      </c>
      <c r="G536" s="82" t="s">
        <v>14</v>
      </c>
      <c r="H536" s="82" t="s">
        <v>15</v>
      </c>
      <c r="I536" s="82" t="s">
        <v>2115</v>
      </c>
      <c r="J536" s="82" t="s">
        <v>2288</v>
      </c>
      <c r="K536" s="92" t="s">
        <v>1908</v>
      </c>
      <c r="L536" s="82" t="s">
        <v>1908</v>
      </c>
      <c r="M536" s="231" t="s">
        <v>556</v>
      </c>
      <c r="N536" s="151">
        <v>109445</v>
      </c>
      <c r="O536" s="151" t="s">
        <v>2254</v>
      </c>
      <c r="P536" s="152">
        <v>254724125679</v>
      </c>
      <c r="Q536" s="210"/>
    </row>
    <row r="537" spans="1:17" hidden="1" x14ac:dyDescent="0.2">
      <c r="A537" s="139" t="s">
        <v>836</v>
      </c>
      <c r="B537" s="93">
        <v>2001461</v>
      </c>
      <c r="C537" s="82">
        <v>18779</v>
      </c>
      <c r="D537" s="93" t="s">
        <v>1127</v>
      </c>
      <c r="E537" s="93">
        <v>71</v>
      </c>
      <c r="F537" s="93" t="str">
        <f>IF(E537&lt;=20,"0-19",
IF(E537&lt;=50,"20-49",
IF(E537&lt;=80,"50-79","80+")))</f>
        <v>50-79</v>
      </c>
      <c r="G537" s="93" t="s">
        <v>60</v>
      </c>
      <c r="H537" s="93" t="s">
        <v>22</v>
      </c>
      <c r="I537" s="93" t="s">
        <v>1128</v>
      </c>
      <c r="J537" s="93" t="s">
        <v>2288</v>
      </c>
      <c r="K537" s="93" t="s">
        <v>880</v>
      </c>
      <c r="L537" s="93" t="s">
        <v>880</v>
      </c>
      <c r="M537" s="231" t="s">
        <v>556</v>
      </c>
      <c r="N537" s="94">
        <v>25282</v>
      </c>
      <c r="O537" s="82" t="s">
        <v>832</v>
      </c>
      <c r="P537" s="170"/>
      <c r="Q537" s="210"/>
    </row>
    <row r="538" spans="1:17" hidden="1" x14ac:dyDescent="0.2">
      <c r="A538" s="105" t="s">
        <v>155</v>
      </c>
      <c r="B538" s="82">
        <v>2502191</v>
      </c>
      <c r="C538" s="82">
        <v>80863</v>
      </c>
      <c r="D538" s="82" t="s">
        <v>1742</v>
      </c>
      <c r="E538" s="82">
        <v>38</v>
      </c>
      <c r="F538" s="82" t="str">
        <f>IF(E538&lt;=20,"0-19",
IF(E538&lt;=50,"20-49",
IF(E538&lt;=80,"50-79","80+")))</f>
        <v>20-49</v>
      </c>
      <c r="G538" s="82" t="s">
        <v>60</v>
      </c>
      <c r="H538" s="82" t="s">
        <v>22</v>
      </c>
      <c r="I538" s="92" t="s">
        <v>1743</v>
      </c>
      <c r="J538" s="151" t="s">
        <v>2288</v>
      </c>
      <c r="K538" s="82" t="s">
        <v>1559</v>
      </c>
      <c r="L538" s="82" t="s">
        <v>1559</v>
      </c>
      <c r="M538" s="231" t="s">
        <v>556</v>
      </c>
      <c r="N538" s="151">
        <v>130000</v>
      </c>
      <c r="O538" s="151" t="s">
        <v>2254</v>
      </c>
      <c r="P538" s="152">
        <v>254721554732</v>
      </c>
      <c r="Q538" s="210"/>
    </row>
    <row r="539" spans="1:17" hidden="1" x14ac:dyDescent="0.2">
      <c r="A539" s="104" t="s">
        <v>53</v>
      </c>
      <c r="B539" s="87">
        <v>2006375</v>
      </c>
      <c r="C539" s="87">
        <v>68552</v>
      </c>
      <c r="D539" s="87" t="s">
        <v>1604</v>
      </c>
      <c r="E539" s="87"/>
      <c r="F539" s="87" t="str">
        <f>IF(E539&lt;=20,"0-19",
IF(E539&lt;=50,"20-49",
IF(E539&lt;=80,"50-79","80+")))</f>
        <v>0-19</v>
      </c>
      <c r="G539" s="87" t="s">
        <v>14</v>
      </c>
      <c r="H539" s="87" t="s">
        <v>88</v>
      </c>
      <c r="I539" s="86" t="s">
        <v>1605</v>
      </c>
      <c r="J539" s="92" t="s">
        <v>2288</v>
      </c>
      <c r="K539" s="87" t="s">
        <v>1556</v>
      </c>
      <c r="L539" s="87" t="s">
        <v>1556</v>
      </c>
      <c r="M539" s="234" t="s">
        <v>556</v>
      </c>
      <c r="N539" s="161">
        <v>30000</v>
      </c>
      <c r="O539" s="161" t="s">
        <v>2254</v>
      </c>
      <c r="P539" s="168">
        <v>254722420871</v>
      </c>
      <c r="Q539" s="210"/>
    </row>
    <row r="540" spans="1:17" hidden="1" x14ac:dyDescent="0.2">
      <c r="A540" s="103" t="s">
        <v>1940</v>
      </c>
      <c r="B540" s="82">
        <v>2004081</v>
      </c>
      <c r="C540" s="82">
        <v>74710</v>
      </c>
      <c r="D540" s="82" t="s">
        <v>1941</v>
      </c>
      <c r="E540" s="82">
        <v>42</v>
      </c>
      <c r="F540" s="82" t="str">
        <f>IF(E540&lt;=20,"0-19",
IF(E540&lt;=50,"20-49",
IF(E540&lt;=80,"50-79","80+")))</f>
        <v>20-49</v>
      </c>
      <c r="G540" s="82" t="s">
        <v>126</v>
      </c>
      <c r="H540" s="82" t="s">
        <v>664</v>
      </c>
      <c r="I540" s="82" t="s">
        <v>1942</v>
      </c>
      <c r="J540" s="92" t="s">
        <v>2288</v>
      </c>
      <c r="K540" s="92" t="s">
        <v>1921</v>
      </c>
      <c r="L540" s="82" t="s">
        <v>1921</v>
      </c>
      <c r="M540" s="231" t="s">
        <v>1943</v>
      </c>
      <c r="N540" s="151">
        <v>20000</v>
      </c>
      <c r="O540" s="151" t="s">
        <v>2254</v>
      </c>
      <c r="P540" s="152">
        <v>254720890592</v>
      </c>
      <c r="Q540" s="210"/>
    </row>
    <row r="541" spans="1:17" hidden="1" x14ac:dyDescent="0.2">
      <c r="A541" s="105" t="s">
        <v>515</v>
      </c>
      <c r="B541" s="82">
        <v>2012481</v>
      </c>
      <c r="C541" s="82">
        <v>10103</v>
      </c>
      <c r="D541" s="82" t="s">
        <v>1267</v>
      </c>
      <c r="E541" s="82">
        <v>63</v>
      </c>
      <c r="F541" s="82" t="str">
        <f>IF(E541&lt;=20,"0-19",
IF(E541&lt;=50,"20-49",
IF(E541&lt;=80,"50-79","80+")))</f>
        <v>50-79</v>
      </c>
      <c r="G541" s="82" t="s">
        <v>60</v>
      </c>
      <c r="H541" s="82" t="s">
        <v>22</v>
      </c>
      <c r="I541" s="92" t="s">
        <v>227</v>
      </c>
      <c r="J541" s="92" t="s">
        <v>2295</v>
      </c>
      <c r="K541" s="82" t="s">
        <v>1549</v>
      </c>
      <c r="L541" s="82" t="s">
        <v>1549</v>
      </c>
      <c r="M541" s="231" t="s">
        <v>556</v>
      </c>
      <c r="N541" s="151">
        <v>84040</v>
      </c>
      <c r="O541" s="151" t="s">
        <v>2254</v>
      </c>
      <c r="P541" s="152">
        <v>254726559225</v>
      </c>
      <c r="Q541" s="210"/>
    </row>
    <row r="542" spans="1:17" hidden="1" x14ac:dyDescent="0.2">
      <c r="A542" s="139" t="s">
        <v>68</v>
      </c>
      <c r="B542" s="82">
        <v>2016320</v>
      </c>
      <c r="C542" s="82">
        <v>13287</v>
      </c>
      <c r="D542" s="82" t="s">
        <v>1405</v>
      </c>
      <c r="E542" s="82">
        <v>64</v>
      </c>
      <c r="F542" s="82" t="str">
        <f>IF(E542&lt;=20,"0-19",
IF(E542&lt;=50,"20-49",
IF(E542&lt;=80,"50-79","80+")))</f>
        <v>50-79</v>
      </c>
      <c r="G542" s="82" t="s">
        <v>60</v>
      </c>
      <c r="H542" s="82" t="s">
        <v>22</v>
      </c>
      <c r="I542" s="92" t="s">
        <v>227</v>
      </c>
      <c r="J542" s="92" t="s">
        <v>2295</v>
      </c>
      <c r="K542" s="92" t="s">
        <v>1238</v>
      </c>
      <c r="L542" s="92" t="s">
        <v>1238</v>
      </c>
      <c r="M542" s="232" t="s">
        <v>556</v>
      </c>
      <c r="N542" s="84">
        <v>41520</v>
      </c>
      <c r="O542" s="82" t="s">
        <v>832</v>
      </c>
      <c r="P542" s="170"/>
      <c r="Q542" s="210"/>
    </row>
    <row r="543" spans="1:17" hidden="1" x14ac:dyDescent="0.2">
      <c r="A543" s="195" t="s">
        <v>618</v>
      </c>
      <c r="B543" s="190">
        <v>2012118</v>
      </c>
      <c r="C543" s="190">
        <v>18259</v>
      </c>
      <c r="D543" s="190" t="s">
        <v>619</v>
      </c>
      <c r="E543" s="190">
        <v>63</v>
      </c>
      <c r="F543" s="190" t="str">
        <f>IF(E543&lt;=20,"0-19",
IF(E543&lt;=50,"20-49",
IF(E543&lt;=80,"50-79","80+")))</f>
        <v>50-79</v>
      </c>
      <c r="G543" s="190" t="s">
        <v>49</v>
      </c>
      <c r="H543" s="190" t="s">
        <v>15</v>
      </c>
      <c r="I543" s="190" t="s">
        <v>620</v>
      </c>
      <c r="J543" s="190" t="s">
        <v>2295</v>
      </c>
      <c r="K543" s="190" t="s">
        <v>190</v>
      </c>
      <c r="L543" s="190" t="s">
        <v>190</v>
      </c>
      <c r="M543" s="232" t="s">
        <v>556</v>
      </c>
      <c r="N543" s="193">
        <v>127093</v>
      </c>
      <c r="O543" s="82" t="s">
        <v>18</v>
      </c>
      <c r="P543" s="170"/>
      <c r="Q543" s="210"/>
    </row>
    <row r="544" spans="1:17" hidden="1" x14ac:dyDescent="0.2">
      <c r="A544" s="139" t="s">
        <v>570</v>
      </c>
      <c r="B544" s="113">
        <v>2006695</v>
      </c>
      <c r="C544" s="113">
        <v>100802</v>
      </c>
      <c r="D544" s="114" t="s">
        <v>571</v>
      </c>
      <c r="E544" s="113">
        <v>65</v>
      </c>
      <c r="F544" s="113" t="str">
        <f>IF(E544&lt;=20,"0-19",
IF(E544&lt;=50,"20-49",
IF(E544&lt;=80,"50-79","80+")))</f>
        <v>50-79</v>
      </c>
      <c r="G544" s="113" t="s">
        <v>60</v>
      </c>
      <c r="H544" s="113" t="s">
        <v>22</v>
      </c>
      <c r="I544" s="114" t="s">
        <v>572</v>
      </c>
      <c r="J544" s="114" t="s">
        <v>2295</v>
      </c>
      <c r="K544" s="114" t="s">
        <v>37</v>
      </c>
      <c r="L544" s="113" t="s">
        <v>37</v>
      </c>
      <c r="M544" s="233" t="s">
        <v>556</v>
      </c>
      <c r="N544" s="115">
        <v>30000</v>
      </c>
      <c r="O544" s="87" t="s">
        <v>18</v>
      </c>
      <c r="P544" s="171"/>
      <c r="Q544" s="210"/>
    </row>
    <row r="545" spans="1:17" hidden="1" x14ac:dyDescent="0.2">
      <c r="A545" s="139" t="s">
        <v>1136</v>
      </c>
      <c r="B545" s="93">
        <v>2012165</v>
      </c>
      <c r="C545" s="82">
        <v>85480</v>
      </c>
      <c r="D545" s="93" t="s">
        <v>1137</v>
      </c>
      <c r="E545" s="93">
        <v>40</v>
      </c>
      <c r="F545" s="93" t="str">
        <f>IF(E545&lt;=20,"0-19",
IF(E545&lt;=50,"20-49",
IF(E545&lt;=80,"50-79","80+")))</f>
        <v>20-49</v>
      </c>
      <c r="G545" s="93" t="s">
        <v>49</v>
      </c>
      <c r="H545" s="93" t="s">
        <v>15</v>
      </c>
      <c r="I545" s="93" t="s">
        <v>1138</v>
      </c>
      <c r="J545" s="93" t="s">
        <v>2295</v>
      </c>
      <c r="K545" s="93" t="s">
        <v>835</v>
      </c>
      <c r="L545" s="93" t="s">
        <v>835</v>
      </c>
      <c r="M545" s="231" t="s">
        <v>556</v>
      </c>
      <c r="N545" s="94">
        <v>43566.239999999998</v>
      </c>
      <c r="O545" s="82" t="s">
        <v>832</v>
      </c>
      <c r="P545" s="170"/>
      <c r="Q545" s="210"/>
    </row>
    <row r="546" spans="1:17" hidden="1" x14ac:dyDescent="0.2">
      <c r="A546" s="139" t="s">
        <v>155</v>
      </c>
      <c r="B546" s="82">
        <v>2014385</v>
      </c>
      <c r="C546" s="82">
        <v>12663</v>
      </c>
      <c r="D546" s="82" t="s">
        <v>1139</v>
      </c>
      <c r="E546" s="82">
        <v>66</v>
      </c>
      <c r="F546" s="82" t="str">
        <f>IF(E546&lt;=20,"0-19",
IF(E546&lt;=50,"20-49",
IF(E546&lt;=80,"50-79","80+")))</f>
        <v>50-79</v>
      </c>
      <c r="G546" s="82" t="s">
        <v>60</v>
      </c>
      <c r="H546" s="82" t="s">
        <v>22</v>
      </c>
      <c r="I546" s="92" t="s">
        <v>1140</v>
      </c>
      <c r="J546" s="92" t="s">
        <v>2295</v>
      </c>
      <c r="K546" s="92" t="s">
        <v>855</v>
      </c>
      <c r="L546" s="82" t="s">
        <v>855</v>
      </c>
      <c r="M546" s="231" t="s">
        <v>556</v>
      </c>
      <c r="N546" s="84">
        <v>165000</v>
      </c>
      <c r="O546" s="82" t="s">
        <v>832</v>
      </c>
      <c r="P546" s="170"/>
      <c r="Q546" s="210"/>
    </row>
    <row r="547" spans="1:17" hidden="1" x14ac:dyDescent="0.2">
      <c r="A547" s="139" t="s">
        <v>142</v>
      </c>
      <c r="B547" s="82">
        <v>2007427</v>
      </c>
      <c r="C547" s="82">
        <v>57700</v>
      </c>
      <c r="D547" s="82" t="s">
        <v>1404</v>
      </c>
      <c r="E547" s="82">
        <v>64</v>
      </c>
      <c r="F547" s="82" t="str">
        <f>IF(E547&lt;=20,"0-19",
IF(E547&lt;=50,"20-49",
IF(E547&lt;=80,"50-79","80+")))</f>
        <v>50-79</v>
      </c>
      <c r="G547" s="82" t="s">
        <v>49</v>
      </c>
      <c r="H547" s="82" t="s">
        <v>15</v>
      </c>
      <c r="I547" s="82" t="s">
        <v>558</v>
      </c>
      <c r="J547" s="82" t="s">
        <v>2295</v>
      </c>
      <c r="K547" s="82" t="s">
        <v>1231</v>
      </c>
      <c r="L547" s="82" t="s">
        <v>1231</v>
      </c>
      <c r="M547" s="232" t="s">
        <v>556</v>
      </c>
      <c r="N547" s="84">
        <v>122168</v>
      </c>
      <c r="O547" s="82" t="s">
        <v>832</v>
      </c>
      <c r="P547" s="170"/>
      <c r="Q547" s="210"/>
    </row>
    <row r="548" spans="1:17" hidden="1" x14ac:dyDescent="0.2">
      <c r="A548" s="139" t="s">
        <v>19</v>
      </c>
      <c r="B548" s="82">
        <v>2002795</v>
      </c>
      <c r="C548" s="82">
        <v>8034</v>
      </c>
      <c r="D548" s="82" t="s">
        <v>557</v>
      </c>
      <c r="E548" s="92">
        <v>66</v>
      </c>
      <c r="F548" s="92" t="str">
        <f>IF(E548&lt;=20,"0-19",
IF(E548&lt;=50,"20-49",
IF(E548&lt;=80,"50-79","80+")))</f>
        <v>50-79</v>
      </c>
      <c r="G548" s="82" t="s">
        <v>49</v>
      </c>
      <c r="H548" s="82" t="s">
        <v>15</v>
      </c>
      <c r="I548" s="82" t="s">
        <v>558</v>
      </c>
      <c r="J548" s="82" t="s">
        <v>2295</v>
      </c>
      <c r="K548" s="92" t="s">
        <v>85</v>
      </c>
      <c r="L548" s="92" t="s">
        <v>85</v>
      </c>
      <c r="M548" s="231" t="s">
        <v>556</v>
      </c>
      <c r="N548" s="101">
        <v>104500</v>
      </c>
      <c r="O548" s="82" t="s">
        <v>18</v>
      </c>
      <c r="P548" s="170"/>
      <c r="Q548" s="210"/>
    </row>
    <row r="549" spans="1:17" hidden="1" x14ac:dyDescent="0.2">
      <c r="A549" s="104" t="s">
        <v>63</v>
      </c>
      <c r="B549" s="87">
        <v>2407508</v>
      </c>
      <c r="C549" s="87">
        <v>57704</v>
      </c>
      <c r="D549" s="87" t="s">
        <v>2196</v>
      </c>
      <c r="E549" s="87">
        <v>61</v>
      </c>
      <c r="F549" s="87" t="str">
        <f>IF(E549&lt;=20,"0-19",
IF(E549&lt;=50,"20-49",
IF(E549&lt;=80,"50-79","80+")))</f>
        <v>50-79</v>
      </c>
      <c r="G549" s="87" t="s">
        <v>226</v>
      </c>
      <c r="H549" s="87" t="s">
        <v>22</v>
      </c>
      <c r="I549" s="87" t="s">
        <v>2197</v>
      </c>
      <c r="J549" s="87" t="s">
        <v>2295</v>
      </c>
      <c r="K549" s="86" t="s">
        <v>1928</v>
      </c>
      <c r="L549" s="87" t="s">
        <v>1928</v>
      </c>
      <c r="M549" s="234" t="s">
        <v>556</v>
      </c>
      <c r="N549" s="161">
        <v>238482</v>
      </c>
      <c r="O549" s="161" t="s">
        <v>2254</v>
      </c>
      <c r="P549" s="168">
        <v>254726788384</v>
      </c>
      <c r="Q549" s="210"/>
    </row>
    <row r="550" spans="1:17" ht="21" hidden="1" x14ac:dyDescent="0.2">
      <c r="A550" s="107" t="s">
        <v>562</v>
      </c>
      <c r="B550" s="93">
        <v>2002887</v>
      </c>
      <c r="C550" s="82">
        <v>54892</v>
      </c>
      <c r="D550" s="93" t="s">
        <v>563</v>
      </c>
      <c r="E550" s="93">
        <v>64</v>
      </c>
      <c r="F550" s="93" t="str">
        <f>IF(E550&lt;=20,"0-19",
IF(E550&lt;=50,"20-49",
IF(E550&lt;=80,"50-79","80+")))</f>
        <v>50-79</v>
      </c>
      <c r="G550" s="93" t="s">
        <v>49</v>
      </c>
      <c r="H550" s="93" t="s">
        <v>15</v>
      </c>
      <c r="I550" s="93" t="s">
        <v>564</v>
      </c>
      <c r="J550" s="114" t="s">
        <v>2295</v>
      </c>
      <c r="K550" s="117" t="s">
        <v>561</v>
      </c>
      <c r="L550" s="93" t="s">
        <v>78</v>
      </c>
      <c r="M550" s="233" t="s">
        <v>556</v>
      </c>
      <c r="N550" s="94">
        <v>46099.4</v>
      </c>
      <c r="O550" s="82" t="s">
        <v>18</v>
      </c>
      <c r="P550" s="170"/>
      <c r="Q550" s="210"/>
    </row>
    <row r="551" spans="1:17" hidden="1" x14ac:dyDescent="0.2">
      <c r="A551" s="139" t="s">
        <v>142</v>
      </c>
      <c r="B551" s="113">
        <v>2014747</v>
      </c>
      <c r="C551" s="113">
        <v>34481</v>
      </c>
      <c r="D551" s="114" t="s">
        <v>573</v>
      </c>
      <c r="E551" s="113">
        <v>32</v>
      </c>
      <c r="F551" s="113" t="str">
        <f>IF(E551&lt;=20,"0-19",
IF(E551&lt;=50,"20-49",
IF(E551&lt;=80,"50-79","80+")))</f>
        <v>20-49</v>
      </c>
      <c r="G551" s="113" t="s">
        <v>49</v>
      </c>
      <c r="H551" s="113" t="s">
        <v>15</v>
      </c>
      <c r="I551" s="114" t="s">
        <v>574</v>
      </c>
      <c r="J551" s="114" t="s">
        <v>2310</v>
      </c>
      <c r="K551" s="114" t="s">
        <v>57</v>
      </c>
      <c r="L551" s="113" t="s">
        <v>57</v>
      </c>
      <c r="M551" s="233" t="s">
        <v>556</v>
      </c>
      <c r="N551" s="115">
        <v>104777</v>
      </c>
      <c r="O551" s="82" t="s">
        <v>18</v>
      </c>
      <c r="P551" s="170"/>
      <c r="Q551" s="210"/>
    </row>
    <row r="552" spans="1:17" ht="21" hidden="1" x14ac:dyDescent="0.2">
      <c r="A552" s="104" t="s">
        <v>228</v>
      </c>
      <c r="B552" s="86">
        <v>2505152</v>
      </c>
      <c r="C552" s="87">
        <v>67191</v>
      </c>
      <c r="D552" s="86" t="s">
        <v>39</v>
      </c>
      <c r="E552" s="86">
        <v>59</v>
      </c>
      <c r="F552" s="86" t="str">
        <f>IF(E552&lt;=20,"0-19",
IF(E552&lt;=50,"20-49",
IF(E552&lt;=80,"50-79","80+")))</f>
        <v>50-79</v>
      </c>
      <c r="G552" s="86" t="s">
        <v>126</v>
      </c>
      <c r="H552" s="86" t="s">
        <v>22</v>
      </c>
      <c r="I552" s="86" t="s">
        <v>1963</v>
      </c>
      <c r="J552" s="86" t="s">
        <v>2310</v>
      </c>
      <c r="K552" s="86" t="s">
        <v>2264</v>
      </c>
      <c r="L552" s="86" t="s">
        <v>1911</v>
      </c>
      <c r="M552" s="234" t="s">
        <v>556</v>
      </c>
      <c r="N552" s="164">
        <v>29613</v>
      </c>
      <c r="O552" s="164" t="s">
        <v>2254</v>
      </c>
      <c r="P552" s="168">
        <v>254722961245</v>
      </c>
      <c r="Q552" s="210"/>
    </row>
    <row r="553" spans="1:17" hidden="1" x14ac:dyDescent="0.2">
      <c r="A553" s="105" t="s">
        <v>43</v>
      </c>
      <c r="B553" s="82">
        <v>2019611</v>
      </c>
      <c r="C553" s="82">
        <v>71912</v>
      </c>
      <c r="D553" s="82" t="s">
        <v>1694</v>
      </c>
      <c r="E553" s="82">
        <v>42</v>
      </c>
      <c r="F553" s="82" t="str">
        <f>IF(E553&lt;=20,"0-19",
IF(E553&lt;=50,"20-49",
IF(E553&lt;=80,"50-79","80+")))</f>
        <v>20-49</v>
      </c>
      <c r="G553" s="82" t="s">
        <v>60</v>
      </c>
      <c r="H553" s="82" t="s">
        <v>22</v>
      </c>
      <c r="I553" s="92" t="s">
        <v>1695</v>
      </c>
      <c r="J553" s="92" t="s">
        <v>2310</v>
      </c>
      <c r="K553" s="82" t="s">
        <v>1675</v>
      </c>
      <c r="L553" s="82" t="s">
        <v>1675</v>
      </c>
      <c r="M553" s="231" t="s">
        <v>556</v>
      </c>
      <c r="N553" s="151">
        <v>81149.02</v>
      </c>
      <c r="O553" s="151" t="s">
        <v>2254</v>
      </c>
      <c r="P553" s="152">
        <v>254715205323</v>
      </c>
      <c r="Q553" s="210"/>
    </row>
    <row r="554" spans="1:17" hidden="1" x14ac:dyDescent="0.2">
      <c r="A554" s="104" t="s">
        <v>1386</v>
      </c>
      <c r="B554" s="87">
        <v>2017620</v>
      </c>
      <c r="C554" s="87">
        <v>54137</v>
      </c>
      <c r="D554" s="87" t="s">
        <v>1688</v>
      </c>
      <c r="E554" s="87">
        <v>18</v>
      </c>
      <c r="F554" s="87" t="str">
        <f>IF(E554&lt;=20,"0-19",
IF(E554&lt;=50,"20-49",
IF(E554&lt;=80,"50-79","80+")))</f>
        <v>0-19</v>
      </c>
      <c r="G554" s="87" t="s">
        <v>49</v>
      </c>
      <c r="H554" s="87" t="s">
        <v>132</v>
      </c>
      <c r="I554" s="86" t="s">
        <v>1689</v>
      </c>
      <c r="J554" s="114" t="s">
        <v>2311</v>
      </c>
      <c r="K554" s="87" t="s">
        <v>1546</v>
      </c>
      <c r="L554" s="87" t="s">
        <v>1546</v>
      </c>
      <c r="M554" s="234" t="s">
        <v>556</v>
      </c>
      <c r="N554" s="161">
        <v>75000</v>
      </c>
      <c r="O554" s="161" t="s">
        <v>2254</v>
      </c>
      <c r="P554" s="168">
        <v>254722658703</v>
      </c>
      <c r="Q554" s="210"/>
    </row>
    <row r="555" spans="1:17" ht="21" hidden="1" x14ac:dyDescent="0.2">
      <c r="A555" s="139" t="s">
        <v>155</v>
      </c>
      <c r="B555" s="82">
        <v>2014589</v>
      </c>
      <c r="C555" s="82">
        <v>101449</v>
      </c>
      <c r="D555" s="82" t="s">
        <v>591</v>
      </c>
      <c r="E555" s="92">
        <v>66</v>
      </c>
      <c r="F555" s="92" t="str">
        <f>IF(E555&lt;=20,"0-19",
IF(E555&lt;=50,"20-49",
IF(E555&lt;=80,"50-79","80+")))</f>
        <v>50-79</v>
      </c>
      <c r="G555" s="82" t="s">
        <v>60</v>
      </c>
      <c r="H555" s="82" t="s">
        <v>22</v>
      </c>
      <c r="I555" s="82" t="s">
        <v>592</v>
      </c>
      <c r="J555" s="82" t="s">
        <v>2328</v>
      </c>
      <c r="K555" s="92" t="s">
        <v>215</v>
      </c>
      <c r="L555" s="92" t="s">
        <v>94</v>
      </c>
      <c r="M555" s="231" t="s">
        <v>556</v>
      </c>
      <c r="N555" s="101">
        <v>40000</v>
      </c>
      <c r="O555" s="82" t="s">
        <v>18</v>
      </c>
      <c r="P555" s="170"/>
      <c r="Q555" s="210"/>
    </row>
    <row r="556" spans="1:17" ht="31.5" hidden="1" x14ac:dyDescent="0.2">
      <c r="A556" s="139" t="s">
        <v>1502</v>
      </c>
      <c r="B556" s="82">
        <v>2011456</v>
      </c>
      <c r="C556" s="82">
        <v>54164</v>
      </c>
      <c r="D556" s="82" t="s">
        <v>1126</v>
      </c>
      <c r="E556" s="82">
        <v>63</v>
      </c>
      <c r="F556" s="82" t="str">
        <f>IF(E556&lt;=20,"0-19",
IF(E556&lt;=50,"20-49",
IF(E556&lt;=80,"50-79","80+")))</f>
        <v>50-79</v>
      </c>
      <c r="G556" s="82" t="s">
        <v>49</v>
      </c>
      <c r="H556" s="82" t="s">
        <v>15</v>
      </c>
      <c r="I556" s="92" t="s">
        <v>1134</v>
      </c>
      <c r="J556" s="92" t="s">
        <v>2328</v>
      </c>
      <c r="K556" s="92" t="s">
        <v>1135</v>
      </c>
      <c r="L556" s="82" t="s">
        <v>880</v>
      </c>
      <c r="M556" s="231" t="s">
        <v>556</v>
      </c>
      <c r="N556" s="84">
        <v>62277</v>
      </c>
      <c r="O556" s="82" t="s">
        <v>832</v>
      </c>
      <c r="P556" s="171"/>
      <c r="Q556" s="210"/>
    </row>
    <row r="557" spans="1:17" ht="21" hidden="1" x14ac:dyDescent="0.2">
      <c r="A557" s="139" t="s">
        <v>63</v>
      </c>
      <c r="B557" s="82">
        <v>2014680</v>
      </c>
      <c r="C557" s="82">
        <v>37008</v>
      </c>
      <c r="D557" s="82" t="s">
        <v>1141</v>
      </c>
      <c r="E557" s="82">
        <v>79</v>
      </c>
      <c r="F557" s="82" t="str">
        <f>IF(E557&lt;=20,"0-19",
IF(E557&lt;=50,"20-49",
IF(E557&lt;=80,"50-79","80+")))</f>
        <v>50-79</v>
      </c>
      <c r="G557" s="82" t="s">
        <v>49</v>
      </c>
      <c r="H557" s="82" t="s">
        <v>15</v>
      </c>
      <c r="I557" s="92" t="s">
        <v>1142</v>
      </c>
      <c r="J557" s="92" t="s">
        <v>2328</v>
      </c>
      <c r="K557" s="92" t="s">
        <v>851</v>
      </c>
      <c r="L557" s="82" t="s">
        <v>851</v>
      </c>
      <c r="M557" s="231" t="s">
        <v>556</v>
      </c>
      <c r="N557" s="84">
        <v>72916</v>
      </c>
      <c r="O557" s="82" t="s">
        <v>832</v>
      </c>
      <c r="P557" s="171"/>
      <c r="Q557" s="210"/>
    </row>
    <row r="558" spans="1:17" ht="21" hidden="1" x14ac:dyDescent="0.2">
      <c r="A558" s="139" t="s">
        <v>836</v>
      </c>
      <c r="B558" s="82">
        <v>2016420</v>
      </c>
      <c r="C558" s="82">
        <v>58277</v>
      </c>
      <c r="D558" s="82" t="s">
        <v>1145</v>
      </c>
      <c r="E558" s="82">
        <v>62</v>
      </c>
      <c r="F558" s="82" t="str">
        <f>IF(E558&lt;=20,"0-19",
IF(E558&lt;=50,"20-49",
IF(E558&lt;=80,"50-79","80+")))</f>
        <v>50-79</v>
      </c>
      <c r="G558" s="82" t="s">
        <v>60</v>
      </c>
      <c r="H558" s="82" t="s">
        <v>22</v>
      </c>
      <c r="I558" s="92" t="s">
        <v>1146</v>
      </c>
      <c r="J558" s="92" t="s">
        <v>2328</v>
      </c>
      <c r="K558" s="92" t="s">
        <v>834</v>
      </c>
      <c r="L558" s="82" t="s">
        <v>834</v>
      </c>
      <c r="M558" s="231" t="s">
        <v>556</v>
      </c>
      <c r="N558" s="84">
        <v>94888.2</v>
      </c>
      <c r="O558" s="82" t="s">
        <v>832</v>
      </c>
      <c r="P558" s="171"/>
      <c r="Q558" s="210"/>
    </row>
    <row r="559" spans="1:17" hidden="1" x14ac:dyDescent="0.2">
      <c r="A559" s="108" t="s">
        <v>75</v>
      </c>
      <c r="B559" s="113">
        <v>2505061</v>
      </c>
      <c r="C559" s="113">
        <v>59211</v>
      </c>
      <c r="D559" s="114" t="s">
        <v>584</v>
      </c>
      <c r="E559" s="113">
        <v>59</v>
      </c>
      <c r="F559" s="113" t="str">
        <f>IF(E559&lt;=20,"0-19",
IF(E559&lt;=50,"20-49",
IF(E559&lt;=80,"50-79","80+")))</f>
        <v>50-79</v>
      </c>
      <c r="G559" s="113" t="s">
        <v>585</v>
      </c>
      <c r="H559" s="113" t="s">
        <v>22</v>
      </c>
      <c r="I559" s="114" t="s">
        <v>586</v>
      </c>
      <c r="J559" s="82" t="s">
        <v>2270</v>
      </c>
      <c r="K559" s="114" t="s">
        <v>51</v>
      </c>
      <c r="L559" s="113" t="s">
        <v>51</v>
      </c>
      <c r="M559" s="233" t="s">
        <v>556</v>
      </c>
      <c r="N559" s="115">
        <v>70463.55</v>
      </c>
      <c r="O559" s="87" t="s">
        <v>18</v>
      </c>
      <c r="P559" s="171"/>
      <c r="Q559" s="210"/>
    </row>
    <row r="560" spans="1:17" hidden="1" x14ac:dyDescent="0.2">
      <c r="A560" s="105" t="s">
        <v>72</v>
      </c>
      <c r="B560" s="82">
        <v>2507207</v>
      </c>
      <c r="C560" s="82">
        <v>62415</v>
      </c>
      <c r="D560" s="82" t="s">
        <v>593</v>
      </c>
      <c r="E560" s="92">
        <v>57</v>
      </c>
      <c r="F560" s="92" t="str">
        <f>IF(E560&lt;=20,"0-19",
IF(E560&lt;=50,"20-49",
IF(E560&lt;=80,"50-79","80+")))</f>
        <v>50-79</v>
      </c>
      <c r="G560" s="82" t="s">
        <v>49</v>
      </c>
      <c r="H560" s="82" t="s">
        <v>15</v>
      </c>
      <c r="I560" s="82" t="s">
        <v>595</v>
      </c>
      <c r="J560" s="82" t="s">
        <v>2270</v>
      </c>
      <c r="K560" s="92" t="s">
        <v>85</v>
      </c>
      <c r="L560" s="92" t="s">
        <v>85</v>
      </c>
      <c r="M560" s="231" t="s">
        <v>556</v>
      </c>
      <c r="N560" s="101">
        <v>58803</v>
      </c>
      <c r="O560" s="82" t="s">
        <v>18</v>
      </c>
      <c r="P560" s="170"/>
      <c r="Q560" s="210"/>
    </row>
    <row r="561" spans="1:17" hidden="1" x14ac:dyDescent="0.2">
      <c r="A561" s="104" t="s">
        <v>72</v>
      </c>
      <c r="B561" s="113">
        <v>2507207</v>
      </c>
      <c r="C561" s="113">
        <v>62415</v>
      </c>
      <c r="D561" s="114" t="s">
        <v>593</v>
      </c>
      <c r="E561" s="113">
        <v>57</v>
      </c>
      <c r="F561" s="113" t="str">
        <f>IF(E561&lt;=20,"0-19",
IF(E561&lt;=50,"20-49",
IF(E561&lt;=80,"50-79","80+")))</f>
        <v>50-79</v>
      </c>
      <c r="G561" s="113" t="s">
        <v>49</v>
      </c>
      <c r="H561" s="113" t="s">
        <v>15</v>
      </c>
      <c r="I561" s="114" t="s">
        <v>594</v>
      </c>
      <c r="J561" s="114" t="s">
        <v>2270</v>
      </c>
      <c r="K561" s="114" t="s">
        <v>25</v>
      </c>
      <c r="L561" s="113" t="s">
        <v>25</v>
      </c>
      <c r="M561" s="233" t="s">
        <v>556</v>
      </c>
      <c r="N561" s="115">
        <v>25844</v>
      </c>
      <c r="O561" s="87" t="s">
        <v>18</v>
      </c>
      <c r="P561" s="171"/>
      <c r="Q561" s="210"/>
    </row>
    <row r="562" spans="1:17" hidden="1" x14ac:dyDescent="0.2">
      <c r="A562" s="139" t="s">
        <v>373</v>
      </c>
      <c r="B562" s="82">
        <v>2020358</v>
      </c>
      <c r="C562" s="82">
        <v>56122</v>
      </c>
      <c r="D562" s="82" t="s">
        <v>1149</v>
      </c>
      <c r="E562" s="82">
        <v>60</v>
      </c>
      <c r="F562" s="82" t="str">
        <f>IF(E562&lt;=20,"0-19",
IF(E562&lt;=50,"20-49",
IF(E562&lt;=80,"50-79","80+")))</f>
        <v>50-79</v>
      </c>
      <c r="G562" s="82" t="s">
        <v>49</v>
      </c>
      <c r="H562" s="82" t="s">
        <v>706</v>
      </c>
      <c r="I562" s="82" t="s">
        <v>1150</v>
      </c>
      <c r="J562" s="82" t="s">
        <v>2270</v>
      </c>
      <c r="K562" s="92" t="s">
        <v>859</v>
      </c>
      <c r="L562" s="92" t="s">
        <v>859</v>
      </c>
      <c r="M562" s="231" t="s">
        <v>556</v>
      </c>
      <c r="N562" s="84">
        <v>144965</v>
      </c>
      <c r="O562" s="82" t="s">
        <v>832</v>
      </c>
      <c r="P562" s="170"/>
      <c r="Q562" s="210"/>
    </row>
    <row r="563" spans="1:17" hidden="1" x14ac:dyDescent="0.2">
      <c r="A563" s="139" t="s">
        <v>522</v>
      </c>
      <c r="B563" s="82">
        <v>2020996</v>
      </c>
      <c r="C563" s="82">
        <v>103608</v>
      </c>
      <c r="D563" s="82" t="s">
        <v>1388</v>
      </c>
      <c r="E563" s="82">
        <v>64</v>
      </c>
      <c r="F563" s="82" t="str">
        <f>IF(E563&lt;=20,"0-19",
IF(E563&lt;=50,"20-49",
IF(E563&lt;=80,"50-79","80+")))</f>
        <v>50-79</v>
      </c>
      <c r="G563" s="82" t="s">
        <v>60</v>
      </c>
      <c r="H563" s="82" t="s">
        <v>22</v>
      </c>
      <c r="I563" s="82" t="s">
        <v>1389</v>
      </c>
      <c r="J563" s="82" t="s">
        <v>2270</v>
      </c>
      <c r="K563" s="82" t="s">
        <v>1231</v>
      </c>
      <c r="L563" s="82" t="s">
        <v>1231</v>
      </c>
      <c r="M563" s="232" t="s">
        <v>556</v>
      </c>
      <c r="N563" s="84">
        <v>36499</v>
      </c>
      <c r="O563" s="82" t="s">
        <v>832</v>
      </c>
      <c r="P563" s="171"/>
      <c r="Q563" s="210"/>
    </row>
    <row r="564" spans="1:17" hidden="1" x14ac:dyDescent="0.2">
      <c r="A564" s="105" t="s">
        <v>1410</v>
      </c>
      <c r="B564" s="82">
        <v>2407146</v>
      </c>
      <c r="C564" s="82">
        <v>19408</v>
      </c>
      <c r="D564" s="82" t="s">
        <v>1958</v>
      </c>
      <c r="E564" s="82">
        <v>57</v>
      </c>
      <c r="F564" s="82" t="str">
        <f>IF(E564&lt;=20,"0-19",
IF(E564&lt;=50,"20-49",
IF(E564&lt;=80,"50-79","80+")))</f>
        <v>50-79</v>
      </c>
      <c r="G564" s="82" t="s">
        <v>14</v>
      </c>
      <c r="H564" s="82" t="s">
        <v>15</v>
      </c>
      <c r="I564" s="82" t="s">
        <v>1389</v>
      </c>
      <c r="J564" s="82" t="s">
        <v>2270</v>
      </c>
      <c r="K564" s="92" t="s">
        <v>1921</v>
      </c>
      <c r="L564" s="82" t="s">
        <v>1921</v>
      </c>
      <c r="M564" s="231" t="s">
        <v>556</v>
      </c>
      <c r="N564" s="151">
        <v>26945</v>
      </c>
      <c r="O564" s="151" t="s">
        <v>2254</v>
      </c>
      <c r="P564" s="152">
        <v>254722961245</v>
      </c>
      <c r="Q564" s="210"/>
    </row>
    <row r="565" spans="1:17" hidden="1" x14ac:dyDescent="0.2">
      <c r="A565" s="139" t="s">
        <v>422</v>
      </c>
      <c r="B565" s="113">
        <v>2001006</v>
      </c>
      <c r="C565" s="113">
        <v>18347</v>
      </c>
      <c r="D565" s="114" t="s">
        <v>607</v>
      </c>
      <c r="E565" s="113">
        <v>69</v>
      </c>
      <c r="F565" s="113" t="str">
        <f>IF(E565&lt;=20,"0-19",
IF(E565&lt;=50,"20-49",
IF(E565&lt;=80,"50-79","80+")))</f>
        <v>50-79</v>
      </c>
      <c r="G565" s="113" t="s">
        <v>60</v>
      </c>
      <c r="H565" s="113" t="s">
        <v>22</v>
      </c>
      <c r="I565" s="114" t="s">
        <v>445</v>
      </c>
      <c r="J565" s="114" t="s">
        <v>2270</v>
      </c>
      <c r="K565" s="114" t="s">
        <v>25</v>
      </c>
      <c r="L565" s="113" t="s">
        <v>25</v>
      </c>
      <c r="M565" s="233" t="s">
        <v>556</v>
      </c>
      <c r="N565" s="115">
        <v>75815</v>
      </c>
      <c r="O565" s="82" t="s">
        <v>18</v>
      </c>
      <c r="P565" s="170"/>
      <c r="Q565" s="210"/>
    </row>
    <row r="566" spans="1:17" hidden="1" x14ac:dyDescent="0.2">
      <c r="A566" s="139" t="s">
        <v>1503</v>
      </c>
      <c r="B566" s="82">
        <v>2021923</v>
      </c>
      <c r="C566" s="82">
        <v>56634</v>
      </c>
      <c r="D566" s="82" t="s">
        <v>1522</v>
      </c>
      <c r="E566" s="82">
        <v>62</v>
      </c>
      <c r="F566" s="82" t="str">
        <f>IF(E566&lt;=20,"0-19",
IF(E566&lt;=50,"20-49",
IF(E566&lt;=80,"50-79","80+")))</f>
        <v>50-79</v>
      </c>
      <c r="G566" s="82" t="s">
        <v>60</v>
      </c>
      <c r="H566" s="82" t="s">
        <v>22</v>
      </c>
      <c r="I566" s="82" t="s">
        <v>1523</v>
      </c>
      <c r="J566" s="82" t="s">
        <v>2270</v>
      </c>
      <c r="K566" s="82" t="s">
        <v>1236</v>
      </c>
      <c r="L566" s="82" t="s">
        <v>1236</v>
      </c>
      <c r="M566" s="232" t="s">
        <v>556</v>
      </c>
      <c r="N566" s="84">
        <v>62121.5</v>
      </c>
      <c r="O566" s="82" t="s">
        <v>832</v>
      </c>
      <c r="P566" s="171"/>
      <c r="Q566" s="210"/>
    </row>
    <row r="567" spans="1:17" hidden="1" x14ac:dyDescent="0.2">
      <c r="A567" s="103" t="s">
        <v>75</v>
      </c>
      <c r="B567" s="82">
        <v>2505061</v>
      </c>
      <c r="C567" s="82">
        <v>59211</v>
      </c>
      <c r="D567" s="82" t="s">
        <v>587</v>
      </c>
      <c r="E567" s="92">
        <v>70</v>
      </c>
      <c r="F567" s="92" t="str">
        <f>IF(E567&lt;=20,"0-19",
IF(E567&lt;=50,"20-49",
IF(E567&lt;=80,"50-79","80+")))</f>
        <v>50-79</v>
      </c>
      <c r="G567" s="82" t="s">
        <v>60</v>
      </c>
      <c r="H567" s="82" t="s">
        <v>22</v>
      </c>
      <c r="I567" s="82" t="s">
        <v>588</v>
      </c>
      <c r="J567" s="82" t="s">
        <v>2270</v>
      </c>
      <c r="K567" s="92" t="s">
        <v>95</v>
      </c>
      <c r="L567" s="92" t="s">
        <v>95</v>
      </c>
      <c r="M567" s="231" t="s">
        <v>556</v>
      </c>
      <c r="N567" s="101">
        <v>33725</v>
      </c>
      <c r="O567" s="82" t="s">
        <v>18</v>
      </c>
      <c r="P567" s="170"/>
      <c r="Q567" s="210"/>
    </row>
    <row r="568" spans="1:17" hidden="1" x14ac:dyDescent="0.2">
      <c r="A568" s="104" t="s">
        <v>72</v>
      </c>
      <c r="B568" s="87">
        <v>2407352</v>
      </c>
      <c r="C568" s="87">
        <v>11577</v>
      </c>
      <c r="D568" s="87" t="s">
        <v>596</v>
      </c>
      <c r="E568" s="86">
        <v>63</v>
      </c>
      <c r="F568" s="86" t="str">
        <f>IF(E568&lt;=20,"0-19",
IF(E568&lt;=50,"20-49",
IF(E568&lt;=80,"50-79","80+")))</f>
        <v>50-79</v>
      </c>
      <c r="G568" s="87" t="s">
        <v>49</v>
      </c>
      <c r="H568" s="87" t="s">
        <v>15</v>
      </c>
      <c r="I568" s="87" t="s">
        <v>597</v>
      </c>
      <c r="J568" s="87" t="s">
        <v>2270</v>
      </c>
      <c r="K568" s="86" t="s">
        <v>193</v>
      </c>
      <c r="L568" s="86" t="s">
        <v>193</v>
      </c>
      <c r="M568" s="234" t="s">
        <v>556</v>
      </c>
      <c r="N568" s="97">
        <v>239739</v>
      </c>
      <c r="O568" s="87" t="s">
        <v>18</v>
      </c>
      <c r="P568" s="171"/>
      <c r="Q568" s="210"/>
    </row>
    <row r="569" spans="1:17" hidden="1" x14ac:dyDescent="0.2">
      <c r="A569" s="103" t="s">
        <v>544</v>
      </c>
      <c r="B569" s="82">
        <v>2009023</v>
      </c>
      <c r="C569" s="82">
        <v>18240</v>
      </c>
      <c r="D569" s="82" t="s">
        <v>609</v>
      </c>
      <c r="E569" s="92">
        <v>41</v>
      </c>
      <c r="F569" s="92" t="str">
        <f>IF(E569&lt;=20,"0-19",
IF(E569&lt;=50,"20-49",
IF(E569&lt;=80,"50-79","80+")))</f>
        <v>20-49</v>
      </c>
      <c r="G569" s="82" t="s">
        <v>49</v>
      </c>
      <c r="H569" s="82" t="s">
        <v>15</v>
      </c>
      <c r="I569" s="82" t="s">
        <v>610</v>
      </c>
      <c r="J569" s="82" t="s">
        <v>2270</v>
      </c>
      <c r="K569" s="92" t="s">
        <v>66</v>
      </c>
      <c r="L569" s="92" t="s">
        <v>66</v>
      </c>
      <c r="M569" s="231" t="s">
        <v>556</v>
      </c>
      <c r="N569" s="101">
        <v>100000</v>
      </c>
      <c r="O569" s="82" t="s">
        <v>18</v>
      </c>
      <c r="P569" s="170"/>
      <c r="Q569" s="210"/>
    </row>
    <row r="570" spans="1:17" hidden="1" x14ac:dyDescent="0.2">
      <c r="A570" s="139" t="s">
        <v>337</v>
      </c>
      <c r="B570" s="82">
        <v>2020019</v>
      </c>
      <c r="C570" s="82">
        <v>14642</v>
      </c>
      <c r="D570" s="82" t="s">
        <v>1374</v>
      </c>
      <c r="E570" s="82">
        <v>64</v>
      </c>
      <c r="F570" s="82" t="str">
        <f>IF(E570&lt;=20,"0-19",
IF(E570&lt;=50,"20-49",
IF(E570&lt;=80,"50-79","80+")))</f>
        <v>50-79</v>
      </c>
      <c r="G570" s="82" t="s">
        <v>60</v>
      </c>
      <c r="H570" s="82" t="s">
        <v>22</v>
      </c>
      <c r="I570" s="92" t="s">
        <v>1375</v>
      </c>
      <c r="J570" s="114" t="s">
        <v>2311</v>
      </c>
      <c r="K570" s="92" t="s">
        <v>1242</v>
      </c>
      <c r="L570" s="92" t="s">
        <v>1242</v>
      </c>
      <c r="M570" s="232" t="s">
        <v>556</v>
      </c>
      <c r="N570" s="84">
        <v>20000</v>
      </c>
      <c r="O570" s="82" t="s">
        <v>832</v>
      </c>
      <c r="P570" s="170"/>
      <c r="Q570" s="210"/>
    </row>
    <row r="571" spans="1:17" hidden="1" x14ac:dyDescent="0.2">
      <c r="A571" s="139" t="s">
        <v>785</v>
      </c>
      <c r="B571" s="92">
        <v>2011827</v>
      </c>
      <c r="C571" s="82">
        <v>101320</v>
      </c>
      <c r="D571" s="92" t="s">
        <v>1289</v>
      </c>
      <c r="E571" s="92">
        <v>64</v>
      </c>
      <c r="F571" s="92" t="str">
        <f>IF(E571&lt;=20,"0-19",
IF(E571&lt;=50,"20-49",
IF(E571&lt;=80,"50-79","80+")))</f>
        <v>50-79</v>
      </c>
      <c r="G571" s="92" t="s">
        <v>49</v>
      </c>
      <c r="H571" s="92" t="s">
        <v>15</v>
      </c>
      <c r="I571" s="92" t="s">
        <v>1290</v>
      </c>
      <c r="J571" s="114" t="s">
        <v>2311</v>
      </c>
      <c r="K571" s="92" t="s">
        <v>1260</v>
      </c>
      <c r="L571" s="93" t="s">
        <v>1260</v>
      </c>
      <c r="M571" s="232" t="s">
        <v>556</v>
      </c>
      <c r="N571" s="94">
        <v>120000</v>
      </c>
      <c r="O571" s="82" t="s">
        <v>832</v>
      </c>
      <c r="P571" s="170"/>
      <c r="Q571" s="210"/>
    </row>
    <row r="572" spans="1:17" ht="21" hidden="1" x14ac:dyDescent="0.2">
      <c r="A572" s="139" t="s">
        <v>1502</v>
      </c>
      <c r="B572" s="93">
        <v>200456</v>
      </c>
      <c r="C572" s="82">
        <v>54164</v>
      </c>
      <c r="D572" s="93" t="s">
        <v>1126</v>
      </c>
      <c r="E572" s="93">
        <v>64</v>
      </c>
      <c r="F572" s="93" t="str">
        <f>IF(E572&lt;=20,"0-19",
IF(E572&lt;=50,"20-49",
IF(E572&lt;=80,"50-79","80+")))</f>
        <v>50-79</v>
      </c>
      <c r="G572" s="93" t="s">
        <v>14</v>
      </c>
      <c r="H572" s="93" t="s">
        <v>15</v>
      </c>
      <c r="I572" s="93" t="s">
        <v>842</v>
      </c>
      <c r="J572" s="114" t="s">
        <v>2328</v>
      </c>
      <c r="K572" s="93" t="s">
        <v>880</v>
      </c>
      <c r="L572" s="93" t="s">
        <v>880</v>
      </c>
      <c r="M572" s="231" t="s">
        <v>556</v>
      </c>
      <c r="N572" s="94">
        <v>62277</v>
      </c>
      <c r="O572" s="82" t="s">
        <v>832</v>
      </c>
      <c r="P572" s="170"/>
      <c r="Q572" s="210"/>
    </row>
    <row r="573" spans="1:17" hidden="1" x14ac:dyDescent="0.2">
      <c r="A573" s="105" t="s">
        <v>856</v>
      </c>
      <c r="B573" s="82">
        <v>2013651</v>
      </c>
      <c r="C573" s="82">
        <v>103617</v>
      </c>
      <c r="D573" s="82" t="s">
        <v>2005</v>
      </c>
      <c r="E573" s="82">
        <v>61</v>
      </c>
      <c r="F573" s="82" t="str">
        <f>IF(E573&lt;=20,"0-19",
IF(E573&lt;=50,"20-49",
IF(E573&lt;=80,"50-79","80+")))</f>
        <v>50-79</v>
      </c>
      <c r="G573" s="82" t="s">
        <v>49</v>
      </c>
      <c r="H573" s="82" t="s">
        <v>15</v>
      </c>
      <c r="I573" s="82" t="s">
        <v>164</v>
      </c>
      <c r="J573" s="82" t="s">
        <v>2322</v>
      </c>
      <c r="K573" s="92" t="s">
        <v>1908</v>
      </c>
      <c r="L573" s="82" t="s">
        <v>1908</v>
      </c>
      <c r="M573" s="231" t="s">
        <v>556</v>
      </c>
      <c r="N573" s="151">
        <v>45000</v>
      </c>
      <c r="O573" s="151" t="s">
        <v>2254</v>
      </c>
      <c r="P573" s="152">
        <v>254722459249</v>
      </c>
      <c r="Q573" s="210"/>
    </row>
    <row r="574" spans="1:17" hidden="1" x14ac:dyDescent="0.2">
      <c r="A574" s="139" t="s">
        <v>1482</v>
      </c>
      <c r="B574" s="82">
        <v>2504059</v>
      </c>
      <c r="C574" s="82">
        <v>43518</v>
      </c>
      <c r="D574" s="82" t="s">
        <v>1411</v>
      </c>
      <c r="E574" s="82">
        <v>53</v>
      </c>
      <c r="F574" s="82" t="str">
        <f>IF(E574&lt;=20,"0-19",
IF(E574&lt;=50,"20-49",
IF(E574&lt;=80,"50-79","80+")))</f>
        <v>50-79</v>
      </c>
      <c r="G574" s="82" t="s">
        <v>1412</v>
      </c>
      <c r="H574" s="82" t="s">
        <v>15</v>
      </c>
      <c r="I574" s="82" t="s">
        <v>1413</v>
      </c>
      <c r="J574" s="82" t="s">
        <v>2322</v>
      </c>
      <c r="K574" s="82" t="s">
        <v>1288</v>
      </c>
      <c r="L574" s="82" t="s">
        <v>1288</v>
      </c>
      <c r="M574" s="232" t="s">
        <v>556</v>
      </c>
      <c r="N574" s="84">
        <v>10676.49</v>
      </c>
      <c r="O574" s="82" t="s">
        <v>832</v>
      </c>
      <c r="P574" s="170"/>
      <c r="Q574" s="210"/>
    </row>
    <row r="575" spans="1:17" hidden="1" x14ac:dyDescent="0.2">
      <c r="A575" s="139" t="s">
        <v>43</v>
      </c>
      <c r="B575" s="82">
        <v>2021362</v>
      </c>
      <c r="C575" s="82">
        <v>57442</v>
      </c>
      <c r="D575" s="82" t="s">
        <v>1154</v>
      </c>
      <c r="E575" s="82">
        <v>61</v>
      </c>
      <c r="F575" s="82" t="str">
        <f>IF(E575&lt;=20,"0-19",
IF(E575&lt;=50,"20-49",
IF(E575&lt;=80,"50-79","80+")))</f>
        <v>50-79</v>
      </c>
      <c r="G575" s="82" t="s">
        <v>60</v>
      </c>
      <c r="H575" s="82" t="s">
        <v>22</v>
      </c>
      <c r="I575" s="92" t="s">
        <v>1155</v>
      </c>
      <c r="J575" s="92" t="s">
        <v>2322</v>
      </c>
      <c r="K575" s="92" t="s">
        <v>851</v>
      </c>
      <c r="L575" s="82" t="s">
        <v>851</v>
      </c>
      <c r="M575" s="231" t="s">
        <v>556</v>
      </c>
      <c r="N575" s="84">
        <v>31034</v>
      </c>
      <c r="O575" s="82" t="s">
        <v>832</v>
      </c>
      <c r="P575" s="171"/>
      <c r="Q575" s="210" t="s">
        <v>2537</v>
      </c>
    </row>
    <row r="576" spans="1:17" ht="21" hidden="1" x14ac:dyDescent="0.2">
      <c r="A576" s="139" t="s">
        <v>1386</v>
      </c>
      <c r="B576" s="93">
        <v>2017620</v>
      </c>
      <c r="C576" s="82">
        <v>54137</v>
      </c>
      <c r="D576" s="93" t="s">
        <v>1387</v>
      </c>
      <c r="E576" s="93">
        <v>17</v>
      </c>
      <c r="F576" s="93" t="str">
        <f>IF(E576&lt;=20,"0-19",
IF(E576&lt;=50,"20-49",
IF(E576&lt;=80,"50-79","80+")))</f>
        <v>0-19</v>
      </c>
      <c r="G576" s="93" t="s">
        <v>470</v>
      </c>
      <c r="H576" s="93" t="s">
        <v>88</v>
      </c>
      <c r="I576" s="92" t="s">
        <v>471</v>
      </c>
      <c r="J576" s="114" t="s">
        <v>2314</v>
      </c>
      <c r="K576" s="93" t="s">
        <v>1245</v>
      </c>
      <c r="L576" s="93" t="s">
        <v>1232</v>
      </c>
      <c r="M576" s="232" t="s">
        <v>556</v>
      </c>
      <c r="N576" s="94">
        <v>75000</v>
      </c>
      <c r="O576" s="82" t="s">
        <v>832</v>
      </c>
      <c r="P576" s="171"/>
      <c r="Q576" s="210"/>
    </row>
    <row r="577" spans="1:17" hidden="1" x14ac:dyDescent="0.2">
      <c r="A577" s="105" t="s">
        <v>1653</v>
      </c>
      <c r="B577" s="82">
        <v>2019694</v>
      </c>
      <c r="C577" s="82">
        <v>130106</v>
      </c>
      <c r="D577" s="82" t="s">
        <v>2180</v>
      </c>
      <c r="E577" s="82">
        <v>42</v>
      </c>
      <c r="F577" s="82" t="str">
        <f>IF(E577&lt;=20,"0-19",
IF(E577&lt;=50,"20-49",
IF(E577&lt;=80,"50-79","80+")))</f>
        <v>20-49</v>
      </c>
      <c r="G577" s="82" t="s">
        <v>49</v>
      </c>
      <c r="H577" s="82" t="s">
        <v>15</v>
      </c>
      <c r="I577" s="82" t="s">
        <v>2181</v>
      </c>
      <c r="J577" s="82" t="s">
        <v>2283</v>
      </c>
      <c r="K577" s="92" t="s">
        <v>1922</v>
      </c>
      <c r="L577" s="82" t="s">
        <v>1922</v>
      </c>
      <c r="M577" s="231" t="s">
        <v>556</v>
      </c>
      <c r="N577" s="151">
        <v>203228</v>
      </c>
      <c r="O577" s="151" t="s">
        <v>2254</v>
      </c>
      <c r="P577" s="152">
        <v>254720242011</v>
      </c>
      <c r="Q577" s="210"/>
    </row>
    <row r="578" spans="1:17" hidden="1" x14ac:dyDescent="0.2">
      <c r="A578" s="139" t="s">
        <v>544</v>
      </c>
      <c r="B578" s="82">
        <v>2023609</v>
      </c>
      <c r="C578" s="82">
        <v>21313</v>
      </c>
      <c r="D578" s="82" t="s">
        <v>1156</v>
      </c>
      <c r="E578" s="82">
        <v>49</v>
      </c>
      <c r="F578" s="82" t="str">
        <f>IF(E578&lt;=20,"0-19",
IF(E578&lt;=50,"20-49",
IF(E578&lt;=80,"50-79","80+")))</f>
        <v>20-49</v>
      </c>
      <c r="G578" s="82" t="s">
        <v>49</v>
      </c>
      <c r="H578" s="82" t="s">
        <v>15</v>
      </c>
      <c r="I578" s="82" t="s">
        <v>1157</v>
      </c>
      <c r="J578" s="82" t="s">
        <v>2283</v>
      </c>
      <c r="K578" s="92" t="s">
        <v>919</v>
      </c>
      <c r="L578" s="92" t="s">
        <v>919</v>
      </c>
      <c r="M578" s="231" t="s">
        <v>556</v>
      </c>
      <c r="N578" s="84">
        <v>150000</v>
      </c>
      <c r="O578" s="82" t="s">
        <v>832</v>
      </c>
      <c r="P578" s="170"/>
      <c r="Q578" s="210"/>
    </row>
    <row r="579" spans="1:17" hidden="1" x14ac:dyDescent="0.2">
      <c r="A579" s="103" t="s">
        <v>1940</v>
      </c>
      <c r="B579" s="82">
        <v>2005067</v>
      </c>
      <c r="C579" s="82">
        <v>74710</v>
      </c>
      <c r="D579" s="82" t="s">
        <v>1950</v>
      </c>
      <c r="E579" s="82">
        <v>29</v>
      </c>
      <c r="F579" s="82" t="str">
        <f>IF(E579&lt;=20,"0-19",
IF(E579&lt;=50,"20-49",
IF(E579&lt;=80,"50-79","80+")))</f>
        <v>20-49</v>
      </c>
      <c r="G579" s="82" t="s">
        <v>14</v>
      </c>
      <c r="H579" s="82" t="s">
        <v>15</v>
      </c>
      <c r="I579" s="82" t="s">
        <v>1951</v>
      </c>
      <c r="J579" s="82" t="s">
        <v>2288</v>
      </c>
      <c r="K579" s="92" t="s">
        <v>1921</v>
      </c>
      <c r="L579" s="82" t="s">
        <v>1921</v>
      </c>
      <c r="M579" s="231" t="s">
        <v>1952</v>
      </c>
      <c r="N579" s="151">
        <v>25000</v>
      </c>
      <c r="O579" s="151" t="s">
        <v>2254</v>
      </c>
      <c r="P579" s="152">
        <v>254720981719</v>
      </c>
      <c r="Q579" s="210"/>
    </row>
    <row r="580" spans="1:17" hidden="1" x14ac:dyDescent="0.2">
      <c r="A580" s="103" t="s">
        <v>923</v>
      </c>
      <c r="B580" s="82">
        <v>2013329</v>
      </c>
      <c r="C580" s="82">
        <v>17480</v>
      </c>
      <c r="D580" s="82" t="s">
        <v>2084</v>
      </c>
      <c r="E580" s="82">
        <v>74</v>
      </c>
      <c r="F580" s="82" t="str">
        <f>IF(E580&lt;=20,"0-19",
IF(E580&lt;=50,"20-49",
IF(E580&lt;=80,"50-79","80+")))</f>
        <v>50-79</v>
      </c>
      <c r="G580" s="82" t="s">
        <v>14</v>
      </c>
      <c r="H580" s="82" t="s">
        <v>15</v>
      </c>
      <c r="I580" s="82" t="s">
        <v>2085</v>
      </c>
      <c r="J580" s="82" t="s">
        <v>2328</v>
      </c>
      <c r="K580" s="92" t="s">
        <v>2086</v>
      </c>
      <c r="L580" s="82" t="s">
        <v>1921</v>
      </c>
      <c r="M580" s="231" t="s">
        <v>1952</v>
      </c>
      <c r="N580" s="151">
        <v>84870</v>
      </c>
      <c r="O580" s="151" t="s">
        <v>2254</v>
      </c>
      <c r="P580" s="152">
        <v>254729575525</v>
      </c>
      <c r="Q580" s="210"/>
    </row>
    <row r="581" spans="1:17" hidden="1" x14ac:dyDescent="0.2">
      <c r="A581" s="104" t="s">
        <v>1033</v>
      </c>
      <c r="B581" s="88">
        <v>2505080</v>
      </c>
      <c r="C581" s="87">
        <v>100854</v>
      </c>
      <c r="D581" s="88" t="s">
        <v>2069</v>
      </c>
      <c r="E581" s="88">
        <v>68</v>
      </c>
      <c r="F581" s="88" t="str">
        <f>IF(E581&lt;=20,"0-19",
IF(E581&lt;=50,"20-49",
IF(E581&lt;=80,"50-79","80+")))</f>
        <v>50-79</v>
      </c>
      <c r="G581" s="88" t="s">
        <v>126</v>
      </c>
      <c r="H581" s="88" t="s">
        <v>664</v>
      </c>
      <c r="I581" s="88" t="s">
        <v>2070</v>
      </c>
      <c r="J581" s="82" t="s">
        <v>2270</v>
      </c>
      <c r="K581" s="88" t="s">
        <v>1906</v>
      </c>
      <c r="L581" s="88" t="s">
        <v>1906</v>
      </c>
      <c r="M581" s="233" t="s">
        <v>1952</v>
      </c>
      <c r="N581" s="164">
        <v>80210</v>
      </c>
      <c r="O581" s="164" t="s">
        <v>2254</v>
      </c>
      <c r="P581" s="168">
        <v>254724442391</v>
      </c>
      <c r="Q581" s="210"/>
    </row>
    <row r="582" spans="1:17" hidden="1" x14ac:dyDescent="0.2">
      <c r="A582" s="107" t="s">
        <v>274</v>
      </c>
      <c r="B582" s="82">
        <v>2021278</v>
      </c>
      <c r="C582" s="82">
        <v>56896</v>
      </c>
      <c r="D582" s="82" t="s">
        <v>669</v>
      </c>
      <c r="E582" s="92">
        <v>54</v>
      </c>
      <c r="F582" s="92" t="str">
        <f>IF(E582&lt;=20,"0-19",
IF(E582&lt;=50,"20-49",
IF(E582&lt;=80,"50-79","80+")))</f>
        <v>50-79</v>
      </c>
      <c r="G582" s="82" t="s">
        <v>126</v>
      </c>
      <c r="H582" s="82" t="s">
        <v>664</v>
      </c>
      <c r="I582" s="82" t="s">
        <v>514</v>
      </c>
      <c r="J582" s="82" t="s">
        <v>2295</v>
      </c>
      <c r="K582" s="92" t="s">
        <v>95</v>
      </c>
      <c r="L582" s="92" t="s">
        <v>95</v>
      </c>
      <c r="M582" s="231" t="s">
        <v>670</v>
      </c>
      <c r="N582" s="101">
        <v>43051.64</v>
      </c>
      <c r="O582" s="82" t="s">
        <v>18</v>
      </c>
      <c r="P582" s="170"/>
      <c r="Q582" s="210"/>
    </row>
    <row r="583" spans="1:17" ht="21" hidden="1" x14ac:dyDescent="0.2">
      <c r="A583" s="139" t="s">
        <v>373</v>
      </c>
      <c r="B583" s="82">
        <v>2001578</v>
      </c>
      <c r="C583" s="82">
        <v>18380</v>
      </c>
      <c r="D583" s="82" t="s">
        <v>1163</v>
      </c>
      <c r="E583" s="82">
        <v>62</v>
      </c>
      <c r="F583" s="82" t="str">
        <f>IF(E583&lt;=20,"0-19",
IF(E583&lt;=50,"20-49",
IF(E583&lt;=80,"50-79","80+")))</f>
        <v>50-79</v>
      </c>
      <c r="G583" s="82" t="s">
        <v>60</v>
      </c>
      <c r="H583" s="82" t="s">
        <v>22</v>
      </c>
      <c r="I583" s="92" t="s">
        <v>1164</v>
      </c>
      <c r="J583" s="92" t="s">
        <v>2304</v>
      </c>
      <c r="K583" s="92" t="s">
        <v>1165</v>
      </c>
      <c r="L583" s="82" t="s">
        <v>855</v>
      </c>
      <c r="M583" s="231" t="s">
        <v>623</v>
      </c>
      <c r="N583" s="84">
        <v>80736</v>
      </c>
      <c r="O583" s="82" t="s">
        <v>832</v>
      </c>
      <c r="P583" s="171"/>
      <c r="Q583" s="210"/>
    </row>
    <row r="584" spans="1:17" hidden="1" x14ac:dyDescent="0.2">
      <c r="A584" s="104" t="s">
        <v>1565</v>
      </c>
      <c r="B584" s="87">
        <v>2002228</v>
      </c>
      <c r="C584" s="87">
        <v>31315</v>
      </c>
      <c r="D584" s="87" t="s">
        <v>1285</v>
      </c>
      <c r="E584" s="87">
        <v>72</v>
      </c>
      <c r="F584" s="87" t="str">
        <f>IF(E584&lt;=20,"0-19",
IF(E584&lt;=50,"20-49",
IF(E584&lt;=80,"50-79","80+")))</f>
        <v>50-79</v>
      </c>
      <c r="G584" s="87" t="s">
        <v>60</v>
      </c>
      <c r="H584" s="87" t="s">
        <v>22</v>
      </c>
      <c r="I584" s="87" t="s">
        <v>1914</v>
      </c>
      <c r="J584" s="87" t="s">
        <v>2304</v>
      </c>
      <c r="K584" s="86" t="s">
        <v>1895</v>
      </c>
      <c r="L584" s="87" t="s">
        <v>1895</v>
      </c>
      <c r="M584" s="234" t="s">
        <v>623</v>
      </c>
      <c r="N584" s="161">
        <v>10650</v>
      </c>
      <c r="O584" s="161" t="s">
        <v>2254</v>
      </c>
      <c r="P584" s="168">
        <v>254714272121</v>
      </c>
      <c r="Q584" s="210"/>
    </row>
    <row r="585" spans="1:17" hidden="1" x14ac:dyDescent="0.2">
      <c r="A585" s="139" t="s">
        <v>836</v>
      </c>
      <c r="B585" s="82">
        <v>2502095</v>
      </c>
      <c r="C585" s="82">
        <v>21102</v>
      </c>
      <c r="D585" s="82" t="s">
        <v>665</v>
      </c>
      <c r="E585" s="82">
        <v>57</v>
      </c>
      <c r="F585" s="82" t="str">
        <f>IF(E585&lt;=20,"0-19",
IF(E585&lt;=50,"20-49",
IF(E585&lt;=80,"50-79","80+")))</f>
        <v>50-79</v>
      </c>
      <c r="G585" s="82" t="s">
        <v>60</v>
      </c>
      <c r="H585" s="82" t="s">
        <v>22</v>
      </c>
      <c r="I585" s="82" t="s">
        <v>1440</v>
      </c>
      <c r="J585" s="82" t="s">
        <v>2288</v>
      </c>
      <c r="K585" s="82" t="s">
        <v>1231</v>
      </c>
      <c r="L585" s="82" t="s">
        <v>1231</v>
      </c>
      <c r="M585" s="231" t="s">
        <v>623</v>
      </c>
      <c r="N585" s="84">
        <v>11500</v>
      </c>
      <c r="O585" s="82" t="s">
        <v>832</v>
      </c>
      <c r="P585" s="171"/>
      <c r="Q585" s="210"/>
    </row>
    <row r="586" spans="1:17" hidden="1" x14ac:dyDescent="0.2">
      <c r="A586" s="104" t="s">
        <v>72</v>
      </c>
      <c r="B586" s="114">
        <v>2004283</v>
      </c>
      <c r="C586" s="114">
        <v>13839</v>
      </c>
      <c r="D586" s="114" t="s">
        <v>661</v>
      </c>
      <c r="E586" s="114">
        <v>67</v>
      </c>
      <c r="F586" s="114" t="str">
        <f>IF(E586&lt;=20,"0-19",
IF(E586&lt;=50,"20-49",
IF(E586&lt;=80,"50-79","80+")))</f>
        <v>50-79</v>
      </c>
      <c r="G586" s="114" t="s">
        <v>126</v>
      </c>
      <c r="H586" s="114" t="s">
        <v>22</v>
      </c>
      <c r="I586" s="114" t="s">
        <v>633</v>
      </c>
      <c r="J586" s="114" t="s">
        <v>2295</v>
      </c>
      <c r="K586" s="114" t="s">
        <v>17</v>
      </c>
      <c r="L586" s="114" t="s">
        <v>17</v>
      </c>
      <c r="M586" s="235" t="s">
        <v>623</v>
      </c>
      <c r="N586" s="116">
        <v>11500</v>
      </c>
      <c r="O586" s="87" t="s">
        <v>18</v>
      </c>
      <c r="P586" s="171"/>
      <c r="Q586" s="210"/>
    </row>
    <row r="587" spans="1:17" hidden="1" x14ac:dyDescent="0.2">
      <c r="A587" s="104" t="s">
        <v>72</v>
      </c>
      <c r="B587" s="111">
        <v>2003958</v>
      </c>
      <c r="C587" s="111">
        <v>31482</v>
      </c>
      <c r="D587" s="111" t="s">
        <v>659</v>
      </c>
      <c r="E587" s="111">
        <v>66</v>
      </c>
      <c r="F587" s="111" t="str">
        <f>IF(E587&lt;=20,"0-19",
IF(E587&lt;=50,"20-49",
IF(E587&lt;=80,"50-79","80+")))</f>
        <v>50-79</v>
      </c>
      <c r="G587" s="111" t="s">
        <v>126</v>
      </c>
      <c r="H587" s="111" t="s">
        <v>22</v>
      </c>
      <c r="I587" s="111" t="s">
        <v>633</v>
      </c>
      <c r="J587" s="111" t="s">
        <v>2295</v>
      </c>
      <c r="K587" s="111" t="s">
        <v>17</v>
      </c>
      <c r="L587" s="111" t="s">
        <v>17</v>
      </c>
      <c r="M587" s="235" t="s">
        <v>623</v>
      </c>
      <c r="N587" s="112">
        <v>11500</v>
      </c>
      <c r="O587" s="87" t="s">
        <v>18</v>
      </c>
      <c r="P587" s="171"/>
      <c r="Q587" s="210"/>
    </row>
    <row r="588" spans="1:17" hidden="1" x14ac:dyDescent="0.2">
      <c r="A588" s="103" t="s">
        <v>456</v>
      </c>
      <c r="B588" s="111">
        <v>2010871</v>
      </c>
      <c r="C588" s="111">
        <v>56685</v>
      </c>
      <c r="D588" s="111" t="s">
        <v>678</v>
      </c>
      <c r="E588" s="111">
        <v>63</v>
      </c>
      <c r="F588" s="111" t="str">
        <f>IF(E588&lt;=20,"0-19",
IF(E588&lt;=50,"20-49",
IF(E588&lt;=80,"50-79","80+")))</f>
        <v>50-79</v>
      </c>
      <c r="G588" s="111" t="s">
        <v>126</v>
      </c>
      <c r="H588" s="111" t="s">
        <v>22</v>
      </c>
      <c r="I588" s="111" t="s">
        <v>633</v>
      </c>
      <c r="J588" s="111" t="s">
        <v>2295</v>
      </c>
      <c r="K588" s="111" t="s">
        <v>17</v>
      </c>
      <c r="L588" s="111" t="s">
        <v>17</v>
      </c>
      <c r="M588" s="235" t="s">
        <v>623</v>
      </c>
      <c r="N588" s="112">
        <v>9025</v>
      </c>
      <c r="O588" s="82" t="s">
        <v>18</v>
      </c>
      <c r="P588" s="170"/>
      <c r="Q588" s="210"/>
    </row>
    <row r="589" spans="1:17" hidden="1" x14ac:dyDescent="0.2">
      <c r="A589" s="139" t="s">
        <v>682</v>
      </c>
      <c r="B589" s="114">
        <v>2012620</v>
      </c>
      <c r="C589" s="114">
        <v>102835</v>
      </c>
      <c r="D589" s="114" t="s">
        <v>685</v>
      </c>
      <c r="E589" s="114">
        <v>63</v>
      </c>
      <c r="F589" s="114" t="str">
        <f>IF(E589&lt;=20,"0-19",
IF(E589&lt;=50,"20-49",
IF(E589&lt;=80,"50-79","80+")))</f>
        <v>50-79</v>
      </c>
      <c r="G589" s="114" t="s">
        <v>14</v>
      </c>
      <c r="H589" s="114" t="s">
        <v>15</v>
      </c>
      <c r="I589" s="114" t="s">
        <v>633</v>
      </c>
      <c r="J589" s="114" t="s">
        <v>2295</v>
      </c>
      <c r="K589" s="114" t="s">
        <v>17</v>
      </c>
      <c r="L589" s="114" t="s">
        <v>17</v>
      </c>
      <c r="M589" s="235" t="s">
        <v>623</v>
      </c>
      <c r="N589" s="116">
        <v>10650</v>
      </c>
      <c r="O589" s="82" t="s">
        <v>18</v>
      </c>
      <c r="P589" s="170"/>
      <c r="Q589" s="210"/>
    </row>
    <row r="590" spans="1:17" hidden="1" x14ac:dyDescent="0.2">
      <c r="A590" s="105" t="s">
        <v>1560</v>
      </c>
      <c r="B590" s="92">
        <v>2001823</v>
      </c>
      <c r="C590" s="82">
        <v>10576</v>
      </c>
      <c r="D590" s="92" t="s">
        <v>1561</v>
      </c>
      <c r="E590" s="92">
        <v>72</v>
      </c>
      <c r="F590" s="92" t="str">
        <f>IF(E590&lt;=20,"0-19",
IF(E590&lt;=50,"20-49",
IF(E590&lt;=80,"50-79","80+")))</f>
        <v>50-79</v>
      </c>
      <c r="G590" s="92" t="s">
        <v>126</v>
      </c>
      <c r="H590" s="92" t="s">
        <v>22</v>
      </c>
      <c r="I590" s="92" t="s">
        <v>633</v>
      </c>
      <c r="J590" s="92" t="s">
        <v>2295</v>
      </c>
      <c r="K590" s="92" t="s">
        <v>1562</v>
      </c>
      <c r="L590" s="92" t="s">
        <v>1562</v>
      </c>
      <c r="M590" s="231" t="s">
        <v>623</v>
      </c>
      <c r="N590" s="159">
        <v>10500</v>
      </c>
      <c r="O590" s="159" t="s">
        <v>2254</v>
      </c>
      <c r="P590" s="152">
        <v>254722348407</v>
      </c>
      <c r="Q590" s="210"/>
    </row>
    <row r="591" spans="1:17" hidden="1" x14ac:dyDescent="0.2">
      <c r="A591" s="104" t="s">
        <v>1502</v>
      </c>
      <c r="B591" s="87">
        <v>2003444</v>
      </c>
      <c r="C591" s="87">
        <v>18642</v>
      </c>
      <c r="D591" s="87" t="s">
        <v>680</v>
      </c>
      <c r="E591" s="87">
        <v>63</v>
      </c>
      <c r="F591" s="87" t="str">
        <f>IF(E591&lt;=20,"0-19",
IF(E591&lt;=50,"20-49",
IF(E591&lt;=80,"50-79","80+")))</f>
        <v>50-79</v>
      </c>
      <c r="G591" s="87" t="s">
        <v>60</v>
      </c>
      <c r="H591" s="87" t="s">
        <v>22</v>
      </c>
      <c r="I591" s="86" t="s">
        <v>633</v>
      </c>
      <c r="J591" s="86" t="s">
        <v>2295</v>
      </c>
      <c r="K591" s="87" t="s">
        <v>1549</v>
      </c>
      <c r="L591" s="87" t="s">
        <v>1549</v>
      </c>
      <c r="M591" s="234" t="s">
        <v>623</v>
      </c>
      <c r="N591" s="161">
        <v>9025</v>
      </c>
      <c r="O591" s="161" t="s">
        <v>2254</v>
      </c>
      <c r="P591" s="168">
        <v>254710209301</v>
      </c>
      <c r="Q591" s="210"/>
    </row>
    <row r="592" spans="1:17" hidden="1" x14ac:dyDescent="0.2">
      <c r="A592" s="138" t="s">
        <v>109</v>
      </c>
      <c r="B592" s="113">
        <v>2002228</v>
      </c>
      <c r="C592" s="113">
        <v>31315</v>
      </c>
      <c r="D592" s="114" t="s">
        <v>632</v>
      </c>
      <c r="E592" s="113">
        <v>70</v>
      </c>
      <c r="F592" s="113" t="str">
        <f>IF(E592&lt;=20,"0-19",
IF(E592&lt;=50,"20-49",
IF(E592&lt;=80,"50-79","80+")))</f>
        <v>50-79</v>
      </c>
      <c r="G592" s="113" t="s">
        <v>60</v>
      </c>
      <c r="H592" s="113" t="s">
        <v>22</v>
      </c>
      <c r="I592" s="114" t="s">
        <v>633</v>
      </c>
      <c r="J592" s="114" t="s">
        <v>2295</v>
      </c>
      <c r="K592" s="114" t="s">
        <v>25</v>
      </c>
      <c r="L592" s="113" t="s">
        <v>25</v>
      </c>
      <c r="M592" s="235" t="s">
        <v>623</v>
      </c>
      <c r="N592" s="115">
        <v>10650</v>
      </c>
      <c r="O592" s="87" t="s">
        <v>18</v>
      </c>
      <c r="P592" s="171"/>
      <c r="Q592" s="210"/>
    </row>
    <row r="593" spans="1:17" hidden="1" x14ac:dyDescent="0.2">
      <c r="A593" s="139" t="s">
        <v>687</v>
      </c>
      <c r="B593" s="82">
        <v>2001402</v>
      </c>
      <c r="C593" s="82">
        <v>37163</v>
      </c>
      <c r="D593" s="82" t="s">
        <v>688</v>
      </c>
      <c r="E593" s="82">
        <v>63</v>
      </c>
      <c r="F593" s="82" t="str">
        <f>IF(E593&lt;=20,"0-19",
IF(E593&lt;=50,"20-49",
IF(E593&lt;=80,"50-79","80+")))</f>
        <v>50-79</v>
      </c>
      <c r="G593" s="82" t="s">
        <v>60</v>
      </c>
      <c r="H593" s="82" t="s">
        <v>22</v>
      </c>
      <c r="I593" s="92" t="s">
        <v>633</v>
      </c>
      <c r="J593" s="92" t="s">
        <v>2295</v>
      </c>
      <c r="K593" s="92" t="s">
        <v>846</v>
      </c>
      <c r="L593" s="82" t="s">
        <v>846</v>
      </c>
      <c r="M593" s="231" t="s">
        <v>623</v>
      </c>
      <c r="N593" s="84">
        <v>13000</v>
      </c>
      <c r="O593" s="82" t="s">
        <v>832</v>
      </c>
      <c r="P593" s="170"/>
      <c r="Q593" s="210"/>
    </row>
    <row r="594" spans="1:17" hidden="1" x14ac:dyDescent="0.2">
      <c r="A594" s="139" t="s">
        <v>544</v>
      </c>
      <c r="B594" s="82">
        <v>2012620</v>
      </c>
      <c r="C594" s="82">
        <v>102835</v>
      </c>
      <c r="D594" s="82" t="s">
        <v>686</v>
      </c>
      <c r="E594" s="82">
        <v>64</v>
      </c>
      <c r="F594" s="82" t="str">
        <f>IF(E594&lt;=20,"0-19",
IF(E594&lt;=50,"20-49",
IF(E594&lt;=80,"50-79","80+")))</f>
        <v>50-79</v>
      </c>
      <c r="G594" s="82" t="s">
        <v>49</v>
      </c>
      <c r="H594" s="82" t="s">
        <v>15</v>
      </c>
      <c r="I594" s="92" t="s">
        <v>633</v>
      </c>
      <c r="J594" s="92" t="s">
        <v>2295</v>
      </c>
      <c r="K594" s="92" t="s">
        <v>846</v>
      </c>
      <c r="L594" s="82" t="s">
        <v>846</v>
      </c>
      <c r="M594" s="231" t="s">
        <v>623</v>
      </c>
      <c r="N594" s="84">
        <v>9500</v>
      </c>
      <c r="O594" s="82" t="s">
        <v>832</v>
      </c>
      <c r="P594" s="171"/>
      <c r="Q594" s="210"/>
    </row>
    <row r="595" spans="1:17" hidden="1" x14ac:dyDescent="0.2">
      <c r="A595" s="104" t="s">
        <v>687</v>
      </c>
      <c r="B595" s="87">
        <v>2001404</v>
      </c>
      <c r="C595" s="87">
        <v>37163</v>
      </c>
      <c r="D595" s="87" t="s">
        <v>688</v>
      </c>
      <c r="E595" s="87">
        <v>63</v>
      </c>
      <c r="F595" s="87" t="str">
        <f>IF(E595&lt;=20,"0-19",
IF(E595&lt;=50,"20-49",
IF(E595&lt;=80,"50-79","80+")))</f>
        <v>50-79</v>
      </c>
      <c r="G595" s="87" t="s">
        <v>126</v>
      </c>
      <c r="H595" s="87" t="s">
        <v>22</v>
      </c>
      <c r="I595" s="86" t="s">
        <v>633</v>
      </c>
      <c r="J595" s="86" t="s">
        <v>2295</v>
      </c>
      <c r="K595" s="87" t="s">
        <v>1556</v>
      </c>
      <c r="L595" s="87" t="s">
        <v>1556</v>
      </c>
      <c r="M595" s="234" t="s">
        <v>623</v>
      </c>
      <c r="N595" s="161">
        <v>13000</v>
      </c>
      <c r="O595" s="161" t="s">
        <v>2254</v>
      </c>
      <c r="P595" s="168">
        <v>254715509227</v>
      </c>
      <c r="Q595" s="210"/>
    </row>
    <row r="596" spans="1:17" hidden="1" x14ac:dyDescent="0.2">
      <c r="A596" s="104" t="s">
        <v>544</v>
      </c>
      <c r="B596" s="87">
        <v>2012620</v>
      </c>
      <c r="C596" s="87">
        <v>102835</v>
      </c>
      <c r="D596" s="87" t="s">
        <v>686</v>
      </c>
      <c r="E596" s="87">
        <v>64</v>
      </c>
      <c r="F596" s="87" t="str">
        <f>IF(E596&lt;=20,"0-19",
IF(E596&lt;=50,"20-49",
IF(E596&lt;=80,"50-79","80+")))</f>
        <v>50-79</v>
      </c>
      <c r="G596" s="87" t="s">
        <v>14</v>
      </c>
      <c r="H596" s="87" t="s">
        <v>706</v>
      </c>
      <c r="I596" s="86" t="s">
        <v>633</v>
      </c>
      <c r="J596" s="86" t="s">
        <v>2295</v>
      </c>
      <c r="K596" s="87" t="s">
        <v>1557</v>
      </c>
      <c r="L596" s="87" t="s">
        <v>1556</v>
      </c>
      <c r="M596" s="234" t="s">
        <v>623</v>
      </c>
      <c r="N596" s="161">
        <v>9500</v>
      </c>
      <c r="O596" s="161" t="s">
        <v>2254</v>
      </c>
      <c r="P596" s="168">
        <v>254759231438</v>
      </c>
      <c r="Q596" s="210"/>
    </row>
    <row r="597" spans="1:17" ht="21" hidden="1" x14ac:dyDescent="0.2">
      <c r="A597" s="103" t="s">
        <v>75</v>
      </c>
      <c r="B597" s="113">
        <v>2017742</v>
      </c>
      <c r="C597" s="113">
        <v>37239</v>
      </c>
      <c r="D597" s="114" t="s">
        <v>675</v>
      </c>
      <c r="E597" s="113">
        <v>63</v>
      </c>
      <c r="F597" s="113" t="str">
        <f>IF(E597&lt;=20,"0-19",
IF(E597&lt;=50,"20-49",
IF(E597&lt;=80,"50-79","80+")))</f>
        <v>50-79</v>
      </c>
      <c r="G597" s="113" t="s">
        <v>60</v>
      </c>
      <c r="H597" s="113" t="s">
        <v>22</v>
      </c>
      <c r="I597" s="114" t="s">
        <v>633</v>
      </c>
      <c r="J597" s="114" t="s">
        <v>2295</v>
      </c>
      <c r="K597" s="114" t="s">
        <v>676</v>
      </c>
      <c r="L597" s="113" t="s">
        <v>51</v>
      </c>
      <c r="M597" s="235" t="s">
        <v>623</v>
      </c>
      <c r="N597" s="115">
        <v>9025</v>
      </c>
      <c r="O597" s="82" t="s">
        <v>18</v>
      </c>
      <c r="P597" s="170"/>
      <c r="Q597" s="210"/>
    </row>
    <row r="598" spans="1:17" hidden="1" x14ac:dyDescent="0.2">
      <c r="A598" s="139" t="s">
        <v>682</v>
      </c>
      <c r="B598" s="113">
        <v>2012620</v>
      </c>
      <c r="C598" s="113">
        <v>102835</v>
      </c>
      <c r="D598" s="114" t="s">
        <v>685</v>
      </c>
      <c r="E598" s="113">
        <v>64</v>
      </c>
      <c r="F598" s="113" t="str">
        <f>IF(E598&lt;=20,"0-19",
IF(E598&lt;=50,"20-49",
IF(E598&lt;=80,"50-79","80+")))</f>
        <v>50-79</v>
      </c>
      <c r="G598" s="113" t="s">
        <v>49</v>
      </c>
      <c r="H598" s="113" t="s">
        <v>15</v>
      </c>
      <c r="I598" s="114" t="s">
        <v>633</v>
      </c>
      <c r="J598" s="114" t="s">
        <v>2295</v>
      </c>
      <c r="K598" s="114" t="s">
        <v>51</v>
      </c>
      <c r="L598" s="113" t="s">
        <v>51</v>
      </c>
      <c r="M598" s="235" t="s">
        <v>623</v>
      </c>
      <c r="N598" s="115">
        <v>10650</v>
      </c>
      <c r="O598" s="87" t="s">
        <v>18</v>
      </c>
      <c r="P598" s="171"/>
      <c r="Q598" s="210"/>
    </row>
    <row r="599" spans="1:17" hidden="1" x14ac:dyDescent="0.2">
      <c r="A599" s="105" t="s">
        <v>72</v>
      </c>
      <c r="B599" s="113">
        <v>2004283</v>
      </c>
      <c r="C599" s="113">
        <v>13839</v>
      </c>
      <c r="D599" s="114" t="s">
        <v>662</v>
      </c>
      <c r="E599" s="113">
        <v>68</v>
      </c>
      <c r="F599" s="113" t="str">
        <f>IF(E599&lt;=20,"0-19",
IF(E599&lt;=50,"20-49",
IF(E599&lt;=80,"50-79","80+")))</f>
        <v>50-79</v>
      </c>
      <c r="G599" s="113" t="s">
        <v>60</v>
      </c>
      <c r="H599" s="113" t="s">
        <v>22</v>
      </c>
      <c r="I599" s="114" t="s">
        <v>633</v>
      </c>
      <c r="J599" s="114" t="s">
        <v>2295</v>
      </c>
      <c r="K599" s="114" t="s">
        <v>52</v>
      </c>
      <c r="L599" s="113" t="s">
        <v>52</v>
      </c>
      <c r="M599" s="235" t="s">
        <v>623</v>
      </c>
      <c r="N599" s="115">
        <v>11500</v>
      </c>
      <c r="O599" s="82" t="s">
        <v>18</v>
      </c>
      <c r="P599" s="170"/>
      <c r="Q599" s="210"/>
    </row>
    <row r="600" spans="1:17" hidden="1" x14ac:dyDescent="0.2">
      <c r="A600" s="139" t="s">
        <v>544</v>
      </c>
      <c r="B600" s="82">
        <v>2012620</v>
      </c>
      <c r="C600" s="82">
        <v>102835</v>
      </c>
      <c r="D600" s="82" t="s">
        <v>685</v>
      </c>
      <c r="E600" s="82">
        <v>64</v>
      </c>
      <c r="F600" s="82" t="str">
        <f>IF(E600&lt;=20,"0-19",
IF(E600&lt;=50,"20-49",
IF(E600&lt;=80,"50-79","80+")))</f>
        <v>50-79</v>
      </c>
      <c r="G600" s="82" t="s">
        <v>49</v>
      </c>
      <c r="H600" s="82" t="s">
        <v>15</v>
      </c>
      <c r="I600" s="92" t="s">
        <v>633</v>
      </c>
      <c r="J600" s="92" t="s">
        <v>2295</v>
      </c>
      <c r="K600" s="92" t="s">
        <v>855</v>
      </c>
      <c r="L600" s="82" t="s">
        <v>855</v>
      </c>
      <c r="M600" s="231" t="s">
        <v>623</v>
      </c>
      <c r="N600" s="84">
        <v>9500</v>
      </c>
      <c r="O600" s="82" t="s">
        <v>832</v>
      </c>
      <c r="P600" s="170"/>
      <c r="Q600" s="210"/>
    </row>
    <row r="601" spans="1:17" hidden="1" x14ac:dyDescent="0.2">
      <c r="A601" s="104" t="s">
        <v>544</v>
      </c>
      <c r="B601" s="87">
        <v>2012620</v>
      </c>
      <c r="C601" s="87">
        <v>102835</v>
      </c>
      <c r="D601" s="87" t="s">
        <v>686</v>
      </c>
      <c r="E601" s="87">
        <v>63</v>
      </c>
      <c r="F601" s="87" t="str">
        <f>IF(E601&lt;=20,"0-19",
IF(E601&lt;=50,"20-49",
IF(E601&lt;=80,"50-79","80+")))</f>
        <v>50-79</v>
      </c>
      <c r="G601" s="87" t="s">
        <v>49</v>
      </c>
      <c r="H601" s="87" t="s">
        <v>15</v>
      </c>
      <c r="I601" s="86" t="s">
        <v>633</v>
      </c>
      <c r="J601" s="86" t="s">
        <v>2295</v>
      </c>
      <c r="K601" s="87" t="s">
        <v>1543</v>
      </c>
      <c r="L601" s="87" t="s">
        <v>1543</v>
      </c>
      <c r="M601" s="234" t="s">
        <v>623</v>
      </c>
      <c r="N601" s="161">
        <v>9500</v>
      </c>
      <c r="O601" s="161" t="s">
        <v>2254</v>
      </c>
      <c r="P601" s="168">
        <v>254759231438</v>
      </c>
      <c r="Q601" s="210"/>
    </row>
    <row r="602" spans="1:17" ht="21" hidden="1" x14ac:dyDescent="0.2">
      <c r="A602" s="138" t="s">
        <v>228</v>
      </c>
      <c r="B602" s="113">
        <v>2001033</v>
      </c>
      <c r="C602" s="113">
        <v>5326</v>
      </c>
      <c r="D602" s="114" t="s">
        <v>638</v>
      </c>
      <c r="E602" s="113">
        <v>18</v>
      </c>
      <c r="F602" s="113" t="str">
        <f>IF(E602&lt;=20,"0-19",
IF(E602&lt;=50,"20-49",
IF(E602&lt;=80,"50-79","80+")))</f>
        <v>0-19</v>
      </c>
      <c r="G602" s="113" t="s">
        <v>60</v>
      </c>
      <c r="H602" s="113" t="s">
        <v>132</v>
      </c>
      <c r="I602" s="114" t="s">
        <v>633</v>
      </c>
      <c r="J602" s="114" t="s">
        <v>2295</v>
      </c>
      <c r="K602" s="114" t="s">
        <v>639</v>
      </c>
      <c r="L602" s="113" t="s">
        <v>36</v>
      </c>
      <c r="M602" s="235" t="s">
        <v>623</v>
      </c>
      <c r="N602" s="115">
        <v>8129.66</v>
      </c>
      <c r="O602" s="82" t="s">
        <v>18</v>
      </c>
      <c r="P602" s="170"/>
      <c r="Q602" s="210"/>
    </row>
    <row r="603" spans="1:17" hidden="1" x14ac:dyDescent="0.2">
      <c r="A603" s="139" t="s">
        <v>682</v>
      </c>
      <c r="B603" s="113">
        <v>2012620</v>
      </c>
      <c r="C603" s="113">
        <v>102835</v>
      </c>
      <c r="D603" s="114" t="s">
        <v>686</v>
      </c>
      <c r="E603" s="113">
        <v>64</v>
      </c>
      <c r="F603" s="113" t="str">
        <f>IF(E603&lt;=20,"0-19",
IF(E603&lt;=50,"20-49",
IF(E603&lt;=80,"50-79","80+")))</f>
        <v>50-79</v>
      </c>
      <c r="G603" s="113" t="s">
        <v>49</v>
      </c>
      <c r="H603" s="113" t="s">
        <v>15</v>
      </c>
      <c r="I603" s="114" t="s">
        <v>633</v>
      </c>
      <c r="J603" s="114" t="s">
        <v>2295</v>
      </c>
      <c r="K603" s="114" t="s">
        <v>37</v>
      </c>
      <c r="L603" s="113" t="s">
        <v>37</v>
      </c>
      <c r="M603" s="233" t="s">
        <v>623</v>
      </c>
      <c r="N603" s="115">
        <v>10650</v>
      </c>
      <c r="O603" s="82" t="s">
        <v>18</v>
      </c>
      <c r="P603" s="170"/>
      <c r="Q603" s="210"/>
    </row>
    <row r="604" spans="1:17" ht="21" hidden="1" x14ac:dyDescent="0.2">
      <c r="A604" s="139" t="s">
        <v>687</v>
      </c>
      <c r="B604" s="82">
        <v>2001404</v>
      </c>
      <c r="C604" s="82">
        <v>37163</v>
      </c>
      <c r="D604" s="82" t="s">
        <v>1161</v>
      </c>
      <c r="E604" s="82">
        <v>63</v>
      </c>
      <c r="F604" s="82" t="str">
        <f>IF(E604&lt;=20,"0-19",
IF(E604&lt;=50,"20-49",
IF(E604&lt;=80,"50-79","80+")))</f>
        <v>50-79</v>
      </c>
      <c r="G604" s="82" t="s">
        <v>60</v>
      </c>
      <c r="H604" s="82" t="s">
        <v>22</v>
      </c>
      <c r="I604" s="82" t="s">
        <v>633</v>
      </c>
      <c r="J604" s="82" t="s">
        <v>2295</v>
      </c>
      <c r="K604" s="92" t="s">
        <v>1162</v>
      </c>
      <c r="L604" s="92" t="s">
        <v>859</v>
      </c>
      <c r="M604" s="231" t="s">
        <v>623</v>
      </c>
      <c r="N604" s="84">
        <v>13000</v>
      </c>
      <c r="O604" s="82" t="s">
        <v>832</v>
      </c>
      <c r="P604" s="171"/>
      <c r="Q604" s="210"/>
    </row>
    <row r="605" spans="1:17" hidden="1" x14ac:dyDescent="0.2">
      <c r="A605" s="139" t="s">
        <v>456</v>
      </c>
      <c r="B605" s="82">
        <v>2010871</v>
      </c>
      <c r="C605" s="82">
        <v>56685</v>
      </c>
      <c r="D605" s="82" t="s">
        <v>678</v>
      </c>
      <c r="E605" s="82">
        <v>63</v>
      </c>
      <c r="F605" s="82" t="str">
        <f>IF(E605&lt;=20,"0-19",
IF(E605&lt;=50,"20-49",
IF(E605&lt;=80,"50-79","80+")))</f>
        <v>50-79</v>
      </c>
      <c r="G605" s="82" t="s">
        <v>60</v>
      </c>
      <c r="H605" s="82" t="s">
        <v>22</v>
      </c>
      <c r="I605" s="82" t="s">
        <v>633</v>
      </c>
      <c r="J605" s="82" t="s">
        <v>2295</v>
      </c>
      <c r="K605" s="92" t="s">
        <v>859</v>
      </c>
      <c r="L605" s="92" t="s">
        <v>859</v>
      </c>
      <c r="M605" s="231" t="s">
        <v>623</v>
      </c>
      <c r="N605" s="84">
        <v>9025</v>
      </c>
      <c r="O605" s="82" t="s">
        <v>832</v>
      </c>
      <c r="P605" s="171"/>
      <c r="Q605" s="210"/>
    </row>
    <row r="606" spans="1:17" hidden="1" x14ac:dyDescent="0.2">
      <c r="A606" s="104" t="s">
        <v>1502</v>
      </c>
      <c r="B606" s="87">
        <v>2003444</v>
      </c>
      <c r="C606" s="87">
        <v>18642</v>
      </c>
      <c r="D606" s="87" t="s">
        <v>680</v>
      </c>
      <c r="E606" s="87">
        <v>63</v>
      </c>
      <c r="F606" s="87" t="str">
        <f>IF(E606&lt;=20,"0-19",
IF(E606&lt;=50,"20-49",
IF(E606&lt;=80,"50-79","80+")))</f>
        <v>50-79</v>
      </c>
      <c r="G606" s="87" t="s">
        <v>60</v>
      </c>
      <c r="H606" s="87" t="s">
        <v>22</v>
      </c>
      <c r="I606" s="86" t="s">
        <v>633</v>
      </c>
      <c r="J606" s="86" t="s">
        <v>2295</v>
      </c>
      <c r="K606" s="87" t="s">
        <v>1550</v>
      </c>
      <c r="L606" s="87" t="s">
        <v>1551</v>
      </c>
      <c r="M606" s="234" t="s">
        <v>623</v>
      </c>
      <c r="N606" s="161">
        <v>9025</v>
      </c>
      <c r="O606" s="161" t="s">
        <v>2254</v>
      </c>
      <c r="P606" s="168">
        <v>254722505895</v>
      </c>
      <c r="Q606" s="210"/>
    </row>
    <row r="607" spans="1:17" hidden="1" x14ac:dyDescent="0.2">
      <c r="A607" s="105" t="s">
        <v>687</v>
      </c>
      <c r="B607" s="82">
        <v>2001404</v>
      </c>
      <c r="C607" s="82">
        <v>37163</v>
      </c>
      <c r="D607" s="82" t="s">
        <v>688</v>
      </c>
      <c r="E607" s="82">
        <v>63</v>
      </c>
      <c r="F607" s="82" t="str">
        <f>IF(E607&lt;=20,"0-19",
IF(E607&lt;=50,"20-49",
IF(E607&lt;=80,"50-79","80+")))</f>
        <v>50-79</v>
      </c>
      <c r="G607" s="82" t="s">
        <v>60</v>
      </c>
      <c r="H607" s="82" t="s">
        <v>22</v>
      </c>
      <c r="I607" s="92" t="s">
        <v>633</v>
      </c>
      <c r="J607" s="92" t="s">
        <v>2295</v>
      </c>
      <c r="K607" s="82" t="s">
        <v>1559</v>
      </c>
      <c r="L607" s="82" t="s">
        <v>1559</v>
      </c>
      <c r="M607" s="231" t="s">
        <v>623</v>
      </c>
      <c r="N607" s="151">
        <v>13000</v>
      </c>
      <c r="O607" s="151" t="s">
        <v>2254</v>
      </c>
      <c r="P607" s="152">
        <v>254715509227</v>
      </c>
      <c r="Q607" s="210"/>
    </row>
    <row r="608" spans="1:17" hidden="1" x14ac:dyDescent="0.2">
      <c r="A608" s="139" t="s">
        <v>682</v>
      </c>
      <c r="B608" s="87">
        <v>2012620</v>
      </c>
      <c r="C608" s="87">
        <v>102835</v>
      </c>
      <c r="D608" s="87" t="s">
        <v>686</v>
      </c>
      <c r="E608" s="86">
        <v>64</v>
      </c>
      <c r="F608" s="86" t="str">
        <f>IF(E608&lt;=20,"0-19",
IF(E608&lt;=50,"20-49",
IF(E608&lt;=80,"50-79","80+")))</f>
        <v>50-79</v>
      </c>
      <c r="G608" s="87" t="s">
        <v>49</v>
      </c>
      <c r="H608" s="87" t="s">
        <v>15</v>
      </c>
      <c r="I608" s="87" t="s">
        <v>633</v>
      </c>
      <c r="J608" s="87" t="s">
        <v>2295</v>
      </c>
      <c r="K608" s="86" t="s">
        <v>79</v>
      </c>
      <c r="L608" s="86" t="s">
        <v>79</v>
      </c>
      <c r="M608" s="234" t="s">
        <v>623</v>
      </c>
      <c r="N608" s="97">
        <v>10650</v>
      </c>
      <c r="O608" s="87" t="s">
        <v>18</v>
      </c>
      <c r="P608" s="171"/>
      <c r="Q608" s="210"/>
    </row>
    <row r="609" spans="1:17" hidden="1" x14ac:dyDescent="0.2">
      <c r="A609" s="139" t="s">
        <v>544</v>
      </c>
      <c r="B609" s="93">
        <v>2012620</v>
      </c>
      <c r="C609" s="82">
        <v>102835</v>
      </c>
      <c r="D609" s="93" t="s">
        <v>686</v>
      </c>
      <c r="E609" s="93">
        <v>64</v>
      </c>
      <c r="F609" s="93" t="str">
        <f>IF(E609&lt;=20,"0-19",
IF(E609&lt;=50,"20-49",
IF(E609&lt;=80,"50-79","80+")))</f>
        <v>50-79</v>
      </c>
      <c r="G609" s="93" t="s">
        <v>49</v>
      </c>
      <c r="H609" s="93" t="s">
        <v>15</v>
      </c>
      <c r="I609" s="93" t="s">
        <v>633</v>
      </c>
      <c r="J609" s="93" t="s">
        <v>2295</v>
      </c>
      <c r="K609" s="93" t="s">
        <v>1260</v>
      </c>
      <c r="L609" s="93" t="s">
        <v>1260</v>
      </c>
      <c r="M609" s="231" t="s">
        <v>623</v>
      </c>
      <c r="N609" s="94">
        <v>9500</v>
      </c>
      <c r="O609" s="82" t="s">
        <v>832</v>
      </c>
      <c r="P609" s="171"/>
      <c r="Q609" s="210"/>
    </row>
    <row r="610" spans="1:17" hidden="1" x14ac:dyDescent="0.2">
      <c r="A610" s="139" t="s">
        <v>874</v>
      </c>
      <c r="B610" s="82">
        <v>2002228</v>
      </c>
      <c r="C610" s="82">
        <v>31315</v>
      </c>
      <c r="D610" s="82" t="s">
        <v>1285</v>
      </c>
      <c r="E610" s="82">
        <v>72</v>
      </c>
      <c r="F610" s="82" t="str">
        <f>IF(E610&lt;=20,"0-19",
IF(E610&lt;=50,"20-49",
IF(E610&lt;=80,"50-79","80+")))</f>
        <v>50-79</v>
      </c>
      <c r="G610" s="82" t="s">
        <v>60</v>
      </c>
      <c r="H610" s="82" t="s">
        <v>22</v>
      </c>
      <c r="I610" s="92" t="s">
        <v>633</v>
      </c>
      <c r="J610" s="92" t="s">
        <v>2295</v>
      </c>
      <c r="K610" s="92" t="s">
        <v>1238</v>
      </c>
      <c r="L610" s="92" t="s">
        <v>1238</v>
      </c>
      <c r="M610" s="231" t="s">
        <v>623</v>
      </c>
      <c r="N610" s="84">
        <v>10650</v>
      </c>
      <c r="O610" s="82" t="s">
        <v>832</v>
      </c>
      <c r="P610" s="171"/>
      <c r="Q610" s="210"/>
    </row>
    <row r="611" spans="1:17" ht="21" hidden="1" x14ac:dyDescent="0.2">
      <c r="A611" s="139" t="s">
        <v>1482</v>
      </c>
      <c r="B611" s="82">
        <v>2511271</v>
      </c>
      <c r="C611" s="82">
        <v>62552</v>
      </c>
      <c r="D611" s="82" t="s">
        <v>1486</v>
      </c>
      <c r="E611" s="82">
        <v>14</v>
      </c>
      <c r="F611" s="82" t="str">
        <f>IF(E611&lt;=20,"0-19",
IF(E611&lt;=50,"20-49",
IF(E611&lt;=80,"50-79","80+")))</f>
        <v>0-19</v>
      </c>
      <c r="G611" s="82" t="s">
        <v>60</v>
      </c>
      <c r="H611" s="82" t="s">
        <v>132</v>
      </c>
      <c r="I611" s="92" t="s">
        <v>633</v>
      </c>
      <c r="J611" s="92" t="s">
        <v>2295</v>
      </c>
      <c r="K611" s="92" t="s">
        <v>1487</v>
      </c>
      <c r="L611" s="92" t="s">
        <v>1238</v>
      </c>
      <c r="M611" s="231" t="s">
        <v>623</v>
      </c>
      <c r="N611" s="84">
        <v>9025</v>
      </c>
      <c r="O611" s="82" t="s">
        <v>832</v>
      </c>
      <c r="P611" s="170"/>
      <c r="Q611" s="210"/>
    </row>
    <row r="612" spans="1:17" hidden="1" x14ac:dyDescent="0.2">
      <c r="A612" s="108" t="s">
        <v>274</v>
      </c>
      <c r="B612" s="88">
        <v>2405040</v>
      </c>
      <c r="C612" s="88">
        <v>31911</v>
      </c>
      <c r="D612" s="88" t="s">
        <v>681</v>
      </c>
      <c r="E612" s="88">
        <v>63</v>
      </c>
      <c r="F612" s="88" t="str">
        <f>IF(E612&lt;=20,"0-19",
IF(E612&lt;=50,"20-49",
IF(E612&lt;=80,"50-79","80+")))</f>
        <v>50-79</v>
      </c>
      <c r="G612" s="88" t="s">
        <v>60</v>
      </c>
      <c r="H612" s="88" t="s">
        <v>22</v>
      </c>
      <c r="I612" s="88" t="s">
        <v>633</v>
      </c>
      <c r="J612" s="88" t="s">
        <v>2295</v>
      </c>
      <c r="K612" s="88" t="s">
        <v>99</v>
      </c>
      <c r="L612" s="88" t="s">
        <v>99</v>
      </c>
      <c r="M612" s="236" t="s">
        <v>623</v>
      </c>
      <c r="N612" s="90">
        <v>9025</v>
      </c>
      <c r="O612" s="87" t="s">
        <v>18</v>
      </c>
      <c r="P612" s="171"/>
      <c r="Q612" s="210"/>
    </row>
    <row r="613" spans="1:17" hidden="1" x14ac:dyDescent="0.2">
      <c r="A613" s="108" t="s">
        <v>274</v>
      </c>
      <c r="B613" s="88">
        <v>2407151</v>
      </c>
      <c r="C613" s="88">
        <v>60104</v>
      </c>
      <c r="D613" s="88" t="s">
        <v>747</v>
      </c>
      <c r="E613" s="88">
        <v>59</v>
      </c>
      <c r="F613" s="88" t="str">
        <f>IF(E613&lt;=20,"0-19",
IF(E613&lt;=50,"20-49",
IF(E613&lt;=80,"50-79","80+")))</f>
        <v>50-79</v>
      </c>
      <c r="G613" s="88" t="s">
        <v>60</v>
      </c>
      <c r="H613" s="88" t="s">
        <v>22</v>
      </c>
      <c r="I613" s="88" t="s">
        <v>633</v>
      </c>
      <c r="J613" s="88" t="s">
        <v>2295</v>
      </c>
      <c r="K613" s="88" t="s">
        <v>99</v>
      </c>
      <c r="L613" s="88" t="s">
        <v>99</v>
      </c>
      <c r="M613" s="236" t="s">
        <v>623</v>
      </c>
      <c r="N613" s="90">
        <v>9025</v>
      </c>
      <c r="O613" s="87" t="s">
        <v>18</v>
      </c>
      <c r="P613" s="171"/>
      <c r="Q613" s="210"/>
    </row>
    <row r="614" spans="1:17" hidden="1" x14ac:dyDescent="0.2">
      <c r="A614" s="139" t="s">
        <v>682</v>
      </c>
      <c r="B614" s="93">
        <v>2012620</v>
      </c>
      <c r="C614" s="93">
        <v>102835</v>
      </c>
      <c r="D614" s="93" t="s">
        <v>685</v>
      </c>
      <c r="E614" s="93">
        <v>64</v>
      </c>
      <c r="F614" s="93" t="str">
        <f>IF(E614&lt;=20,"0-19",
IF(E614&lt;=50,"20-49",
IF(E614&lt;=80,"50-79","80+")))</f>
        <v>50-79</v>
      </c>
      <c r="G614" s="93" t="s">
        <v>49</v>
      </c>
      <c r="H614" s="93" t="s">
        <v>15</v>
      </c>
      <c r="I614" s="93" t="s">
        <v>633</v>
      </c>
      <c r="J614" s="93" t="s">
        <v>2295</v>
      </c>
      <c r="K614" s="93" t="s">
        <v>99</v>
      </c>
      <c r="L614" s="93" t="s">
        <v>99</v>
      </c>
      <c r="M614" s="232" t="s">
        <v>623</v>
      </c>
      <c r="N614" s="94">
        <v>10650</v>
      </c>
      <c r="O614" s="82" t="s">
        <v>18</v>
      </c>
      <c r="P614" s="170"/>
      <c r="Q614" s="210"/>
    </row>
    <row r="615" spans="1:17" hidden="1" x14ac:dyDescent="0.2">
      <c r="A615" s="139" t="s">
        <v>1503</v>
      </c>
      <c r="B615" s="82">
        <v>2002754</v>
      </c>
      <c r="C615" s="82">
        <v>11467</v>
      </c>
      <c r="D615" s="82" t="s">
        <v>636</v>
      </c>
      <c r="E615" s="82">
        <v>73</v>
      </c>
      <c r="F615" s="82" t="str">
        <f>IF(E615&lt;=20,"0-19",
IF(E615&lt;=50,"20-49",
IF(E615&lt;=80,"50-79","80+")))</f>
        <v>50-79</v>
      </c>
      <c r="G615" s="82" t="s">
        <v>60</v>
      </c>
      <c r="H615" s="82" t="s">
        <v>22</v>
      </c>
      <c r="I615" s="82" t="s">
        <v>633</v>
      </c>
      <c r="J615" s="82" t="s">
        <v>2295</v>
      </c>
      <c r="K615" s="82" t="s">
        <v>1225</v>
      </c>
      <c r="L615" s="82" t="s">
        <v>1225</v>
      </c>
      <c r="M615" s="231" t="s">
        <v>623</v>
      </c>
      <c r="N615" s="84">
        <v>9025</v>
      </c>
      <c r="O615" s="82" t="s">
        <v>832</v>
      </c>
      <c r="P615" s="170"/>
      <c r="Q615" s="210"/>
    </row>
    <row r="616" spans="1:17" hidden="1" x14ac:dyDescent="0.2">
      <c r="A616" s="139" t="s">
        <v>682</v>
      </c>
      <c r="B616" s="82">
        <v>2012620</v>
      </c>
      <c r="C616" s="82">
        <v>102835</v>
      </c>
      <c r="D616" s="82" t="s">
        <v>685</v>
      </c>
      <c r="E616" s="92">
        <v>64</v>
      </c>
      <c r="F616" s="92" t="str">
        <f>IF(E616&lt;=20,"0-19",
IF(E616&lt;=50,"20-49",
IF(E616&lt;=80,"50-79","80+")))</f>
        <v>50-79</v>
      </c>
      <c r="G616" s="82" t="s">
        <v>49</v>
      </c>
      <c r="H616" s="82" t="s">
        <v>15</v>
      </c>
      <c r="I616" s="82" t="s">
        <v>633</v>
      </c>
      <c r="J616" s="82" t="s">
        <v>2295</v>
      </c>
      <c r="K616" s="92" t="s">
        <v>108</v>
      </c>
      <c r="L616" s="92" t="s">
        <v>108</v>
      </c>
      <c r="M616" s="231" t="s">
        <v>623</v>
      </c>
      <c r="N616" s="101">
        <v>10650</v>
      </c>
      <c r="O616" s="82" t="s">
        <v>18</v>
      </c>
      <c r="P616" s="170"/>
      <c r="Q616" s="210"/>
    </row>
    <row r="617" spans="1:17" hidden="1" x14ac:dyDescent="0.2">
      <c r="A617" s="139" t="s">
        <v>456</v>
      </c>
      <c r="B617" s="93">
        <v>2010871</v>
      </c>
      <c r="C617" s="82">
        <v>56685</v>
      </c>
      <c r="D617" s="93" t="s">
        <v>1516</v>
      </c>
      <c r="E617" s="93">
        <v>64</v>
      </c>
      <c r="F617" s="93" t="str">
        <f>IF(E617&lt;=20,"0-19",
IF(E617&lt;=50,"20-49",
IF(E617&lt;=80,"50-79","80+")))</f>
        <v>50-79</v>
      </c>
      <c r="G617" s="93" t="s">
        <v>60</v>
      </c>
      <c r="H617" s="93" t="s">
        <v>22</v>
      </c>
      <c r="I617" s="93" t="s">
        <v>633</v>
      </c>
      <c r="J617" s="93" t="s">
        <v>2295</v>
      </c>
      <c r="K617" s="93" t="s">
        <v>1264</v>
      </c>
      <c r="L617" s="93" t="s">
        <v>1264</v>
      </c>
      <c r="M617" s="231" t="s">
        <v>623</v>
      </c>
      <c r="N617" s="94">
        <v>9025</v>
      </c>
      <c r="O617" s="82" t="s">
        <v>832</v>
      </c>
      <c r="P617" s="171"/>
      <c r="Q617" s="210"/>
    </row>
    <row r="618" spans="1:17" hidden="1" x14ac:dyDescent="0.2">
      <c r="A618" s="103" t="s">
        <v>274</v>
      </c>
      <c r="B618" s="82">
        <v>2405040</v>
      </c>
      <c r="C618" s="82">
        <v>31911</v>
      </c>
      <c r="D618" s="82" t="s">
        <v>681</v>
      </c>
      <c r="E618" s="92">
        <v>63</v>
      </c>
      <c r="F618" s="92" t="str">
        <f>IF(E618&lt;=20,"0-19",
IF(E618&lt;=50,"20-49",
IF(E618&lt;=80,"50-79","80+")))</f>
        <v>50-79</v>
      </c>
      <c r="G618" s="82" t="s">
        <v>60</v>
      </c>
      <c r="H618" s="82" t="s">
        <v>22</v>
      </c>
      <c r="I618" s="82" t="s">
        <v>633</v>
      </c>
      <c r="J618" s="82" t="s">
        <v>2295</v>
      </c>
      <c r="K618" s="92" t="s">
        <v>193</v>
      </c>
      <c r="L618" s="92" t="s">
        <v>748</v>
      </c>
      <c r="M618" s="231" t="s">
        <v>623</v>
      </c>
      <c r="N618" s="101">
        <v>9025</v>
      </c>
      <c r="O618" s="82" t="s">
        <v>18</v>
      </c>
      <c r="P618" s="170"/>
      <c r="Q618" s="210"/>
    </row>
    <row r="619" spans="1:17" hidden="1" x14ac:dyDescent="0.2">
      <c r="A619" s="138" t="s">
        <v>109</v>
      </c>
      <c r="B619" s="113">
        <v>2002228</v>
      </c>
      <c r="C619" s="113">
        <v>31315</v>
      </c>
      <c r="D619" s="114" t="s">
        <v>634</v>
      </c>
      <c r="E619" s="113">
        <v>70</v>
      </c>
      <c r="F619" s="113" t="str">
        <f>IF(E619&lt;=20,"0-19",
IF(E619&lt;=50,"20-49",
IF(E619&lt;=80,"50-79","80+")))</f>
        <v>50-79</v>
      </c>
      <c r="G619" s="113" t="s">
        <v>60</v>
      </c>
      <c r="H619" s="113" t="s">
        <v>22</v>
      </c>
      <c r="I619" s="114" t="s">
        <v>635</v>
      </c>
      <c r="J619" s="114" t="s">
        <v>2295</v>
      </c>
      <c r="K619" s="114" t="s">
        <v>42</v>
      </c>
      <c r="L619" s="113" t="s">
        <v>42</v>
      </c>
      <c r="M619" s="233" t="s">
        <v>623</v>
      </c>
      <c r="N619" s="115">
        <v>10650</v>
      </c>
      <c r="O619" s="82" t="s">
        <v>18</v>
      </c>
      <c r="P619" s="170"/>
      <c r="Q619" s="210"/>
    </row>
    <row r="620" spans="1:17" ht="21" hidden="1" x14ac:dyDescent="0.2">
      <c r="A620" s="108" t="s">
        <v>544</v>
      </c>
      <c r="B620" s="87">
        <v>2001034</v>
      </c>
      <c r="C620" s="87">
        <v>20567</v>
      </c>
      <c r="D620" s="87" t="s">
        <v>690</v>
      </c>
      <c r="E620" s="86">
        <v>76</v>
      </c>
      <c r="F620" s="86" t="str">
        <f>IF(E620&lt;=20,"0-19",
IF(E620&lt;=50,"20-49",
IF(E620&lt;=80,"50-79","80+")))</f>
        <v>50-79</v>
      </c>
      <c r="G620" s="87" t="s">
        <v>60</v>
      </c>
      <c r="H620" s="87" t="s">
        <v>22</v>
      </c>
      <c r="I620" s="87" t="s">
        <v>691</v>
      </c>
      <c r="J620" s="87" t="s">
        <v>2295</v>
      </c>
      <c r="K620" s="86" t="s">
        <v>692</v>
      </c>
      <c r="L620" s="86" t="s">
        <v>31</v>
      </c>
      <c r="M620" s="234" t="s">
        <v>623</v>
      </c>
      <c r="N620" s="97">
        <v>12150</v>
      </c>
      <c r="O620" s="87" t="s">
        <v>18</v>
      </c>
      <c r="P620" s="171"/>
      <c r="Q620" s="210"/>
    </row>
    <row r="621" spans="1:17" hidden="1" x14ac:dyDescent="0.2">
      <c r="A621" s="106" t="s">
        <v>142</v>
      </c>
      <c r="B621" s="86">
        <v>2017509</v>
      </c>
      <c r="C621" s="87">
        <v>19309</v>
      </c>
      <c r="D621" s="86" t="s">
        <v>1896</v>
      </c>
      <c r="E621" s="86">
        <v>64</v>
      </c>
      <c r="F621" s="86" t="str">
        <f>IF(E621&lt;=20,"0-19",
IF(E621&lt;=50,"20-49",
IF(E621&lt;=80,"50-79","80+")))</f>
        <v>50-79</v>
      </c>
      <c r="G621" s="88" t="s">
        <v>126</v>
      </c>
      <c r="H621" s="88" t="s">
        <v>22</v>
      </c>
      <c r="I621" s="86" t="s">
        <v>1897</v>
      </c>
      <c r="J621" s="86" t="s">
        <v>2295</v>
      </c>
      <c r="K621" s="88" t="s">
        <v>1898</v>
      </c>
      <c r="L621" s="88" t="s">
        <v>1898</v>
      </c>
      <c r="M621" s="236" t="s">
        <v>623</v>
      </c>
      <c r="N621" s="164">
        <v>8500</v>
      </c>
      <c r="O621" s="164" t="s">
        <v>2254</v>
      </c>
      <c r="P621" s="168">
        <v>254722271315</v>
      </c>
      <c r="Q621" s="210"/>
    </row>
    <row r="622" spans="1:17" hidden="1" x14ac:dyDescent="0.2">
      <c r="A622" s="139" t="s">
        <v>1502</v>
      </c>
      <c r="B622" s="82">
        <v>2003444</v>
      </c>
      <c r="C622" s="82">
        <v>18642</v>
      </c>
      <c r="D622" s="82" t="s">
        <v>680</v>
      </c>
      <c r="E622" s="82">
        <v>63</v>
      </c>
      <c r="F622" s="82" t="str">
        <f>IF(E622&lt;=20,"0-19",
IF(E622&lt;=50,"20-49",
IF(E622&lt;=80,"50-79","80+")))</f>
        <v>50-79</v>
      </c>
      <c r="G622" s="82" t="s">
        <v>60</v>
      </c>
      <c r="H622" s="82" t="s">
        <v>22</v>
      </c>
      <c r="I622" s="92" t="s">
        <v>833</v>
      </c>
      <c r="J622" s="92" t="s">
        <v>2295</v>
      </c>
      <c r="K622" s="92" t="s">
        <v>855</v>
      </c>
      <c r="L622" s="82" t="s">
        <v>855</v>
      </c>
      <c r="M622" s="231" t="s">
        <v>623</v>
      </c>
      <c r="N622" s="84">
        <v>9025</v>
      </c>
      <c r="O622" s="82" t="s">
        <v>832</v>
      </c>
      <c r="P622" s="171"/>
      <c r="Q622" s="210"/>
    </row>
    <row r="623" spans="1:17" hidden="1" x14ac:dyDescent="0.2">
      <c r="A623" s="105" t="s">
        <v>72</v>
      </c>
      <c r="B623" s="113">
        <v>2003958</v>
      </c>
      <c r="C623" s="113">
        <v>31482</v>
      </c>
      <c r="D623" s="114" t="s">
        <v>496</v>
      </c>
      <c r="E623" s="113">
        <v>67</v>
      </c>
      <c r="F623" s="113" t="str">
        <f>IF(E623&lt;=20,"0-19",
IF(E623&lt;=50,"20-49",
IF(E623&lt;=80,"50-79","80+")))</f>
        <v>50-79</v>
      </c>
      <c r="G623" s="113" t="s">
        <v>60</v>
      </c>
      <c r="H623" s="113" t="s">
        <v>22</v>
      </c>
      <c r="I623" s="114" t="s">
        <v>660</v>
      </c>
      <c r="J623" s="114" t="s">
        <v>2295</v>
      </c>
      <c r="K623" s="114" t="s">
        <v>51</v>
      </c>
      <c r="L623" s="113" t="s">
        <v>51</v>
      </c>
      <c r="M623" s="235" t="s">
        <v>623</v>
      </c>
      <c r="N623" s="115">
        <v>11500</v>
      </c>
      <c r="O623" s="82" t="s">
        <v>18</v>
      </c>
      <c r="P623" s="170"/>
      <c r="Q623" s="210"/>
    </row>
    <row r="624" spans="1:17" hidden="1" x14ac:dyDescent="0.2">
      <c r="A624" s="104" t="s">
        <v>544</v>
      </c>
      <c r="B624" s="87">
        <v>2012620</v>
      </c>
      <c r="C624" s="87">
        <v>102835</v>
      </c>
      <c r="D624" s="87" t="s">
        <v>686</v>
      </c>
      <c r="E624" s="87">
        <v>64</v>
      </c>
      <c r="F624" s="87" t="str">
        <f>IF(E624&lt;=20,"0-19",
IF(E624&lt;=50,"20-49",
IF(E624&lt;=80,"50-79","80+")))</f>
        <v>50-79</v>
      </c>
      <c r="G624" s="87" t="s">
        <v>49</v>
      </c>
      <c r="H624" s="87" t="s">
        <v>15</v>
      </c>
      <c r="I624" s="87" t="s">
        <v>623</v>
      </c>
      <c r="J624" s="87" t="s">
        <v>2295</v>
      </c>
      <c r="K624" s="86" t="s">
        <v>1895</v>
      </c>
      <c r="L624" s="87" t="s">
        <v>1895</v>
      </c>
      <c r="M624" s="234" t="s">
        <v>623</v>
      </c>
      <c r="N624" s="161">
        <v>9500</v>
      </c>
      <c r="O624" s="161" t="s">
        <v>2254</v>
      </c>
      <c r="P624" s="168">
        <v>254728775531</v>
      </c>
      <c r="Q624" s="210"/>
    </row>
    <row r="625" spans="1:17" hidden="1" x14ac:dyDescent="0.2">
      <c r="A625" s="138" t="s">
        <v>178</v>
      </c>
      <c r="B625" s="111">
        <v>2003444</v>
      </c>
      <c r="C625" s="111">
        <v>18642</v>
      </c>
      <c r="D625" s="111" t="s">
        <v>680</v>
      </c>
      <c r="E625" s="111">
        <v>64</v>
      </c>
      <c r="F625" s="111" t="str">
        <f>IF(E625&lt;=20,"0-19",
IF(E625&lt;=50,"20-49",
IF(E625&lt;=80,"50-79","80+")))</f>
        <v>50-79</v>
      </c>
      <c r="G625" s="111" t="s">
        <v>126</v>
      </c>
      <c r="H625" s="111" t="s">
        <v>22</v>
      </c>
      <c r="I625" s="111" t="s">
        <v>514</v>
      </c>
      <c r="J625" s="111" t="s">
        <v>2295</v>
      </c>
      <c r="K625" s="111" t="s">
        <v>103</v>
      </c>
      <c r="L625" s="111" t="s">
        <v>103</v>
      </c>
      <c r="M625" s="235" t="s">
        <v>623</v>
      </c>
      <c r="N625" s="112">
        <v>9025</v>
      </c>
      <c r="O625" s="87" t="s">
        <v>18</v>
      </c>
      <c r="P625" s="171"/>
      <c r="Q625" s="210"/>
    </row>
    <row r="626" spans="1:17" hidden="1" x14ac:dyDescent="0.2">
      <c r="A626" s="139" t="s">
        <v>319</v>
      </c>
      <c r="B626" s="111">
        <v>2019634</v>
      </c>
      <c r="C626" s="111">
        <v>42684</v>
      </c>
      <c r="D626" s="111" t="s">
        <v>628</v>
      </c>
      <c r="E626" s="111">
        <v>68</v>
      </c>
      <c r="F626" s="111" t="str">
        <f>IF(E626&lt;=20,"0-19",
IF(E626&lt;=50,"20-49",
IF(E626&lt;=80,"50-79","80+")))</f>
        <v>50-79</v>
      </c>
      <c r="G626" s="111" t="s">
        <v>60</v>
      </c>
      <c r="H626" s="111" t="s">
        <v>15</v>
      </c>
      <c r="I626" s="111" t="s">
        <v>514</v>
      </c>
      <c r="J626" s="111" t="s">
        <v>2295</v>
      </c>
      <c r="K626" s="111" t="s">
        <v>17</v>
      </c>
      <c r="L626" s="111" t="s">
        <v>17</v>
      </c>
      <c r="M626" s="235" t="s">
        <v>623</v>
      </c>
      <c r="N626" s="112">
        <v>10650</v>
      </c>
      <c r="O626" s="87" t="s">
        <v>18</v>
      </c>
      <c r="P626" s="171"/>
      <c r="Q626" s="210"/>
    </row>
    <row r="627" spans="1:17" hidden="1" x14ac:dyDescent="0.2">
      <c r="A627" s="139" t="s">
        <v>836</v>
      </c>
      <c r="B627" s="93">
        <v>2502095</v>
      </c>
      <c r="C627" s="82">
        <v>21102</v>
      </c>
      <c r="D627" s="93" t="s">
        <v>665</v>
      </c>
      <c r="E627" s="93">
        <v>57</v>
      </c>
      <c r="F627" s="93" t="str">
        <f>IF(E627&lt;=20,"0-19",
IF(E627&lt;=50,"20-49",
IF(E627&lt;=80,"50-79","80+")))</f>
        <v>50-79</v>
      </c>
      <c r="G627" s="93" t="s">
        <v>60</v>
      </c>
      <c r="H627" s="93" t="s">
        <v>22</v>
      </c>
      <c r="I627" s="93" t="s">
        <v>514</v>
      </c>
      <c r="J627" s="93" t="s">
        <v>2295</v>
      </c>
      <c r="K627" s="93" t="s">
        <v>835</v>
      </c>
      <c r="L627" s="93" t="s">
        <v>835</v>
      </c>
      <c r="M627" s="231" t="s">
        <v>623</v>
      </c>
      <c r="N627" s="94">
        <v>11500</v>
      </c>
      <c r="O627" s="82" t="s">
        <v>832</v>
      </c>
      <c r="P627" s="170"/>
      <c r="Q627" s="210"/>
    </row>
    <row r="628" spans="1:17" hidden="1" x14ac:dyDescent="0.2">
      <c r="A628" s="104" t="s">
        <v>72</v>
      </c>
      <c r="B628" s="86">
        <v>2502095</v>
      </c>
      <c r="C628" s="87">
        <v>21102</v>
      </c>
      <c r="D628" s="86" t="s">
        <v>1574</v>
      </c>
      <c r="E628" s="88">
        <v>63</v>
      </c>
      <c r="F628" s="88" t="str">
        <f>IF(E628&lt;=20,"0-19",
IF(E628&lt;=50,"20-49",
IF(E628&lt;=80,"50-79","80+")))</f>
        <v>50-79</v>
      </c>
      <c r="G628" s="88" t="s">
        <v>60</v>
      </c>
      <c r="H628" s="88" t="s">
        <v>22</v>
      </c>
      <c r="I628" s="88" t="s">
        <v>514</v>
      </c>
      <c r="J628" s="88" t="s">
        <v>2295</v>
      </c>
      <c r="K628" s="86" t="s">
        <v>1232</v>
      </c>
      <c r="L628" s="88" t="s">
        <v>1553</v>
      </c>
      <c r="M628" s="234" t="s">
        <v>623</v>
      </c>
      <c r="N628" s="163">
        <v>11500</v>
      </c>
      <c r="O628" s="163" t="s">
        <v>2254</v>
      </c>
      <c r="P628" s="168">
        <v>254715509227</v>
      </c>
      <c r="Q628" s="210"/>
    </row>
    <row r="629" spans="1:17" hidden="1" x14ac:dyDescent="0.2">
      <c r="A629" s="106" t="s">
        <v>340</v>
      </c>
      <c r="B629" s="88">
        <v>2014318</v>
      </c>
      <c r="C629" s="87">
        <v>61208</v>
      </c>
      <c r="D629" s="88" t="s">
        <v>651</v>
      </c>
      <c r="E629" s="88">
        <v>63</v>
      </c>
      <c r="F629" s="88" t="str">
        <f>IF(E629&lt;=20,"0-19",
IF(E629&lt;=50,"20-49",
IF(E629&lt;=80,"50-79","80+")))</f>
        <v>50-79</v>
      </c>
      <c r="G629" s="88" t="s">
        <v>60</v>
      </c>
      <c r="H629" s="88" t="s">
        <v>22</v>
      </c>
      <c r="I629" s="88" t="s">
        <v>514</v>
      </c>
      <c r="J629" s="88" t="s">
        <v>2295</v>
      </c>
      <c r="K629" s="88" t="s">
        <v>1553</v>
      </c>
      <c r="L629" s="88" t="s">
        <v>1553</v>
      </c>
      <c r="M629" s="234" t="s">
        <v>623</v>
      </c>
      <c r="N629" s="163">
        <v>9500</v>
      </c>
      <c r="O629" s="163" t="s">
        <v>2254</v>
      </c>
      <c r="P629" s="168">
        <v>254722679315</v>
      </c>
      <c r="Q629" s="210"/>
    </row>
    <row r="630" spans="1:17" hidden="1" x14ac:dyDescent="0.2">
      <c r="A630" s="139" t="s">
        <v>990</v>
      </c>
      <c r="B630" s="82">
        <v>2001823</v>
      </c>
      <c r="C630" s="82">
        <v>10576</v>
      </c>
      <c r="D630" s="82" t="s">
        <v>630</v>
      </c>
      <c r="E630" s="82">
        <v>71</v>
      </c>
      <c r="F630" s="82" t="str">
        <f>IF(E630&lt;=20,"0-19",
IF(E630&lt;=50,"20-49",
IF(E630&lt;=80,"50-79","80+")))</f>
        <v>50-79</v>
      </c>
      <c r="G630" s="82" t="s">
        <v>60</v>
      </c>
      <c r="H630" s="82" t="s">
        <v>22</v>
      </c>
      <c r="I630" s="92" t="s">
        <v>514</v>
      </c>
      <c r="J630" s="92" t="s">
        <v>2295</v>
      </c>
      <c r="K630" s="92" t="s">
        <v>834</v>
      </c>
      <c r="L630" s="82" t="s">
        <v>834</v>
      </c>
      <c r="M630" s="231" t="s">
        <v>623</v>
      </c>
      <c r="N630" s="84">
        <v>10650</v>
      </c>
      <c r="O630" s="82" t="s">
        <v>832</v>
      </c>
      <c r="P630" s="171"/>
      <c r="Q630" s="210"/>
    </row>
    <row r="631" spans="1:17" hidden="1" x14ac:dyDescent="0.2">
      <c r="A631" s="139" t="s">
        <v>19</v>
      </c>
      <c r="B631" s="82">
        <v>2003444</v>
      </c>
      <c r="C631" s="82">
        <v>18642</v>
      </c>
      <c r="D631" s="82" t="s">
        <v>680</v>
      </c>
      <c r="E631" s="82">
        <v>64</v>
      </c>
      <c r="F631" s="82" t="str">
        <f>IF(E631&lt;=20,"0-19",
IF(E631&lt;=50,"20-49",
IF(E631&lt;=80,"50-79","80+")))</f>
        <v>50-79</v>
      </c>
      <c r="G631" s="82" t="s">
        <v>60</v>
      </c>
      <c r="H631" s="82" t="s">
        <v>22</v>
      </c>
      <c r="I631" s="92" t="s">
        <v>514</v>
      </c>
      <c r="J631" s="92" t="s">
        <v>2295</v>
      </c>
      <c r="K631" s="92" t="s">
        <v>834</v>
      </c>
      <c r="L631" s="82" t="s">
        <v>834</v>
      </c>
      <c r="M631" s="231" t="s">
        <v>623</v>
      </c>
      <c r="N631" s="84">
        <v>14260</v>
      </c>
      <c r="O631" s="82" t="s">
        <v>832</v>
      </c>
      <c r="P631" s="171"/>
      <c r="Q631" s="210"/>
    </row>
    <row r="632" spans="1:17" ht="21" hidden="1" x14ac:dyDescent="0.2">
      <c r="A632" s="139" t="s">
        <v>1482</v>
      </c>
      <c r="B632" s="82">
        <v>2407253</v>
      </c>
      <c r="C632" s="82">
        <v>18992</v>
      </c>
      <c r="D632" s="82" t="s">
        <v>1177</v>
      </c>
      <c r="E632" s="82">
        <v>57</v>
      </c>
      <c r="F632" s="82" t="str">
        <f>IF(E632&lt;=20,"0-19",
IF(E632&lt;=50,"20-49",
IF(E632&lt;=80,"50-79","80+")))</f>
        <v>50-79</v>
      </c>
      <c r="G632" s="82" t="s">
        <v>60</v>
      </c>
      <c r="H632" s="82" t="s">
        <v>22</v>
      </c>
      <c r="I632" s="92" t="s">
        <v>514</v>
      </c>
      <c r="J632" s="92" t="s">
        <v>2295</v>
      </c>
      <c r="K632" s="92" t="s">
        <v>1178</v>
      </c>
      <c r="L632" s="82" t="s">
        <v>834</v>
      </c>
      <c r="M632" s="231" t="s">
        <v>623</v>
      </c>
      <c r="N632" s="84">
        <v>9025</v>
      </c>
      <c r="O632" s="82" t="s">
        <v>832</v>
      </c>
      <c r="P632" s="171"/>
      <c r="Q632" s="210"/>
    </row>
    <row r="633" spans="1:17" hidden="1" x14ac:dyDescent="0.2">
      <c r="A633" s="139" t="s">
        <v>990</v>
      </c>
      <c r="B633" s="82">
        <v>2019634</v>
      </c>
      <c r="C633" s="82">
        <v>42684</v>
      </c>
      <c r="D633" s="82" t="s">
        <v>628</v>
      </c>
      <c r="E633" s="82">
        <v>69</v>
      </c>
      <c r="F633" s="82" t="str">
        <f>IF(E633&lt;=20,"0-19",
IF(E633&lt;=50,"20-49",
IF(E633&lt;=80,"50-79","80+")))</f>
        <v>50-79</v>
      </c>
      <c r="G633" s="82" t="s">
        <v>60</v>
      </c>
      <c r="H633" s="82" t="s">
        <v>15</v>
      </c>
      <c r="I633" s="92" t="s">
        <v>514</v>
      </c>
      <c r="J633" s="92" t="s">
        <v>2295</v>
      </c>
      <c r="K633" s="92" t="s">
        <v>834</v>
      </c>
      <c r="L633" s="82" t="s">
        <v>834</v>
      </c>
      <c r="M633" s="231" t="s">
        <v>623</v>
      </c>
      <c r="N633" s="84">
        <v>10650</v>
      </c>
      <c r="O633" s="82" t="s">
        <v>832</v>
      </c>
      <c r="P633" s="170"/>
      <c r="Q633" s="210"/>
    </row>
    <row r="634" spans="1:17" hidden="1" x14ac:dyDescent="0.2">
      <c r="A634" s="104" t="s">
        <v>1560</v>
      </c>
      <c r="B634" s="86">
        <v>2019634</v>
      </c>
      <c r="C634" s="87">
        <v>42684</v>
      </c>
      <c r="D634" s="86" t="s">
        <v>1563</v>
      </c>
      <c r="E634" s="86">
        <v>69</v>
      </c>
      <c r="F634" s="86" t="str">
        <f>IF(E634&lt;=20,"0-19",
IF(E634&lt;=50,"20-49",
IF(E634&lt;=80,"50-79","80+")))</f>
        <v>50-79</v>
      </c>
      <c r="G634" s="86" t="s">
        <v>126</v>
      </c>
      <c r="H634" s="86" t="s">
        <v>22</v>
      </c>
      <c r="I634" s="86" t="s">
        <v>699</v>
      </c>
      <c r="J634" s="86" t="s">
        <v>2295</v>
      </c>
      <c r="K634" s="86" t="s">
        <v>1562</v>
      </c>
      <c r="L634" s="86" t="s">
        <v>1562</v>
      </c>
      <c r="M634" s="234" t="s">
        <v>623</v>
      </c>
      <c r="N634" s="164">
        <v>10650</v>
      </c>
      <c r="O634" s="164" t="s">
        <v>2254</v>
      </c>
      <c r="P634" s="168">
        <v>254703352923</v>
      </c>
      <c r="Q634" s="210"/>
    </row>
    <row r="635" spans="1:17" hidden="1" x14ac:dyDescent="0.2">
      <c r="A635" s="139" t="s">
        <v>12</v>
      </c>
      <c r="B635" s="93">
        <v>2001893</v>
      </c>
      <c r="C635" s="82">
        <v>9046</v>
      </c>
      <c r="D635" s="82" t="s">
        <v>625</v>
      </c>
      <c r="E635" s="93">
        <v>69</v>
      </c>
      <c r="F635" s="93" t="str">
        <f>IF(E635&lt;=20,"0-19",
IF(E635&lt;=50,"20-49",
IF(E635&lt;=80,"50-79","80+")))</f>
        <v>50-79</v>
      </c>
      <c r="G635" s="93" t="s">
        <v>60</v>
      </c>
      <c r="H635" s="93" t="s">
        <v>22</v>
      </c>
      <c r="I635" s="93" t="s">
        <v>514</v>
      </c>
      <c r="J635" s="93" t="s">
        <v>2295</v>
      </c>
      <c r="K635" s="93" t="s">
        <v>880</v>
      </c>
      <c r="L635" s="93" t="s">
        <v>880</v>
      </c>
      <c r="M635" s="231" t="s">
        <v>623</v>
      </c>
      <c r="N635" s="94">
        <v>9500</v>
      </c>
      <c r="O635" s="82" t="s">
        <v>832</v>
      </c>
      <c r="P635" s="170"/>
      <c r="Q635" s="210"/>
    </row>
    <row r="636" spans="1:17" hidden="1" x14ac:dyDescent="0.2">
      <c r="A636" s="105" t="s">
        <v>1166</v>
      </c>
      <c r="B636" s="93">
        <v>201893</v>
      </c>
      <c r="C636" s="82">
        <v>9046</v>
      </c>
      <c r="D636" s="93" t="s">
        <v>625</v>
      </c>
      <c r="E636" s="93">
        <v>69</v>
      </c>
      <c r="F636" s="93" t="str">
        <f>IF(E636&lt;=20,"0-19",
IF(E636&lt;=50,"20-49",
IF(E636&lt;=80,"50-79","80+")))</f>
        <v>50-79</v>
      </c>
      <c r="G636" s="93" t="s">
        <v>126</v>
      </c>
      <c r="H636" s="93" t="s">
        <v>664</v>
      </c>
      <c r="I636" s="93" t="s">
        <v>514</v>
      </c>
      <c r="J636" s="93" t="s">
        <v>2295</v>
      </c>
      <c r="K636" s="92" t="s">
        <v>1542</v>
      </c>
      <c r="L636" s="92" t="s">
        <v>1542</v>
      </c>
      <c r="M636" s="231" t="s">
        <v>623</v>
      </c>
      <c r="N636" s="159">
        <v>9500</v>
      </c>
      <c r="O636" s="159" t="s">
        <v>2254</v>
      </c>
      <c r="P636" s="152">
        <v>254720766049</v>
      </c>
      <c r="Q636" s="210"/>
    </row>
    <row r="637" spans="1:17" hidden="1" x14ac:dyDescent="0.2">
      <c r="A637" s="107" t="s">
        <v>142</v>
      </c>
      <c r="B637" s="93">
        <v>20175091</v>
      </c>
      <c r="C637" s="82">
        <v>19309</v>
      </c>
      <c r="D637" s="93" t="s">
        <v>1541</v>
      </c>
      <c r="E637" s="93">
        <v>63</v>
      </c>
      <c r="F637" s="93" t="str">
        <f>IF(E637&lt;=20,"0-19",
IF(E637&lt;=50,"20-49",
IF(E637&lt;=80,"50-79","80+")))</f>
        <v>50-79</v>
      </c>
      <c r="G637" s="93" t="s">
        <v>60</v>
      </c>
      <c r="H637" s="93" t="s">
        <v>22</v>
      </c>
      <c r="I637" s="93" t="s">
        <v>514</v>
      </c>
      <c r="J637" s="93" t="s">
        <v>2295</v>
      </c>
      <c r="K637" s="92" t="s">
        <v>1542</v>
      </c>
      <c r="L637" s="92" t="s">
        <v>1542</v>
      </c>
      <c r="M637" s="231" t="s">
        <v>623</v>
      </c>
      <c r="N637" s="159">
        <v>8500</v>
      </c>
      <c r="O637" s="159" t="s">
        <v>2254</v>
      </c>
      <c r="P637" s="152">
        <v>254726788384</v>
      </c>
      <c r="Q637" s="210"/>
    </row>
    <row r="638" spans="1:17" hidden="1" x14ac:dyDescent="0.2">
      <c r="A638" s="105" t="s">
        <v>354</v>
      </c>
      <c r="B638" s="93">
        <v>2017742</v>
      </c>
      <c r="C638" s="82">
        <v>37239</v>
      </c>
      <c r="D638" s="93" t="s">
        <v>1501</v>
      </c>
      <c r="E638" s="93">
        <v>58</v>
      </c>
      <c r="F638" s="93" t="str">
        <f>IF(E638&lt;=20,"0-19",
IF(E638&lt;=50,"20-49",
IF(E638&lt;=80,"50-79","80+")))</f>
        <v>50-79</v>
      </c>
      <c r="G638" s="93" t="s">
        <v>126</v>
      </c>
      <c r="H638" s="93" t="s">
        <v>664</v>
      </c>
      <c r="I638" s="93" t="s">
        <v>514</v>
      </c>
      <c r="J638" s="93" t="s">
        <v>2295</v>
      </c>
      <c r="K638" s="92" t="s">
        <v>1542</v>
      </c>
      <c r="L638" s="92" t="s">
        <v>1542</v>
      </c>
      <c r="M638" s="231" t="s">
        <v>623</v>
      </c>
      <c r="N638" s="159">
        <v>9025</v>
      </c>
      <c r="O638" s="159" t="s">
        <v>2254</v>
      </c>
      <c r="P638" s="152">
        <v>254720659401</v>
      </c>
      <c r="Q638" s="210"/>
    </row>
    <row r="639" spans="1:17" hidden="1" x14ac:dyDescent="0.2">
      <c r="A639" s="104" t="s">
        <v>544</v>
      </c>
      <c r="B639" s="88">
        <v>212620</v>
      </c>
      <c r="C639" s="87">
        <v>102835</v>
      </c>
      <c r="D639" s="88" t="s">
        <v>1555</v>
      </c>
      <c r="E639" s="88">
        <v>63</v>
      </c>
      <c r="F639" s="88" t="str">
        <f>IF(E639&lt;=20,"0-19",
IF(E639&lt;=50,"20-49",
IF(E639&lt;=80,"50-79","80+")))</f>
        <v>50-79</v>
      </c>
      <c r="G639" s="88" t="s">
        <v>14</v>
      </c>
      <c r="H639" s="88" t="s">
        <v>706</v>
      </c>
      <c r="I639" s="88" t="s">
        <v>514</v>
      </c>
      <c r="J639" s="88" t="s">
        <v>2295</v>
      </c>
      <c r="K639" s="86" t="s">
        <v>1542</v>
      </c>
      <c r="L639" s="86" t="s">
        <v>1542</v>
      </c>
      <c r="M639" s="234" t="s">
        <v>623</v>
      </c>
      <c r="N639" s="163">
        <v>9500</v>
      </c>
      <c r="O639" s="163" t="s">
        <v>2254</v>
      </c>
      <c r="P639" s="168">
        <v>254710918163</v>
      </c>
      <c r="Q639" s="210"/>
    </row>
    <row r="640" spans="1:17" hidden="1" x14ac:dyDescent="0.2">
      <c r="A640" s="138" t="s">
        <v>228</v>
      </c>
      <c r="B640" s="111">
        <v>2005037</v>
      </c>
      <c r="C640" s="111">
        <v>5326</v>
      </c>
      <c r="D640" s="111" t="s">
        <v>640</v>
      </c>
      <c r="E640" s="111">
        <v>18</v>
      </c>
      <c r="F640" s="111" t="str">
        <f>IF(E640&lt;=20,"0-19",
IF(E640&lt;=50,"20-49",
IF(E640&lt;=80,"50-79","80+")))</f>
        <v>0-19</v>
      </c>
      <c r="G640" s="111" t="s">
        <v>126</v>
      </c>
      <c r="H640" s="111" t="s">
        <v>88</v>
      </c>
      <c r="I640" s="111" t="s">
        <v>514</v>
      </c>
      <c r="J640" s="111" t="s">
        <v>2295</v>
      </c>
      <c r="K640" s="111" t="s">
        <v>121</v>
      </c>
      <c r="L640" s="111" t="s">
        <v>121</v>
      </c>
      <c r="M640" s="235" t="s">
        <v>623</v>
      </c>
      <c r="N640" s="112">
        <v>8185</v>
      </c>
      <c r="O640" s="87" t="s">
        <v>18</v>
      </c>
      <c r="P640" s="171"/>
      <c r="Q640" s="210"/>
    </row>
    <row r="641" spans="1:17" hidden="1" x14ac:dyDescent="0.2">
      <c r="A641" s="103" t="s">
        <v>340</v>
      </c>
      <c r="B641" s="114">
        <v>2014318</v>
      </c>
      <c r="C641" s="113">
        <v>61208</v>
      </c>
      <c r="D641" s="114" t="s">
        <v>650</v>
      </c>
      <c r="E641" s="114">
        <v>61</v>
      </c>
      <c r="F641" s="114" t="str">
        <f>IF(E641&lt;=20,"0-19",
IF(E641&lt;=50,"20-49",
IF(E641&lt;=80,"50-79","80+")))</f>
        <v>50-79</v>
      </c>
      <c r="G641" s="114" t="s">
        <v>49</v>
      </c>
      <c r="H641" s="114" t="s">
        <v>15</v>
      </c>
      <c r="I641" s="114" t="s">
        <v>514</v>
      </c>
      <c r="J641" s="114" t="s">
        <v>2295</v>
      </c>
      <c r="K641" s="111" t="s">
        <v>121</v>
      </c>
      <c r="L641" s="111" t="s">
        <v>121</v>
      </c>
      <c r="M641" s="235" t="s">
        <v>623</v>
      </c>
      <c r="N641" s="116">
        <v>9500</v>
      </c>
      <c r="O641" s="82" t="s">
        <v>18</v>
      </c>
      <c r="P641" s="170"/>
      <c r="Q641" s="210"/>
    </row>
    <row r="642" spans="1:17" ht="21" hidden="1" x14ac:dyDescent="0.2">
      <c r="A642" s="139" t="s">
        <v>990</v>
      </c>
      <c r="B642" s="93">
        <v>2019634</v>
      </c>
      <c r="C642" s="82">
        <v>42684</v>
      </c>
      <c r="D642" s="93" t="s">
        <v>631</v>
      </c>
      <c r="E642" s="93">
        <v>68</v>
      </c>
      <c r="F642" s="93" t="str">
        <f>IF(E642&lt;=20,"0-19",
IF(E642&lt;=50,"20-49",
IF(E642&lt;=80,"50-79","80+")))</f>
        <v>50-79</v>
      </c>
      <c r="G642" s="93" t="s">
        <v>60</v>
      </c>
      <c r="H642" s="93" t="s">
        <v>15</v>
      </c>
      <c r="I642" s="93" t="s">
        <v>1174</v>
      </c>
      <c r="J642" s="93" t="s">
        <v>2295</v>
      </c>
      <c r="K642" s="93" t="s">
        <v>1175</v>
      </c>
      <c r="L642" s="93" t="s">
        <v>843</v>
      </c>
      <c r="M642" s="231" t="s">
        <v>623</v>
      </c>
      <c r="N642" s="94">
        <v>10650</v>
      </c>
      <c r="O642" s="82" t="s">
        <v>832</v>
      </c>
      <c r="P642" s="171"/>
      <c r="Q642" s="210"/>
    </row>
    <row r="643" spans="1:17" hidden="1" x14ac:dyDescent="0.2">
      <c r="A643" s="105" t="s">
        <v>354</v>
      </c>
      <c r="B643" s="82">
        <v>2511271</v>
      </c>
      <c r="C643" s="82">
        <v>62552</v>
      </c>
      <c r="D643" s="82" t="s">
        <v>1547</v>
      </c>
      <c r="E643" s="82">
        <v>14</v>
      </c>
      <c r="F643" s="82" t="str">
        <f>IF(E643&lt;=20,"0-19",
IF(E643&lt;=50,"20-49",
IF(E643&lt;=80,"50-79","80+")))</f>
        <v>0-19</v>
      </c>
      <c r="G643" s="82" t="s">
        <v>60</v>
      </c>
      <c r="H643" s="82" t="s">
        <v>132</v>
      </c>
      <c r="I643" s="92" t="s">
        <v>514</v>
      </c>
      <c r="J643" s="92" t="s">
        <v>2295</v>
      </c>
      <c r="K643" s="82" t="s">
        <v>1548</v>
      </c>
      <c r="L643" s="82" t="s">
        <v>1546</v>
      </c>
      <c r="M643" s="231" t="s">
        <v>623</v>
      </c>
      <c r="N643" s="151">
        <v>9025</v>
      </c>
      <c r="O643" s="151" t="s">
        <v>2254</v>
      </c>
      <c r="P643" s="152">
        <v>254713738247</v>
      </c>
      <c r="Q643" s="210"/>
    </row>
    <row r="644" spans="1:17" hidden="1" x14ac:dyDescent="0.2">
      <c r="A644" s="139" t="s">
        <v>319</v>
      </c>
      <c r="B644" s="111">
        <v>2001823</v>
      </c>
      <c r="C644" s="110">
        <v>10576</v>
      </c>
      <c r="D644" s="111" t="s">
        <v>630</v>
      </c>
      <c r="E644" s="111">
        <v>71</v>
      </c>
      <c r="F644" s="111" t="str">
        <f>IF(E644&lt;=20,"0-19",
IF(E644&lt;=50,"20-49",
IF(E644&lt;=80,"50-79","80+")))</f>
        <v>50-79</v>
      </c>
      <c r="G644" s="111" t="s">
        <v>60</v>
      </c>
      <c r="H644" s="111" t="s">
        <v>22</v>
      </c>
      <c r="I644" s="111" t="s">
        <v>514</v>
      </c>
      <c r="J644" s="111" t="s">
        <v>2295</v>
      </c>
      <c r="K644" s="111" t="s">
        <v>24</v>
      </c>
      <c r="L644" s="111" t="s">
        <v>24</v>
      </c>
      <c r="M644" s="235" t="s">
        <v>623</v>
      </c>
      <c r="N644" s="112">
        <v>10650</v>
      </c>
      <c r="O644" s="82" t="s">
        <v>18</v>
      </c>
      <c r="P644" s="170"/>
      <c r="Q644" s="210"/>
    </row>
    <row r="645" spans="1:17" hidden="1" x14ac:dyDescent="0.2">
      <c r="A645" s="105" t="s">
        <v>72</v>
      </c>
      <c r="B645" s="111">
        <v>200958</v>
      </c>
      <c r="C645" s="110">
        <v>31482</v>
      </c>
      <c r="D645" s="111" t="s">
        <v>496</v>
      </c>
      <c r="E645" s="111">
        <v>67</v>
      </c>
      <c r="F645" s="111" t="str">
        <f>IF(E645&lt;=20,"0-19",
IF(E645&lt;=50,"20-49",
IF(E645&lt;=80,"50-79","80+")))</f>
        <v>50-79</v>
      </c>
      <c r="G645" s="111" t="s">
        <v>60</v>
      </c>
      <c r="H645" s="111" t="s">
        <v>22</v>
      </c>
      <c r="I645" s="111" t="s">
        <v>514</v>
      </c>
      <c r="J645" s="111" t="s">
        <v>2295</v>
      </c>
      <c r="K645" s="111" t="s">
        <v>24</v>
      </c>
      <c r="L645" s="111" t="s">
        <v>24</v>
      </c>
      <c r="M645" s="235" t="s">
        <v>623</v>
      </c>
      <c r="N645" s="112">
        <v>11500</v>
      </c>
      <c r="O645" s="82" t="s">
        <v>18</v>
      </c>
      <c r="P645" s="170"/>
      <c r="Q645" s="210"/>
    </row>
    <row r="646" spans="1:17" hidden="1" x14ac:dyDescent="0.2">
      <c r="A646" s="139" t="s">
        <v>319</v>
      </c>
      <c r="B646" s="114">
        <v>2019634</v>
      </c>
      <c r="C646" s="113">
        <v>42684</v>
      </c>
      <c r="D646" s="114" t="s">
        <v>631</v>
      </c>
      <c r="E646" s="114">
        <v>69</v>
      </c>
      <c r="F646" s="114" t="str">
        <f>IF(E646&lt;=20,"0-19",
IF(E646&lt;=50,"20-49",
IF(E646&lt;=80,"50-79","80+")))</f>
        <v>50-79</v>
      </c>
      <c r="G646" s="114" t="s">
        <v>60</v>
      </c>
      <c r="H646" s="114" t="s">
        <v>15</v>
      </c>
      <c r="I646" s="114" t="s">
        <v>514</v>
      </c>
      <c r="J646" s="114" t="s">
        <v>2295</v>
      </c>
      <c r="K646" s="111" t="s">
        <v>24</v>
      </c>
      <c r="L646" s="111" t="s">
        <v>24</v>
      </c>
      <c r="M646" s="235" t="s">
        <v>623</v>
      </c>
      <c r="N646" s="116">
        <v>10650</v>
      </c>
      <c r="O646" s="82" t="s">
        <v>18</v>
      </c>
      <c r="P646" s="170"/>
      <c r="Q646" s="210"/>
    </row>
    <row r="647" spans="1:17" hidden="1" x14ac:dyDescent="0.2">
      <c r="A647" s="139" t="s">
        <v>682</v>
      </c>
      <c r="B647" s="114">
        <v>2011620</v>
      </c>
      <c r="C647" s="113">
        <v>102835</v>
      </c>
      <c r="D647" s="114" t="s">
        <v>683</v>
      </c>
      <c r="E647" s="114">
        <v>64</v>
      </c>
      <c r="F647" s="114" t="str">
        <f>IF(E647&lt;=20,"0-19",
IF(E647&lt;=50,"20-49",
IF(E647&lt;=80,"50-79","80+")))</f>
        <v>50-79</v>
      </c>
      <c r="G647" s="114" t="s">
        <v>684</v>
      </c>
      <c r="H647" s="114" t="s">
        <v>15</v>
      </c>
      <c r="I647" s="114" t="s">
        <v>514</v>
      </c>
      <c r="J647" s="114" t="s">
        <v>2295</v>
      </c>
      <c r="K647" s="111" t="s">
        <v>24</v>
      </c>
      <c r="L647" s="111" t="s">
        <v>24</v>
      </c>
      <c r="M647" s="235" t="s">
        <v>623</v>
      </c>
      <c r="N647" s="116">
        <v>10650</v>
      </c>
      <c r="O647" s="87" t="s">
        <v>18</v>
      </c>
      <c r="P647" s="171"/>
      <c r="Q647" s="210"/>
    </row>
    <row r="648" spans="1:17" hidden="1" x14ac:dyDescent="0.2">
      <c r="A648" s="139" t="s">
        <v>990</v>
      </c>
      <c r="B648" s="82">
        <v>2007823</v>
      </c>
      <c r="C648" s="82">
        <v>10576</v>
      </c>
      <c r="D648" s="82" t="s">
        <v>629</v>
      </c>
      <c r="E648" s="82">
        <v>72</v>
      </c>
      <c r="F648" s="82" t="str">
        <f>IF(E648&lt;=20,"0-19",
IF(E648&lt;=50,"20-49",
IF(E648&lt;=80,"50-79","80+")))</f>
        <v>50-79</v>
      </c>
      <c r="G648" s="82" t="s">
        <v>126</v>
      </c>
      <c r="H648" s="82" t="s">
        <v>22</v>
      </c>
      <c r="I648" s="92" t="s">
        <v>514</v>
      </c>
      <c r="J648" s="92" t="s">
        <v>2295</v>
      </c>
      <c r="K648" s="92" t="s">
        <v>831</v>
      </c>
      <c r="L648" s="82" t="s">
        <v>831</v>
      </c>
      <c r="M648" s="231" t="s">
        <v>623</v>
      </c>
      <c r="N648" s="84">
        <v>10650</v>
      </c>
      <c r="O648" s="82" t="s">
        <v>832</v>
      </c>
      <c r="P648" s="170"/>
      <c r="Q648" s="210"/>
    </row>
    <row r="649" spans="1:17" hidden="1" x14ac:dyDescent="0.2">
      <c r="A649" s="139" t="s">
        <v>990</v>
      </c>
      <c r="B649" s="82">
        <v>2019634</v>
      </c>
      <c r="C649" s="82">
        <v>42684</v>
      </c>
      <c r="D649" s="82" t="s">
        <v>698</v>
      </c>
      <c r="E649" s="82">
        <v>68</v>
      </c>
      <c r="F649" s="82" t="str">
        <f>IF(E649&lt;=20,"0-19",
IF(E649&lt;=50,"20-49",
IF(E649&lt;=80,"50-79","80+")))</f>
        <v>50-79</v>
      </c>
      <c r="G649" s="82" t="s">
        <v>60</v>
      </c>
      <c r="H649" s="82" t="s">
        <v>15</v>
      </c>
      <c r="I649" s="92" t="s">
        <v>514</v>
      </c>
      <c r="J649" s="92" t="s">
        <v>2295</v>
      </c>
      <c r="K649" s="92" t="s">
        <v>831</v>
      </c>
      <c r="L649" s="82" t="s">
        <v>831</v>
      </c>
      <c r="M649" s="231" t="s">
        <v>623</v>
      </c>
      <c r="N649" s="84">
        <v>10650</v>
      </c>
      <c r="O649" s="82" t="s">
        <v>832</v>
      </c>
      <c r="P649" s="171"/>
      <c r="Q649" s="210"/>
    </row>
    <row r="650" spans="1:17" hidden="1" x14ac:dyDescent="0.2">
      <c r="A650" s="105" t="s">
        <v>1560</v>
      </c>
      <c r="B650" s="82">
        <v>2001823</v>
      </c>
      <c r="C650" s="82">
        <v>10576</v>
      </c>
      <c r="D650" s="82" t="s">
        <v>630</v>
      </c>
      <c r="E650" s="82">
        <v>72</v>
      </c>
      <c r="F650" s="82" t="str">
        <f>IF(E650&lt;=20,"0-19",
IF(E650&lt;=50,"20-49",
IF(E650&lt;=80,"50-79","80+")))</f>
        <v>50-79</v>
      </c>
      <c r="G650" s="82" t="s">
        <v>60</v>
      </c>
      <c r="H650" s="82" t="s">
        <v>22</v>
      </c>
      <c r="I650" s="92" t="s">
        <v>514</v>
      </c>
      <c r="J650" s="92" t="s">
        <v>2295</v>
      </c>
      <c r="K650" s="82" t="s">
        <v>1549</v>
      </c>
      <c r="L650" s="82" t="s">
        <v>1549</v>
      </c>
      <c r="M650" s="231" t="s">
        <v>623</v>
      </c>
      <c r="N650" s="151">
        <v>10650</v>
      </c>
      <c r="O650" s="151" t="s">
        <v>2254</v>
      </c>
      <c r="P650" s="152">
        <v>254722828789</v>
      </c>
      <c r="Q650" s="210"/>
    </row>
    <row r="651" spans="1:17" hidden="1" x14ac:dyDescent="0.2">
      <c r="A651" s="104" t="s">
        <v>1560</v>
      </c>
      <c r="B651" s="87">
        <v>2019634</v>
      </c>
      <c r="C651" s="87">
        <v>42684</v>
      </c>
      <c r="D651" s="87" t="s">
        <v>628</v>
      </c>
      <c r="E651" s="87">
        <v>69</v>
      </c>
      <c r="F651" s="87" t="str">
        <f>IF(E651&lt;=20,"0-19",
IF(E651&lt;=50,"20-49",
IF(E651&lt;=80,"50-79","80+")))</f>
        <v>50-79</v>
      </c>
      <c r="G651" s="87" t="s">
        <v>126</v>
      </c>
      <c r="H651" s="87" t="s">
        <v>706</v>
      </c>
      <c r="I651" s="86" t="s">
        <v>514</v>
      </c>
      <c r="J651" s="86" t="s">
        <v>2295</v>
      </c>
      <c r="K651" s="87" t="s">
        <v>1549</v>
      </c>
      <c r="L651" s="87" t="s">
        <v>1549</v>
      </c>
      <c r="M651" s="234" t="s">
        <v>623</v>
      </c>
      <c r="N651" s="161">
        <v>10650</v>
      </c>
      <c r="O651" s="161" t="s">
        <v>2254</v>
      </c>
      <c r="P651" s="168">
        <v>254722828789</v>
      </c>
      <c r="Q651" s="210"/>
    </row>
    <row r="652" spans="1:17" hidden="1" x14ac:dyDescent="0.2">
      <c r="A652" s="105" t="s">
        <v>274</v>
      </c>
      <c r="B652" s="82">
        <v>2010871</v>
      </c>
      <c r="C652" s="82">
        <v>56685</v>
      </c>
      <c r="D652" s="82" t="s">
        <v>679</v>
      </c>
      <c r="E652" s="82">
        <v>63</v>
      </c>
      <c r="F652" s="82" t="str">
        <f>IF(E652&lt;=20,"0-19",
IF(E652&lt;=50,"20-49",
IF(E652&lt;=80,"50-79","80+")))</f>
        <v>50-79</v>
      </c>
      <c r="G652" s="82" t="s">
        <v>60</v>
      </c>
      <c r="H652" s="82" t="s">
        <v>22</v>
      </c>
      <c r="I652" s="92" t="s">
        <v>514</v>
      </c>
      <c r="J652" s="92" t="s">
        <v>2295</v>
      </c>
      <c r="K652" s="82" t="s">
        <v>1549</v>
      </c>
      <c r="L652" s="82" t="s">
        <v>1549</v>
      </c>
      <c r="M652" s="231" t="s">
        <v>623</v>
      </c>
      <c r="N652" s="151">
        <v>9025</v>
      </c>
      <c r="O652" s="151" t="s">
        <v>2254</v>
      </c>
      <c r="P652" s="152">
        <v>254704150060</v>
      </c>
      <c r="Q652" s="210"/>
    </row>
    <row r="653" spans="1:17" ht="21" hidden="1" x14ac:dyDescent="0.2">
      <c r="A653" s="138" t="s">
        <v>12</v>
      </c>
      <c r="B653" s="113">
        <v>2001893</v>
      </c>
      <c r="C653" s="113">
        <v>9046</v>
      </c>
      <c r="D653" s="114" t="s">
        <v>624</v>
      </c>
      <c r="E653" s="113">
        <v>69</v>
      </c>
      <c r="F653" s="113" t="str">
        <f>IF(E653&lt;=20,"0-19",
IF(E653&lt;=50,"20-49",
IF(E653&lt;=80,"50-79","80+")))</f>
        <v>50-79</v>
      </c>
      <c r="G653" s="113" t="s">
        <v>60</v>
      </c>
      <c r="H653" s="113" t="s">
        <v>22</v>
      </c>
      <c r="I653" s="114" t="s">
        <v>514</v>
      </c>
      <c r="J653" s="114" t="s">
        <v>2295</v>
      </c>
      <c r="K653" s="114" t="s">
        <v>25</v>
      </c>
      <c r="L653" s="113" t="s">
        <v>25</v>
      </c>
      <c r="M653" s="235" t="s">
        <v>623</v>
      </c>
      <c r="N653" s="115">
        <v>9500</v>
      </c>
      <c r="O653" s="82" t="s">
        <v>18</v>
      </c>
      <c r="P653" s="170"/>
      <c r="Q653" s="210"/>
    </row>
    <row r="654" spans="1:17" hidden="1" x14ac:dyDescent="0.2">
      <c r="A654" s="139" t="s">
        <v>142</v>
      </c>
      <c r="B654" s="113">
        <v>2017509</v>
      </c>
      <c r="C654" s="113">
        <v>19309</v>
      </c>
      <c r="D654" s="114" t="s">
        <v>652</v>
      </c>
      <c r="E654" s="113">
        <v>63</v>
      </c>
      <c r="F654" s="113" t="str">
        <f>IF(E654&lt;=20,"0-19",
IF(E654&lt;=50,"20-49",
IF(E654&lt;=80,"50-79","80+")))</f>
        <v>50-79</v>
      </c>
      <c r="G654" s="113" t="s">
        <v>60</v>
      </c>
      <c r="H654" s="113" t="s">
        <v>22</v>
      </c>
      <c r="I654" s="114" t="s">
        <v>514</v>
      </c>
      <c r="J654" s="114" t="s">
        <v>2295</v>
      </c>
      <c r="K654" s="114" t="s">
        <v>25</v>
      </c>
      <c r="L654" s="113" t="s">
        <v>25</v>
      </c>
      <c r="M654" s="235" t="s">
        <v>623</v>
      </c>
      <c r="N654" s="115">
        <v>8500</v>
      </c>
      <c r="O654" s="82" t="s">
        <v>18</v>
      </c>
      <c r="P654" s="170"/>
      <c r="Q654" s="210"/>
    </row>
    <row r="655" spans="1:17" hidden="1" x14ac:dyDescent="0.2">
      <c r="A655" s="105" t="s">
        <v>1166</v>
      </c>
      <c r="B655" s="82">
        <v>2001893</v>
      </c>
      <c r="C655" s="82">
        <v>9046</v>
      </c>
      <c r="D655" s="82" t="s">
        <v>625</v>
      </c>
      <c r="E655" s="82">
        <v>69</v>
      </c>
      <c r="F655" s="82" t="str">
        <f>IF(E655&lt;=20,"0-19",
IF(E655&lt;=50,"20-49",
IF(E655&lt;=80,"50-79","80+")))</f>
        <v>50-79</v>
      </c>
      <c r="G655" s="82" t="s">
        <v>126</v>
      </c>
      <c r="H655" s="82" t="s">
        <v>664</v>
      </c>
      <c r="I655" s="92" t="s">
        <v>514</v>
      </c>
      <c r="J655" s="92" t="s">
        <v>2295</v>
      </c>
      <c r="K655" s="82" t="s">
        <v>1556</v>
      </c>
      <c r="L655" s="82" t="s">
        <v>1556</v>
      </c>
      <c r="M655" s="231" t="s">
        <v>623</v>
      </c>
      <c r="N655" s="151">
        <v>9500</v>
      </c>
      <c r="O655" s="151" t="s">
        <v>2254</v>
      </c>
      <c r="P655" s="152">
        <v>254721369143</v>
      </c>
      <c r="Q655" s="210"/>
    </row>
    <row r="656" spans="1:17" hidden="1" x14ac:dyDescent="0.2">
      <c r="A656" s="138" t="s">
        <v>228</v>
      </c>
      <c r="B656" s="113">
        <v>2005037</v>
      </c>
      <c r="C656" s="113">
        <v>5326</v>
      </c>
      <c r="D656" s="114" t="s">
        <v>638</v>
      </c>
      <c r="E656" s="113">
        <v>18</v>
      </c>
      <c r="F656" s="113" t="str">
        <f>IF(E656&lt;=20,"0-19",
IF(E656&lt;=50,"20-49",
IF(E656&lt;=80,"50-79","80+")))</f>
        <v>0-19</v>
      </c>
      <c r="G656" s="113" t="s">
        <v>60</v>
      </c>
      <c r="H656" s="113" t="s">
        <v>132</v>
      </c>
      <c r="I656" s="114" t="s">
        <v>514</v>
      </c>
      <c r="J656" s="114" t="s">
        <v>2295</v>
      </c>
      <c r="K656" s="114" t="s">
        <v>57</v>
      </c>
      <c r="L656" s="113" t="s">
        <v>57</v>
      </c>
      <c r="M656" s="235" t="s">
        <v>623</v>
      </c>
      <c r="N656" s="115">
        <v>5640</v>
      </c>
      <c r="O656" s="82" t="s">
        <v>18</v>
      </c>
      <c r="P656" s="170"/>
      <c r="Q656" s="210"/>
    </row>
    <row r="657" spans="1:17" hidden="1" x14ac:dyDescent="0.2">
      <c r="A657" s="139" t="s">
        <v>319</v>
      </c>
      <c r="B657" s="113">
        <v>2001853</v>
      </c>
      <c r="C657" s="113">
        <v>10576</v>
      </c>
      <c r="D657" s="114" t="s">
        <v>630</v>
      </c>
      <c r="E657" s="113">
        <v>71</v>
      </c>
      <c r="F657" s="113" t="str">
        <f>IF(E657&lt;=20,"0-19",
IF(E657&lt;=50,"20-49",
IF(E657&lt;=80,"50-79","80+")))</f>
        <v>50-79</v>
      </c>
      <c r="G657" s="113" t="s">
        <v>60</v>
      </c>
      <c r="H657" s="113" t="s">
        <v>22</v>
      </c>
      <c r="I657" s="114" t="s">
        <v>514</v>
      </c>
      <c r="J657" s="114" t="s">
        <v>2295</v>
      </c>
      <c r="K657" s="114" t="s">
        <v>51</v>
      </c>
      <c r="L657" s="113" t="s">
        <v>51</v>
      </c>
      <c r="M657" s="235" t="s">
        <v>623</v>
      </c>
      <c r="N657" s="115">
        <v>10650</v>
      </c>
      <c r="O657" s="87" t="s">
        <v>18</v>
      </c>
      <c r="P657" s="171"/>
      <c r="Q657" s="210"/>
    </row>
    <row r="658" spans="1:17" hidden="1" x14ac:dyDescent="0.2">
      <c r="A658" s="139" t="s">
        <v>319</v>
      </c>
      <c r="B658" s="113">
        <v>2001634</v>
      </c>
      <c r="C658" s="113">
        <v>42684</v>
      </c>
      <c r="D658" s="114" t="s">
        <v>628</v>
      </c>
      <c r="E658" s="113">
        <v>68</v>
      </c>
      <c r="F658" s="113" t="str">
        <f>IF(E658&lt;=20,"0-19",
IF(E658&lt;=50,"20-49",
IF(E658&lt;=80,"50-79","80+")))</f>
        <v>50-79</v>
      </c>
      <c r="G658" s="113" t="s">
        <v>60</v>
      </c>
      <c r="H658" s="113" t="s">
        <v>15</v>
      </c>
      <c r="I658" s="114" t="s">
        <v>514</v>
      </c>
      <c r="J658" s="114" t="s">
        <v>2295</v>
      </c>
      <c r="K658" s="114" t="s">
        <v>51</v>
      </c>
      <c r="L658" s="113" t="s">
        <v>51</v>
      </c>
      <c r="M658" s="235" t="s">
        <v>623</v>
      </c>
      <c r="N658" s="115">
        <v>10650</v>
      </c>
      <c r="O658" s="82" t="s">
        <v>18</v>
      </c>
      <c r="P658" s="170"/>
      <c r="Q658" s="210"/>
    </row>
    <row r="659" spans="1:17" hidden="1" x14ac:dyDescent="0.2">
      <c r="A659" s="139" t="s">
        <v>836</v>
      </c>
      <c r="B659" s="82">
        <v>2002095</v>
      </c>
      <c r="C659" s="82">
        <v>21102</v>
      </c>
      <c r="D659" s="82" t="s">
        <v>665</v>
      </c>
      <c r="E659" s="82">
        <v>57</v>
      </c>
      <c r="F659" s="82" t="str">
        <f>IF(E659&lt;=20,"0-19",
IF(E659&lt;=50,"20-49",
IF(E659&lt;=80,"50-79","80+")))</f>
        <v>50-79</v>
      </c>
      <c r="G659" s="82" t="s">
        <v>60</v>
      </c>
      <c r="H659" s="82" t="s">
        <v>22</v>
      </c>
      <c r="I659" s="92" t="s">
        <v>514</v>
      </c>
      <c r="J659" s="92" t="s">
        <v>2295</v>
      </c>
      <c r="K659" s="92" t="s">
        <v>901</v>
      </c>
      <c r="L659" s="82" t="s">
        <v>901</v>
      </c>
      <c r="M659" s="231" t="s">
        <v>623</v>
      </c>
      <c r="N659" s="84">
        <v>11500</v>
      </c>
      <c r="O659" s="82" t="s">
        <v>832</v>
      </c>
      <c r="P659" s="171"/>
      <c r="Q659" s="210"/>
    </row>
    <row r="660" spans="1:17" hidden="1" x14ac:dyDescent="0.2">
      <c r="A660" s="139" t="s">
        <v>340</v>
      </c>
      <c r="B660" s="82">
        <v>2014318</v>
      </c>
      <c r="C660" s="82">
        <v>61208</v>
      </c>
      <c r="D660" s="93" t="s">
        <v>1169</v>
      </c>
      <c r="E660" s="82">
        <v>63</v>
      </c>
      <c r="F660" s="82" t="str">
        <f>IF(E660&lt;=20,"0-19",
IF(E660&lt;=50,"20-49",
IF(E660&lt;=80,"50-79","80+")))</f>
        <v>50-79</v>
      </c>
      <c r="G660" s="82" t="s">
        <v>60</v>
      </c>
      <c r="H660" s="82" t="s">
        <v>22</v>
      </c>
      <c r="I660" s="92" t="s">
        <v>514</v>
      </c>
      <c r="J660" s="92" t="s">
        <v>2295</v>
      </c>
      <c r="K660" s="92" t="s">
        <v>901</v>
      </c>
      <c r="L660" s="82" t="s">
        <v>901</v>
      </c>
      <c r="M660" s="231" t="s">
        <v>623</v>
      </c>
      <c r="N660" s="84">
        <v>9500</v>
      </c>
      <c r="O660" s="82" t="s">
        <v>832</v>
      </c>
      <c r="P660" s="170"/>
      <c r="Q660" s="210"/>
    </row>
    <row r="661" spans="1:17" hidden="1" x14ac:dyDescent="0.2">
      <c r="A661" s="105" t="s">
        <v>72</v>
      </c>
      <c r="B661" s="82">
        <v>2502095</v>
      </c>
      <c r="C661" s="82">
        <v>21102</v>
      </c>
      <c r="D661" s="82" t="s">
        <v>663</v>
      </c>
      <c r="E661" s="82"/>
      <c r="F661" s="82" t="str">
        <f>IF(E661&lt;=20,"0-19",
IF(E661&lt;=50,"20-49",
IF(E661&lt;=80,"50-79","80+")))</f>
        <v>0-19</v>
      </c>
      <c r="G661" s="82" t="s">
        <v>60</v>
      </c>
      <c r="H661" s="82" t="s">
        <v>22</v>
      </c>
      <c r="I661" s="92" t="s">
        <v>514</v>
      </c>
      <c r="J661" s="92" t="s">
        <v>2295</v>
      </c>
      <c r="K661" s="82" t="s">
        <v>1572</v>
      </c>
      <c r="L661" s="82" t="s">
        <v>1572</v>
      </c>
      <c r="M661" s="231" t="s">
        <v>623</v>
      </c>
      <c r="N661" s="151">
        <v>11500</v>
      </c>
      <c r="O661" s="151" t="s">
        <v>2254</v>
      </c>
      <c r="P661" s="152">
        <v>254715509227</v>
      </c>
      <c r="Q661" s="210"/>
    </row>
    <row r="662" spans="1:17" hidden="1" x14ac:dyDescent="0.2">
      <c r="A662" s="138" t="s">
        <v>12</v>
      </c>
      <c r="B662" s="113">
        <v>2001893</v>
      </c>
      <c r="C662" s="113">
        <v>9046</v>
      </c>
      <c r="D662" s="114" t="s">
        <v>625</v>
      </c>
      <c r="E662" s="113">
        <v>69</v>
      </c>
      <c r="F662" s="113" t="str">
        <f>IF(E662&lt;=20,"0-19",
IF(E662&lt;=50,"20-49",
IF(E662&lt;=80,"50-79","80+")))</f>
        <v>50-79</v>
      </c>
      <c r="G662" s="113" t="s">
        <v>60</v>
      </c>
      <c r="H662" s="113" t="s">
        <v>22</v>
      </c>
      <c r="I662" s="114" t="s">
        <v>514</v>
      </c>
      <c r="J662" s="114" t="s">
        <v>2295</v>
      </c>
      <c r="K662" s="114" t="s">
        <v>52</v>
      </c>
      <c r="L662" s="113" t="s">
        <v>52</v>
      </c>
      <c r="M662" s="235" t="s">
        <v>623</v>
      </c>
      <c r="N662" s="115">
        <v>9500</v>
      </c>
      <c r="O662" s="87" t="s">
        <v>18</v>
      </c>
      <c r="P662" s="171"/>
      <c r="Q662" s="210"/>
    </row>
    <row r="663" spans="1:17" hidden="1" x14ac:dyDescent="0.2">
      <c r="A663" s="139" t="s">
        <v>990</v>
      </c>
      <c r="B663" s="82">
        <v>2001823</v>
      </c>
      <c r="C663" s="82">
        <v>10576</v>
      </c>
      <c r="D663" s="82" t="s">
        <v>630</v>
      </c>
      <c r="E663" s="82">
        <v>72</v>
      </c>
      <c r="F663" s="82" t="str">
        <f>IF(E663&lt;=20,"0-19",
IF(E663&lt;=50,"20-49",
IF(E663&lt;=80,"50-79","80+")))</f>
        <v>50-79</v>
      </c>
      <c r="G663" s="82" t="s">
        <v>60</v>
      </c>
      <c r="H663" s="82" t="s">
        <v>22</v>
      </c>
      <c r="I663" s="92" t="s">
        <v>514</v>
      </c>
      <c r="J663" s="92" t="s">
        <v>2295</v>
      </c>
      <c r="K663" s="92" t="s">
        <v>851</v>
      </c>
      <c r="L663" s="82" t="s">
        <v>851</v>
      </c>
      <c r="M663" s="231" t="s">
        <v>623</v>
      </c>
      <c r="N663" s="84">
        <v>10650</v>
      </c>
      <c r="O663" s="82" t="s">
        <v>832</v>
      </c>
      <c r="P663" s="171"/>
      <c r="Q663" s="210"/>
    </row>
    <row r="664" spans="1:17" hidden="1" x14ac:dyDescent="0.2">
      <c r="A664" s="139" t="s">
        <v>990</v>
      </c>
      <c r="B664" s="82">
        <v>2019634</v>
      </c>
      <c r="C664" s="82">
        <v>42684</v>
      </c>
      <c r="D664" s="82" t="s">
        <v>1176</v>
      </c>
      <c r="E664" s="82">
        <v>68</v>
      </c>
      <c r="F664" s="82" t="str">
        <f>IF(E664&lt;=20,"0-19",
IF(E664&lt;=50,"20-49",
IF(E664&lt;=80,"50-79","80+")))</f>
        <v>50-79</v>
      </c>
      <c r="G664" s="82" t="s">
        <v>60</v>
      </c>
      <c r="H664" s="82" t="s">
        <v>15</v>
      </c>
      <c r="I664" s="92" t="s">
        <v>514</v>
      </c>
      <c r="J664" s="92" t="s">
        <v>2295</v>
      </c>
      <c r="K664" s="92" t="s">
        <v>851</v>
      </c>
      <c r="L664" s="82" t="s">
        <v>851</v>
      </c>
      <c r="M664" s="231" t="s">
        <v>623</v>
      </c>
      <c r="N664" s="84">
        <v>10650</v>
      </c>
      <c r="O664" s="82" t="s">
        <v>832</v>
      </c>
      <c r="P664" s="170"/>
      <c r="Q664" s="210"/>
    </row>
    <row r="665" spans="1:17" hidden="1" x14ac:dyDescent="0.2">
      <c r="A665" s="139" t="s">
        <v>12</v>
      </c>
      <c r="B665" s="82">
        <v>2001893</v>
      </c>
      <c r="C665" s="82">
        <v>9046</v>
      </c>
      <c r="D665" s="82" t="s">
        <v>625</v>
      </c>
      <c r="E665" s="82">
        <v>69</v>
      </c>
      <c r="F665" s="82" t="str">
        <f>IF(E665&lt;=20,"0-19",
IF(E665&lt;=50,"20-49",
IF(E665&lt;=80,"50-79","80+")))</f>
        <v>50-79</v>
      </c>
      <c r="G665" s="82" t="s">
        <v>60</v>
      </c>
      <c r="H665" s="82" t="s">
        <v>22</v>
      </c>
      <c r="I665" s="92" t="s">
        <v>514</v>
      </c>
      <c r="J665" s="92" t="s">
        <v>2295</v>
      </c>
      <c r="K665" s="92" t="s">
        <v>855</v>
      </c>
      <c r="L665" s="82" t="s">
        <v>855</v>
      </c>
      <c r="M665" s="231" t="s">
        <v>623</v>
      </c>
      <c r="N665" s="84">
        <v>9500</v>
      </c>
      <c r="O665" s="82" t="s">
        <v>832</v>
      </c>
      <c r="P665" s="170"/>
      <c r="Q665" s="210"/>
    </row>
    <row r="666" spans="1:17" hidden="1" x14ac:dyDescent="0.2">
      <c r="A666" s="139" t="s">
        <v>874</v>
      </c>
      <c r="B666" s="82">
        <v>2002228</v>
      </c>
      <c r="C666" s="82">
        <v>31315</v>
      </c>
      <c r="D666" s="82" t="s">
        <v>634</v>
      </c>
      <c r="E666" s="82">
        <v>72</v>
      </c>
      <c r="F666" s="82" t="str">
        <f>IF(E666&lt;=20,"0-19",
IF(E666&lt;=50,"20-49",
IF(E666&lt;=80,"50-79","80+")))</f>
        <v>50-79</v>
      </c>
      <c r="G666" s="82" t="s">
        <v>60</v>
      </c>
      <c r="H666" s="82" t="s">
        <v>22</v>
      </c>
      <c r="I666" s="92" t="s">
        <v>514</v>
      </c>
      <c r="J666" s="92" t="s">
        <v>2295</v>
      </c>
      <c r="K666" s="92" t="s">
        <v>855</v>
      </c>
      <c r="L666" s="82" t="s">
        <v>855</v>
      </c>
      <c r="M666" s="231" t="s">
        <v>623</v>
      </c>
      <c r="N666" s="84">
        <v>10650</v>
      </c>
      <c r="O666" s="82" t="s">
        <v>832</v>
      </c>
      <c r="P666" s="171"/>
      <c r="Q666" s="210"/>
    </row>
    <row r="667" spans="1:17" ht="21" hidden="1" x14ac:dyDescent="0.2">
      <c r="A667" s="139" t="s">
        <v>1482</v>
      </c>
      <c r="B667" s="82">
        <v>2017742</v>
      </c>
      <c r="C667" s="82">
        <v>37239</v>
      </c>
      <c r="D667" s="82" t="s">
        <v>1171</v>
      </c>
      <c r="E667" s="82">
        <v>58</v>
      </c>
      <c r="F667" s="82" t="str">
        <f>IF(E667&lt;=20,"0-19",
IF(E667&lt;=50,"20-49",
IF(E667&lt;=80,"50-79","80+")))</f>
        <v>50-79</v>
      </c>
      <c r="G667" s="82" t="s">
        <v>60</v>
      </c>
      <c r="H667" s="82" t="s">
        <v>22</v>
      </c>
      <c r="I667" s="92" t="s">
        <v>514</v>
      </c>
      <c r="J667" s="119" t="s">
        <v>2295</v>
      </c>
      <c r="K667" s="92" t="s">
        <v>1172</v>
      </c>
      <c r="L667" s="82" t="s">
        <v>855</v>
      </c>
      <c r="M667" s="231" t="s">
        <v>623</v>
      </c>
      <c r="N667" s="84">
        <v>9726</v>
      </c>
      <c r="O667" s="82" t="s">
        <v>832</v>
      </c>
      <c r="P667" s="170"/>
      <c r="Q667" s="210"/>
    </row>
    <row r="668" spans="1:17" hidden="1" x14ac:dyDescent="0.2">
      <c r="A668" s="105" t="s">
        <v>1166</v>
      </c>
      <c r="B668" s="82">
        <v>2001893</v>
      </c>
      <c r="C668" s="82">
        <v>9046</v>
      </c>
      <c r="D668" s="82" t="s">
        <v>625</v>
      </c>
      <c r="E668" s="82">
        <v>69</v>
      </c>
      <c r="F668" s="82" t="str">
        <f>IF(E668&lt;=20,"0-19",
IF(E668&lt;=50,"20-49",
IF(E668&lt;=80,"50-79","80+")))</f>
        <v>50-79</v>
      </c>
      <c r="G668" s="82" t="s">
        <v>60</v>
      </c>
      <c r="H668" s="82" t="s">
        <v>22</v>
      </c>
      <c r="I668" s="92" t="s">
        <v>514</v>
      </c>
      <c r="J668" s="119" t="s">
        <v>2295</v>
      </c>
      <c r="K668" s="82" t="s">
        <v>1543</v>
      </c>
      <c r="L668" s="82" t="s">
        <v>1543</v>
      </c>
      <c r="M668" s="231" t="s">
        <v>623</v>
      </c>
      <c r="N668" s="151">
        <v>9500</v>
      </c>
      <c r="O668" s="151" t="s">
        <v>2254</v>
      </c>
      <c r="P668" s="152">
        <v>254759231438</v>
      </c>
      <c r="Q668" s="210"/>
    </row>
    <row r="669" spans="1:17" hidden="1" x14ac:dyDescent="0.2">
      <c r="A669" s="105" t="s">
        <v>1560</v>
      </c>
      <c r="B669" s="82">
        <v>2001823</v>
      </c>
      <c r="C669" s="82">
        <v>10576</v>
      </c>
      <c r="D669" s="82" t="s">
        <v>630</v>
      </c>
      <c r="E669" s="82">
        <v>72</v>
      </c>
      <c r="F669" s="82" t="str">
        <f>IF(E669&lt;=20,"0-19",
IF(E669&lt;=50,"20-49",
IF(E669&lt;=80,"50-79","80+")))</f>
        <v>50-79</v>
      </c>
      <c r="G669" s="82" t="s">
        <v>60</v>
      </c>
      <c r="H669" s="82" t="s">
        <v>22</v>
      </c>
      <c r="I669" s="92" t="s">
        <v>514</v>
      </c>
      <c r="J669" s="119" t="s">
        <v>2295</v>
      </c>
      <c r="K669" s="82" t="s">
        <v>1564</v>
      </c>
      <c r="L669" s="82" t="s">
        <v>1543</v>
      </c>
      <c r="M669" s="231" t="s">
        <v>623</v>
      </c>
      <c r="N669" s="151">
        <v>10650</v>
      </c>
      <c r="O669" s="151" t="s">
        <v>2254</v>
      </c>
      <c r="P669" s="152">
        <v>254722828789</v>
      </c>
      <c r="Q669" s="210"/>
    </row>
    <row r="670" spans="1:17" ht="21" hidden="1" x14ac:dyDescent="0.2">
      <c r="A670" s="104" t="s">
        <v>1575</v>
      </c>
      <c r="B670" s="87">
        <v>2001198</v>
      </c>
      <c r="C670" s="87">
        <v>18587</v>
      </c>
      <c r="D670" s="87" t="s">
        <v>1425</v>
      </c>
      <c r="E670" s="87">
        <v>75</v>
      </c>
      <c r="F670" s="87" t="str">
        <f>IF(E670&lt;=20,"0-19",
IF(E670&lt;=50,"20-49",
IF(E670&lt;=80,"50-79","80+")))</f>
        <v>50-79</v>
      </c>
      <c r="G670" s="87" t="s">
        <v>60</v>
      </c>
      <c r="H670" s="87" t="s">
        <v>22</v>
      </c>
      <c r="I670" s="86" t="s">
        <v>514</v>
      </c>
      <c r="J670" s="123" t="s">
        <v>2295</v>
      </c>
      <c r="K670" s="87" t="s">
        <v>1576</v>
      </c>
      <c r="L670" s="87" t="s">
        <v>1543</v>
      </c>
      <c r="M670" s="234" t="s">
        <v>623</v>
      </c>
      <c r="N670" s="161">
        <v>11500</v>
      </c>
      <c r="O670" s="161" t="s">
        <v>2254</v>
      </c>
      <c r="P670" s="168">
        <v>254715509227</v>
      </c>
      <c r="Q670" s="210"/>
    </row>
    <row r="671" spans="1:17" hidden="1" x14ac:dyDescent="0.2">
      <c r="A671" s="106" t="s">
        <v>142</v>
      </c>
      <c r="B671" s="87">
        <v>20175091</v>
      </c>
      <c r="C671" s="87">
        <v>19309</v>
      </c>
      <c r="D671" s="87" t="s">
        <v>1541</v>
      </c>
      <c r="E671" s="87">
        <v>63</v>
      </c>
      <c r="F671" s="87" t="str">
        <f>IF(E671&lt;=20,"0-19",
IF(E671&lt;=50,"20-49",
IF(E671&lt;=80,"50-79","80+")))</f>
        <v>50-79</v>
      </c>
      <c r="G671" s="87" t="s">
        <v>60</v>
      </c>
      <c r="H671" s="87" t="s">
        <v>22</v>
      </c>
      <c r="I671" s="86" t="s">
        <v>514</v>
      </c>
      <c r="J671" s="123" t="s">
        <v>2295</v>
      </c>
      <c r="K671" s="87" t="s">
        <v>1543</v>
      </c>
      <c r="L671" s="87" t="s">
        <v>1543</v>
      </c>
      <c r="M671" s="234" t="s">
        <v>623</v>
      </c>
      <c r="N671" s="161">
        <v>8500</v>
      </c>
      <c r="O671" s="161" t="s">
        <v>2254</v>
      </c>
      <c r="P671" s="168">
        <v>254726788384</v>
      </c>
      <c r="Q671" s="210"/>
    </row>
    <row r="672" spans="1:17" hidden="1" x14ac:dyDescent="0.2">
      <c r="A672" s="104" t="s">
        <v>1565</v>
      </c>
      <c r="B672" s="87">
        <v>2002228</v>
      </c>
      <c r="C672" s="87">
        <v>31315</v>
      </c>
      <c r="D672" s="87" t="s">
        <v>1285</v>
      </c>
      <c r="E672" s="87">
        <v>72</v>
      </c>
      <c r="F672" s="87" t="str">
        <f>IF(E672&lt;=20,"0-19",
IF(E672&lt;=50,"20-49",
IF(E672&lt;=80,"50-79","80+")))</f>
        <v>50-79</v>
      </c>
      <c r="G672" s="87" t="s">
        <v>60</v>
      </c>
      <c r="H672" s="87" t="s">
        <v>22</v>
      </c>
      <c r="I672" s="86" t="s">
        <v>514</v>
      </c>
      <c r="J672" s="123" t="s">
        <v>2295</v>
      </c>
      <c r="K672" s="87" t="s">
        <v>1543</v>
      </c>
      <c r="L672" s="87" t="s">
        <v>1543</v>
      </c>
      <c r="M672" s="234" t="s">
        <v>623</v>
      </c>
      <c r="N672" s="161">
        <v>10650</v>
      </c>
      <c r="O672" s="161" t="s">
        <v>2254</v>
      </c>
      <c r="P672" s="168">
        <v>254720133344</v>
      </c>
      <c r="Q672" s="210"/>
    </row>
    <row r="673" spans="1:17" hidden="1" x14ac:dyDescent="0.2">
      <c r="A673" s="108" t="s">
        <v>340</v>
      </c>
      <c r="B673" s="113">
        <v>2014318</v>
      </c>
      <c r="C673" s="113">
        <v>61208</v>
      </c>
      <c r="D673" s="114" t="s">
        <v>651</v>
      </c>
      <c r="E673" s="113">
        <v>62</v>
      </c>
      <c r="F673" s="113" t="str">
        <f>IF(E673&lt;=20,"0-19",
IF(E673&lt;=50,"20-49",
IF(E673&lt;=80,"50-79","80+")))</f>
        <v>50-79</v>
      </c>
      <c r="G673" s="113" t="s">
        <v>60</v>
      </c>
      <c r="H673" s="113" t="s">
        <v>22</v>
      </c>
      <c r="I673" s="114" t="s">
        <v>514</v>
      </c>
      <c r="J673" s="198" t="s">
        <v>2295</v>
      </c>
      <c r="K673" s="114" t="s">
        <v>36</v>
      </c>
      <c r="L673" s="113" t="s">
        <v>36</v>
      </c>
      <c r="M673" s="235" t="s">
        <v>623</v>
      </c>
      <c r="N673" s="115">
        <v>9500</v>
      </c>
      <c r="O673" s="87" t="s">
        <v>18</v>
      </c>
      <c r="P673" s="171"/>
      <c r="Q673" s="210"/>
    </row>
    <row r="674" spans="1:17" hidden="1" x14ac:dyDescent="0.2">
      <c r="A674" s="224" t="s">
        <v>1560</v>
      </c>
      <c r="B674" s="225">
        <v>2019634</v>
      </c>
      <c r="C674" s="225">
        <v>42684</v>
      </c>
      <c r="D674" s="225" t="s">
        <v>628</v>
      </c>
      <c r="E674" s="225">
        <v>69</v>
      </c>
      <c r="F674" s="225" t="str">
        <f>IF(E674&lt;=20,"0-19",
IF(E674&lt;=50,"20-49",
IF(E674&lt;=80,"50-79","80+")))</f>
        <v>50-79</v>
      </c>
      <c r="G674" s="225" t="s">
        <v>60</v>
      </c>
      <c r="H674" s="225" t="s">
        <v>15</v>
      </c>
      <c r="I674" s="226" t="s">
        <v>514</v>
      </c>
      <c r="J674" s="119" t="s">
        <v>2295</v>
      </c>
      <c r="K674" s="225" t="s">
        <v>1566</v>
      </c>
      <c r="L674" s="225" t="s">
        <v>1567</v>
      </c>
      <c r="M674" s="237" t="s">
        <v>623</v>
      </c>
      <c r="N674" s="229">
        <v>10650</v>
      </c>
      <c r="O674" s="229" t="s">
        <v>2254</v>
      </c>
      <c r="P674" s="230">
        <v>254720133344</v>
      </c>
      <c r="Q674" s="210"/>
    </row>
    <row r="675" spans="1:17" ht="31.5" hidden="1" x14ac:dyDescent="0.2">
      <c r="A675" s="156" t="s">
        <v>228</v>
      </c>
      <c r="B675" s="197">
        <v>2005037</v>
      </c>
      <c r="C675" s="197">
        <v>5326</v>
      </c>
      <c r="D675" s="198" t="s">
        <v>638</v>
      </c>
      <c r="E675" s="197">
        <v>18</v>
      </c>
      <c r="F675" s="197" t="str">
        <f>IF(E675&lt;=20,"0-19",
IF(E675&lt;=50,"20-49",
IF(E675&lt;=80,"50-79","80+")))</f>
        <v>0-19</v>
      </c>
      <c r="G675" s="197" t="s">
        <v>60</v>
      </c>
      <c r="H675" s="197" t="s">
        <v>88</v>
      </c>
      <c r="I675" s="198" t="s">
        <v>514</v>
      </c>
      <c r="J675" s="198" t="s">
        <v>2295</v>
      </c>
      <c r="K675" s="198" t="s">
        <v>641</v>
      </c>
      <c r="L675" s="197" t="s">
        <v>37</v>
      </c>
      <c r="M675" s="238" t="s">
        <v>623</v>
      </c>
      <c r="N675" s="202">
        <v>9757.18</v>
      </c>
      <c r="O675" s="122" t="s">
        <v>18</v>
      </c>
      <c r="P675" s="172"/>
      <c r="Q675" s="210"/>
    </row>
    <row r="676" spans="1:17" hidden="1" x14ac:dyDescent="0.2">
      <c r="A676" s="155" t="s">
        <v>319</v>
      </c>
      <c r="B676" s="197">
        <v>2001853</v>
      </c>
      <c r="C676" s="197">
        <v>10576</v>
      </c>
      <c r="D676" s="198" t="s">
        <v>630</v>
      </c>
      <c r="E676" s="197">
        <v>72</v>
      </c>
      <c r="F676" s="197" t="str">
        <f>IF(E676&lt;=20,"0-19",
IF(E676&lt;=50,"20-49",
IF(E676&lt;=80,"50-79","80+")))</f>
        <v>50-79</v>
      </c>
      <c r="G676" s="197" t="s">
        <v>60</v>
      </c>
      <c r="H676" s="197" t="s">
        <v>22</v>
      </c>
      <c r="I676" s="198" t="s">
        <v>514</v>
      </c>
      <c r="J676" s="198" t="s">
        <v>2295</v>
      </c>
      <c r="K676" s="198" t="s">
        <v>37</v>
      </c>
      <c r="L676" s="197" t="s">
        <v>37</v>
      </c>
      <c r="M676" s="238" t="s">
        <v>623</v>
      </c>
      <c r="N676" s="202">
        <v>10650</v>
      </c>
      <c r="O676" s="125" t="s">
        <v>18</v>
      </c>
      <c r="P676" s="173"/>
      <c r="Q676" s="210"/>
    </row>
    <row r="677" spans="1:17" hidden="1" x14ac:dyDescent="0.2">
      <c r="A677" s="155" t="s">
        <v>319</v>
      </c>
      <c r="B677" s="197">
        <v>2019634</v>
      </c>
      <c r="C677" s="197">
        <v>42684</v>
      </c>
      <c r="D677" s="198" t="s">
        <v>628</v>
      </c>
      <c r="E677" s="197">
        <v>68</v>
      </c>
      <c r="F677" s="197" t="str">
        <f>IF(E677&lt;=20,"0-19",
IF(E677&lt;=50,"20-49",
IF(E677&lt;=80,"50-79","80+")))</f>
        <v>50-79</v>
      </c>
      <c r="G677" s="197" t="s">
        <v>60</v>
      </c>
      <c r="H677" s="197" t="s">
        <v>15</v>
      </c>
      <c r="I677" s="198" t="s">
        <v>514</v>
      </c>
      <c r="J677" s="198" t="s">
        <v>2295</v>
      </c>
      <c r="K677" s="198" t="s">
        <v>37</v>
      </c>
      <c r="L677" s="197" t="s">
        <v>37</v>
      </c>
      <c r="M677" s="238" t="s">
        <v>623</v>
      </c>
      <c r="N677" s="202">
        <v>10650</v>
      </c>
      <c r="O677" s="122" t="s">
        <v>18</v>
      </c>
      <c r="P677" s="172"/>
      <c r="Q677" s="210"/>
    </row>
    <row r="678" spans="1:17" hidden="1" x14ac:dyDescent="0.2">
      <c r="A678" s="155" t="s">
        <v>990</v>
      </c>
      <c r="B678" s="125">
        <v>2001823</v>
      </c>
      <c r="C678" s="125">
        <v>10576</v>
      </c>
      <c r="D678" s="125" t="s">
        <v>630</v>
      </c>
      <c r="E678" s="125">
        <v>72</v>
      </c>
      <c r="F678" s="125" t="str">
        <f>IF(E678&lt;=20,"0-19",
IF(E678&lt;=50,"20-49",
IF(E678&lt;=80,"50-79","80+")))</f>
        <v>50-79</v>
      </c>
      <c r="G678" s="125" t="s">
        <v>60</v>
      </c>
      <c r="H678" s="125" t="s">
        <v>22</v>
      </c>
      <c r="I678" s="125" t="s">
        <v>514</v>
      </c>
      <c r="J678" s="125" t="s">
        <v>2295</v>
      </c>
      <c r="K678" s="119" t="s">
        <v>859</v>
      </c>
      <c r="L678" s="119" t="s">
        <v>859</v>
      </c>
      <c r="M678" s="239" t="s">
        <v>623</v>
      </c>
      <c r="N678" s="162">
        <v>10650</v>
      </c>
      <c r="O678" s="125" t="s">
        <v>832</v>
      </c>
      <c r="P678" s="172"/>
      <c r="Q678" s="210"/>
    </row>
    <row r="679" spans="1:17" hidden="1" x14ac:dyDescent="0.2">
      <c r="A679" s="155" t="s">
        <v>990</v>
      </c>
      <c r="B679" s="125">
        <v>2019634</v>
      </c>
      <c r="C679" s="125">
        <v>42684</v>
      </c>
      <c r="D679" s="125" t="s">
        <v>1173</v>
      </c>
      <c r="E679" s="125">
        <v>72</v>
      </c>
      <c r="F679" s="125" t="str">
        <f>IF(E679&lt;=20,"0-19",
IF(E679&lt;=50,"20-49",
IF(E679&lt;=80,"50-79","80+")))</f>
        <v>50-79</v>
      </c>
      <c r="G679" s="125" t="s">
        <v>60</v>
      </c>
      <c r="H679" s="125" t="s">
        <v>15</v>
      </c>
      <c r="I679" s="125" t="s">
        <v>514</v>
      </c>
      <c r="J679" s="125" t="s">
        <v>2295</v>
      </c>
      <c r="K679" s="119" t="s">
        <v>859</v>
      </c>
      <c r="L679" s="119" t="s">
        <v>859</v>
      </c>
      <c r="M679" s="239" t="s">
        <v>623</v>
      </c>
      <c r="N679" s="162">
        <v>10650</v>
      </c>
      <c r="O679" s="125" t="s">
        <v>832</v>
      </c>
      <c r="P679" s="173"/>
      <c r="Q679" s="210"/>
    </row>
    <row r="680" spans="1:17" hidden="1" x14ac:dyDescent="0.2">
      <c r="A680" s="143" t="s">
        <v>1560</v>
      </c>
      <c r="B680" s="122">
        <v>2001823</v>
      </c>
      <c r="C680" s="122">
        <v>10576</v>
      </c>
      <c r="D680" s="122" t="s">
        <v>1568</v>
      </c>
      <c r="E680" s="122">
        <v>72</v>
      </c>
      <c r="F680" s="122" t="str">
        <f>IF(E680&lt;=20,"0-19",
IF(E680&lt;=50,"20-49",
IF(E680&lt;=80,"50-79","80+")))</f>
        <v>50-79</v>
      </c>
      <c r="G680" s="122" t="s">
        <v>60</v>
      </c>
      <c r="H680" s="122" t="s">
        <v>22</v>
      </c>
      <c r="I680" s="123" t="s">
        <v>514</v>
      </c>
      <c r="J680" s="123" t="s">
        <v>2295</v>
      </c>
      <c r="K680" s="122" t="s">
        <v>1551</v>
      </c>
      <c r="L680" s="122" t="s">
        <v>1551</v>
      </c>
      <c r="M680" s="240" t="s">
        <v>623</v>
      </c>
      <c r="N680" s="124">
        <v>10650</v>
      </c>
      <c r="O680" s="124" t="s">
        <v>2254</v>
      </c>
      <c r="P680" s="147">
        <v>254721872105</v>
      </c>
      <c r="Q680" s="210"/>
    </row>
    <row r="681" spans="1:17" hidden="1" x14ac:dyDescent="0.2">
      <c r="A681" s="142" t="s">
        <v>354</v>
      </c>
      <c r="B681" s="125">
        <v>2017742</v>
      </c>
      <c r="C681" s="125">
        <v>37239</v>
      </c>
      <c r="D681" s="125" t="s">
        <v>675</v>
      </c>
      <c r="E681" s="125">
        <v>57</v>
      </c>
      <c r="F681" s="125" t="str">
        <f>IF(E681&lt;=20,"0-19",
IF(E681&lt;=50,"20-49",
IF(E681&lt;=80,"50-79","80+")))</f>
        <v>50-79</v>
      </c>
      <c r="G681" s="125" t="s">
        <v>60</v>
      </c>
      <c r="H681" s="125" t="s">
        <v>22</v>
      </c>
      <c r="I681" s="119" t="s">
        <v>514</v>
      </c>
      <c r="J681" s="119" t="s">
        <v>2295</v>
      </c>
      <c r="K681" s="125" t="s">
        <v>1552</v>
      </c>
      <c r="L681" s="125" t="s">
        <v>1551</v>
      </c>
      <c r="M681" s="239" t="s">
        <v>623</v>
      </c>
      <c r="N681" s="126">
        <v>9025</v>
      </c>
      <c r="O681" s="126" t="s">
        <v>2254</v>
      </c>
      <c r="P681" s="146">
        <v>254715565766</v>
      </c>
      <c r="Q681" s="210"/>
    </row>
    <row r="682" spans="1:17" hidden="1" x14ac:dyDescent="0.2">
      <c r="A682" s="142" t="s">
        <v>1560</v>
      </c>
      <c r="B682" s="125">
        <v>2019634</v>
      </c>
      <c r="C682" s="125">
        <v>42684</v>
      </c>
      <c r="D682" s="125" t="s">
        <v>1569</v>
      </c>
      <c r="E682" s="125">
        <v>69</v>
      </c>
      <c r="F682" s="125" t="str">
        <f>IF(E682&lt;=20,"0-19",
IF(E682&lt;=50,"20-49",
IF(E682&lt;=80,"50-79","80+")))</f>
        <v>50-79</v>
      </c>
      <c r="G682" s="125" t="s">
        <v>60</v>
      </c>
      <c r="H682" s="125" t="s">
        <v>15</v>
      </c>
      <c r="I682" s="119" t="s">
        <v>514</v>
      </c>
      <c r="J682" s="119" t="s">
        <v>2295</v>
      </c>
      <c r="K682" s="125" t="s">
        <v>1551</v>
      </c>
      <c r="L682" s="125" t="s">
        <v>1551</v>
      </c>
      <c r="M682" s="239" t="s">
        <v>623</v>
      </c>
      <c r="N682" s="126">
        <v>10650</v>
      </c>
      <c r="O682" s="126" t="s">
        <v>2254</v>
      </c>
      <c r="P682" s="146">
        <v>254729562568</v>
      </c>
      <c r="Q682" s="210"/>
    </row>
    <row r="683" spans="1:17" ht="21" hidden="1" x14ac:dyDescent="0.2">
      <c r="A683" s="156" t="s">
        <v>228</v>
      </c>
      <c r="B683" s="197">
        <v>2005037</v>
      </c>
      <c r="C683" s="197">
        <v>5326</v>
      </c>
      <c r="D683" s="198" t="s">
        <v>638</v>
      </c>
      <c r="E683" s="197">
        <v>18</v>
      </c>
      <c r="F683" s="197" t="str">
        <f>IF(E683&lt;=20,"0-19",
IF(E683&lt;=50,"20-49",
IF(E683&lt;=80,"50-79","80+")))</f>
        <v>0-19</v>
      </c>
      <c r="G683" s="197" t="s">
        <v>60</v>
      </c>
      <c r="H683" s="197" t="s">
        <v>132</v>
      </c>
      <c r="I683" s="198" t="s">
        <v>514</v>
      </c>
      <c r="J683" s="198" t="s">
        <v>2295</v>
      </c>
      <c r="K683" s="198" t="s">
        <v>642</v>
      </c>
      <c r="L683" s="197" t="s">
        <v>42</v>
      </c>
      <c r="M683" s="238" t="s">
        <v>623</v>
      </c>
      <c r="N683" s="202">
        <v>5639.71</v>
      </c>
      <c r="O683" s="125" t="s">
        <v>18</v>
      </c>
      <c r="P683" s="173"/>
      <c r="Q683" s="210"/>
    </row>
    <row r="684" spans="1:17" hidden="1" x14ac:dyDescent="0.2">
      <c r="A684" s="156" t="s">
        <v>12</v>
      </c>
      <c r="B684" s="197">
        <v>2001893</v>
      </c>
      <c r="C684" s="197">
        <v>9046</v>
      </c>
      <c r="D684" s="198" t="s">
        <v>626</v>
      </c>
      <c r="E684" s="197">
        <v>69</v>
      </c>
      <c r="F684" s="197" t="str">
        <f>IF(E684&lt;=20,"0-19",
IF(E684&lt;=50,"20-49",
IF(E684&lt;=80,"50-79","80+")))</f>
        <v>50-79</v>
      </c>
      <c r="G684" s="197" t="s">
        <v>60</v>
      </c>
      <c r="H684" s="197" t="s">
        <v>22</v>
      </c>
      <c r="I684" s="198" t="s">
        <v>514</v>
      </c>
      <c r="J684" s="198" t="s">
        <v>2295</v>
      </c>
      <c r="K684" s="198" t="s">
        <v>42</v>
      </c>
      <c r="L684" s="197" t="s">
        <v>42</v>
      </c>
      <c r="M684" s="238" t="s">
        <v>623</v>
      </c>
      <c r="N684" s="202">
        <v>9500</v>
      </c>
      <c r="O684" s="125" t="s">
        <v>18</v>
      </c>
      <c r="P684" s="173"/>
      <c r="Q684" s="210"/>
    </row>
    <row r="685" spans="1:17" hidden="1" x14ac:dyDescent="0.2">
      <c r="A685" s="155" t="s">
        <v>142</v>
      </c>
      <c r="B685" s="197">
        <v>2017509</v>
      </c>
      <c r="C685" s="197">
        <v>19309</v>
      </c>
      <c r="D685" s="198" t="s">
        <v>652</v>
      </c>
      <c r="E685" s="197">
        <v>63</v>
      </c>
      <c r="F685" s="197" t="str">
        <f>IF(E685&lt;=20,"0-19",
IF(E685&lt;=50,"20-49",
IF(E685&lt;=80,"50-79","80+")))</f>
        <v>50-79</v>
      </c>
      <c r="G685" s="197" t="s">
        <v>60</v>
      </c>
      <c r="H685" s="197" t="s">
        <v>22</v>
      </c>
      <c r="I685" s="198" t="s">
        <v>514</v>
      </c>
      <c r="J685" s="198" t="s">
        <v>2295</v>
      </c>
      <c r="K685" s="198" t="s">
        <v>42</v>
      </c>
      <c r="L685" s="197" t="s">
        <v>42</v>
      </c>
      <c r="M685" s="238" t="s">
        <v>623</v>
      </c>
      <c r="N685" s="202">
        <v>8500</v>
      </c>
      <c r="O685" s="122" t="s">
        <v>18</v>
      </c>
      <c r="P685" s="172"/>
      <c r="Q685" s="210"/>
    </row>
    <row r="686" spans="1:17" ht="21" hidden="1" x14ac:dyDescent="0.2">
      <c r="A686" s="144" t="s">
        <v>75</v>
      </c>
      <c r="B686" s="197">
        <v>2017742</v>
      </c>
      <c r="C686" s="197">
        <v>37239</v>
      </c>
      <c r="D686" s="198" t="s">
        <v>675</v>
      </c>
      <c r="E686" s="197">
        <v>60</v>
      </c>
      <c r="F686" s="197" t="str">
        <f>IF(E686&lt;=20,"0-19",
IF(E686&lt;=50,"20-49",
IF(E686&lt;=80,"50-79","80+")))</f>
        <v>50-79</v>
      </c>
      <c r="G686" s="197" t="s">
        <v>60</v>
      </c>
      <c r="H686" s="197" t="s">
        <v>22</v>
      </c>
      <c r="I686" s="198" t="s">
        <v>514</v>
      </c>
      <c r="J686" s="198" t="s">
        <v>2295</v>
      </c>
      <c r="K686" s="198" t="s">
        <v>677</v>
      </c>
      <c r="L686" s="197" t="s">
        <v>42</v>
      </c>
      <c r="M686" s="238" t="s">
        <v>623</v>
      </c>
      <c r="N686" s="202">
        <v>9025</v>
      </c>
      <c r="O686" s="122" t="s">
        <v>18</v>
      </c>
      <c r="P686" s="172"/>
      <c r="Q686" s="210"/>
    </row>
    <row r="687" spans="1:17" hidden="1" x14ac:dyDescent="0.2">
      <c r="A687" s="155" t="s">
        <v>12</v>
      </c>
      <c r="B687" s="125">
        <v>2001893</v>
      </c>
      <c r="C687" s="125">
        <v>9046</v>
      </c>
      <c r="D687" s="125" t="s">
        <v>625</v>
      </c>
      <c r="E687" s="125">
        <v>69</v>
      </c>
      <c r="F687" s="125" t="str">
        <f>IF(E687&lt;=20,"0-19",
IF(E687&lt;=50,"20-49",
IF(E687&lt;=80,"50-79","80+")))</f>
        <v>50-79</v>
      </c>
      <c r="G687" s="125" t="s">
        <v>60</v>
      </c>
      <c r="H687" s="125" t="s">
        <v>22</v>
      </c>
      <c r="I687" s="125" t="s">
        <v>514</v>
      </c>
      <c r="J687" s="125" t="s">
        <v>2295</v>
      </c>
      <c r="K687" s="119" t="s">
        <v>860</v>
      </c>
      <c r="L687" s="119" t="s">
        <v>860</v>
      </c>
      <c r="M687" s="239" t="s">
        <v>623</v>
      </c>
      <c r="N687" s="162">
        <v>9500</v>
      </c>
      <c r="O687" s="125" t="s">
        <v>832</v>
      </c>
      <c r="P687" s="172"/>
      <c r="Q687" s="210"/>
    </row>
    <row r="688" spans="1:17" hidden="1" x14ac:dyDescent="0.2">
      <c r="A688" s="155" t="s">
        <v>544</v>
      </c>
      <c r="B688" s="125">
        <v>2012620</v>
      </c>
      <c r="C688" s="125">
        <v>102835</v>
      </c>
      <c r="D688" s="125" t="s">
        <v>685</v>
      </c>
      <c r="E688" s="125">
        <v>64</v>
      </c>
      <c r="F688" s="125" t="str">
        <f>IF(E688&lt;=20,"0-19",
IF(E688&lt;=50,"20-49",
IF(E688&lt;=80,"50-79","80+")))</f>
        <v>50-79</v>
      </c>
      <c r="G688" s="125" t="s">
        <v>49</v>
      </c>
      <c r="H688" s="125" t="s">
        <v>15</v>
      </c>
      <c r="I688" s="125" t="s">
        <v>514</v>
      </c>
      <c r="J688" s="125" t="s">
        <v>2295</v>
      </c>
      <c r="K688" s="119" t="s">
        <v>860</v>
      </c>
      <c r="L688" s="119" t="s">
        <v>860</v>
      </c>
      <c r="M688" s="239" t="s">
        <v>623</v>
      </c>
      <c r="N688" s="162">
        <v>9500</v>
      </c>
      <c r="O688" s="125" t="s">
        <v>832</v>
      </c>
      <c r="P688" s="172"/>
      <c r="Q688" s="210"/>
    </row>
    <row r="689" spans="1:17" hidden="1" x14ac:dyDescent="0.2">
      <c r="A689" s="140" t="s">
        <v>340</v>
      </c>
      <c r="B689" s="125">
        <v>2014318</v>
      </c>
      <c r="C689" s="125">
        <v>61208</v>
      </c>
      <c r="D689" s="125" t="s">
        <v>651</v>
      </c>
      <c r="E689" s="125">
        <v>64</v>
      </c>
      <c r="F689" s="125" t="str">
        <f>IF(E689&lt;=20,"0-19",
IF(E689&lt;=50,"20-49",
IF(E689&lt;=80,"50-79","80+")))</f>
        <v>50-79</v>
      </c>
      <c r="G689" s="125" t="s">
        <v>60</v>
      </c>
      <c r="H689" s="125" t="s">
        <v>22</v>
      </c>
      <c r="I689" s="119" t="s">
        <v>514</v>
      </c>
      <c r="J689" s="119" t="s">
        <v>2295</v>
      </c>
      <c r="K689" s="125" t="s">
        <v>1558</v>
      </c>
      <c r="L689" s="125" t="s">
        <v>1559</v>
      </c>
      <c r="M689" s="239" t="s">
        <v>623</v>
      </c>
      <c r="N689" s="126">
        <v>9500</v>
      </c>
      <c r="O689" s="126" t="s">
        <v>2254</v>
      </c>
      <c r="P689" s="146">
        <v>254759231438</v>
      </c>
      <c r="Q689" s="210"/>
    </row>
    <row r="690" spans="1:17" hidden="1" x14ac:dyDescent="0.2">
      <c r="A690" s="143" t="s">
        <v>544</v>
      </c>
      <c r="B690" s="122">
        <v>2012620</v>
      </c>
      <c r="C690" s="122">
        <v>102835</v>
      </c>
      <c r="D690" s="122" t="s">
        <v>685</v>
      </c>
      <c r="E690" s="122">
        <v>64</v>
      </c>
      <c r="F690" s="122" t="str">
        <f>IF(E690&lt;=20,"0-19",
IF(E690&lt;=50,"20-49",
IF(E690&lt;=80,"50-79","80+")))</f>
        <v>50-79</v>
      </c>
      <c r="G690" s="122" t="s">
        <v>49</v>
      </c>
      <c r="H690" s="122" t="s">
        <v>15</v>
      </c>
      <c r="I690" s="123" t="s">
        <v>514</v>
      </c>
      <c r="J690" s="123" t="s">
        <v>2295</v>
      </c>
      <c r="K690" s="122" t="s">
        <v>1559</v>
      </c>
      <c r="L690" s="122" t="s">
        <v>1559</v>
      </c>
      <c r="M690" s="240" t="s">
        <v>623</v>
      </c>
      <c r="N690" s="124">
        <v>9500</v>
      </c>
      <c r="O690" s="124" t="s">
        <v>2254</v>
      </c>
      <c r="P690" s="147">
        <v>254759231438</v>
      </c>
      <c r="Q690" s="210"/>
    </row>
    <row r="691" spans="1:17" ht="21" hidden="1" x14ac:dyDescent="0.2">
      <c r="A691" s="156" t="s">
        <v>228</v>
      </c>
      <c r="B691" s="121">
        <v>2005037</v>
      </c>
      <c r="C691" s="122">
        <v>5326</v>
      </c>
      <c r="D691" s="121" t="s">
        <v>638</v>
      </c>
      <c r="E691" s="121">
        <v>18</v>
      </c>
      <c r="F691" s="121" t="str">
        <f>IF(E691&lt;=20,"0-19",
IF(E691&lt;=50,"20-49",
IF(E691&lt;=80,"50-79","80+")))</f>
        <v>0-19</v>
      </c>
      <c r="G691" s="121" t="s">
        <v>60</v>
      </c>
      <c r="H691" s="121" t="s">
        <v>132</v>
      </c>
      <c r="I691" s="121" t="s">
        <v>514</v>
      </c>
      <c r="J691" s="121" t="s">
        <v>2295</v>
      </c>
      <c r="K691" s="121" t="s">
        <v>561</v>
      </c>
      <c r="L691" s="121" t="s">
        <v>78</v>
      </c>
      <c r="M691" s="238" t="s">
        <v>623</v>
      </c>
      <c r="N691" s="191">
        <v>7899.37</v>
      </c>
      <c r="O691" s="122" t="s">
        <v>18</v>
      </c>
      <c r="P691" s="172"/>
      <c r="Q691" s="210"/>
    </row>
    <row r="692" spans="1:17" ht="21" hidden="1" x14ac:dyDescent="0.2">
      <c r="A692" s="145" t="s">
        <v>75</v>
      </c>
      <c r="B692" s="118">
        <v>202754</v>
      </c>
      <c r="C692" s="125">
        <v>11467</v>
      </c>
      <c r="D692" s="118" t="s">
        <v>673</v>
      </c>
      <c r="E692" s="118">
        <v>74</v>
      </c>
      <c r="F692" s="118" t="str">
        <f>IF(E692&lt;=20,"0-19",
IF(E692&lt;=50,"20-49",
IF(E692&lt;=80,"50-79","80+")))</f>
        <v>50-79</v>
      </c>
      <c r="G692" s="118" t="s">
        <v>60</v>
      </c>
      <c r="H692" s="118" t="s">
        <v>22</v>
      </c>
      <c r="I692" s="118" t="s">
        <v>514</v>
      </c>
      <c r="J692" s="118" t="s">
        <v>2295</v>
      </c>
      <c r="K692" s="118" t="s">
        <v>606</v>
      </c>
      <c r="L692" s="118" t="s">
        <v>78</v>
      </c>
      <c r="M692" s="238" t="s">
        <v>623</v>
      </c>
      <c r="N692" s="160">
        <v>22469</v>
      </c>
      <c r="O692" s="125" t="s">
        <v>18</v>
      </c>
      <c r="P692" s="173"/>
      <c r="Q692" s="210"/>
    </row>
    <row r="693" spans="1:17" ht="21" hidden="1" x14ac:dyDescent="0.2">
      <c r="A693" s="155" t="s">
        <v>373</v>
      </c>
      <c r="B693" s="121">
        <v>2011198</v>
      </c>
      <c r="C693" s="122">
        <v>18587</v>
      </c>
      <c r="D693" s="121" t="s">
        <v>694</v>
      </c>
      <c r="E693" s="121">
        <v>75</v>
      </c>
      <c r="F693" s="121" t="str">
        <f>IF(E693&lt;=20,"0-19",
IF(E693&lt;=50,"20-49",
IF(E693&lt;=80,"50-79","80+")))</f>
        <v>50-79</v>
      </c>
      <c r="G693" s="121" t="s">
        <v>60</v>
      </c>
      <c r="H693" s="121" t="s">
        <v>22</v>
      </c>
      <c r="I693" s="121" t="s">
        <v>514</v>
      </c>
      <c r="J693" s="121" t="s">
        <v>2295</v>
      </c>
      <c r="K693" s="121" t="s">
        <v>695</v>
      </c>
      <c r="L693" s="121" t="s">
        <v>78</v>
      </c>
      <c r="M693" s="238" t="s">
        <v>623</v>
      </c>
      <c r="N693" s="191">
        <v>33140</v>
      </c>
      <c r="O693" s="122" t="s">
        <v>18</v>
      </c>
      <c r="P693" s="172"/>
      <c r="Q693" s="210"/>
    </row>
    <row r="694" spans="1:17" hidden="1" x14ac:dyDescent="0.2">
      <c r="A694" s="155" t="s">
        <v>319</v>
      </c>
      <c r="B694" s="122">
        <v>2001823</v>
      </c>
      <c r="C694" s="122">
        <v>10576</v>
      </c>
      <c r="D694" s="122" t="s">
        <v>630</v>
      </c>
      <c r="E694" s="123">
        <v>72</v>
      </c>
      <c r="F694" s="123" t="str">
        <f>IF(E694&lt;=20,"0-19",
IF(E694&lt;=50,"20-49",
IF(E694&lt;=80,"50-79","80+")))</f>
        <v>50-79</v>
      </c>
      <c r="G694" s="122" t="s">
        <v>60</v>
      </c>
      <c r="H694" s="122" t="s">
        <v>22</v>
      </c>
      <c r="I694" s="122" t="s">
        <v>514</v>
      </c>
      <c r="J694" s="122" t="s">
        <v>2295</v>
      </c>
      <c r="K694" s="123" t="s">
        <v>79</v>
      </c>
      <c r="L694" s="123" t="s">
        <v>79</v>
      </c>
      <c r="M694" s="240" t="s">
        <v>623</v>
      </c>
      <c r="N694" s="157">
        <v>10650</v>
      </c>
      <c r="O694" s="122" t="s">
        <v>18</v>
      </c>
      <c r="P694" s="172"/>
      <c r="Q694" s="210"/>
    </row>
    <row r="695" spans="1:17" hidden="1" x14ac:dyDescent="0.2">
      <c r="A695" s="155" t="s">
        <v>319</v>
      </c>
      <c r="B695" s="125">
        <v>2019634</v>
      </c>
      <c r="C695" s="125">
        <v>42684</v>
      </c>
      <c r="D695" s="125" t="s">
        <v>628</v>
      </c>
      <c r="E695" s="119">
        <v>69</v>
      </c>
      <c r="F695" s="119" t="str">
        <f>IF(E695&lt;=20,"0-19",
IF(E695&lt;=50,"20-49",
IF(E695&lt;=80,"50-79","80+")))</f>
        <v>50-79</v>
      </c>
      <c r="G695" s="125" t="s">
        <v>60</v>
      </c>
      <c r="H695" s="125" t="s">
        <v>15</v>
      </c>
      <c r="I695" s="125" t="s">
        <v>514</v>
      </c>
      <c r="J695" s="125" t="s">
        <v>2295</v>
      </c>
      <c r="K695" s="119" t="s">
        <v>79</v>
      </c>
      <c r="L695" s="119" t="s">
        <v>79</v>
      </c>
      <c r="M695" s="239" t="s">
        <v>623</v>
      </c>
      <c r="N695" s="165">
        <v>10650</v>
      </c>
      <c r="O695" s="125" t="s">
        <v>18</v>
      </c>
      <c r="P695" s="173"/>
      <c r="Q695" s="210"/>
    </row>
    <row r="696" spans="1:17" hidden="1" x14ac:dyDescent="0.2">
      <c r="A696" s="144" t="s">
        <v>456</v>
      </c>
      <c r="B696" s="122">
        <v>2010871</v>
      </c>
      <c r="C696" s="122">
        <v>56685</v>
      </c>
      <c r="D696" s="122" t="s">
        <v>679</v>
      </c>
      <c r="E696" s="123">
        <v>63</v>
      </c>
      <c r="F696" s="123" t="str">
        <f>IF(E696&lt;=20,"0-19",
IF(E696&lt;=50,"20-49",
IF(E696&lt;=80,"50-79","80+")))</f>
        <v>50-79</v>
      </c>
      <c r="G696" s="122" t="s">
        <v>60</v>
      </c>
      <c r="H696" s="122" t="s">
        <v>22</v>
      </c>
      <c r="I696" s="122" t="s">
        <v>514</v>
      </c>
      <c r="J696" s="122" t="s">
        <v>2295</v>
      </c>
      <c r="K696" s="123" t="s">
        <v>79</v>
      </c>
      <c r="L696" s="123" t="s">
        <v>79</v>
      </c>
      <c r="M696" s="240" t="s">
        <v>623</v>
      </c>
      <c r="N696" s="157">
        <v>9025</v>
      </c>
      <c r="O696" s="122" t="s">
        <v>18</v>
      </c>
      <c r="P696" s="172"/>
      <c r="Q696" s="210"/>
    </row>
    <row r="697" spans="1:17" hidden="1" x14ac:dyDescent="0.2">
      <c r="A697" s="155" t="s">
        <v>340</v>
      </c>
      <c r="B697" s="125">
        <v>2014318</v>
      </c>
      <c r="C697" s="125">
        <v>61208</v>
      </c>
      <c r="D697" s="125" t="s">
        <v>651</v>
      </c>
      <c r="E697" s="125">
        <v>62</v>
      </c>
      <c r="F697" s="125" t="str">
        <f>IF(E697&lt;=20,"0-19",
IF(E697&lt;=50,"20-49",
IF(E697&lt;=80,"50-79","80+")))</f>
        <v>50-79</v>
      </c>
      <c r="G697" s="125" t="s">
        <v>49</v>
      </c>
      <c r="H697" s="125" t="s">
        <v>22</v>
      </c>
      <c r="I697" s="125" t="s">
        <v>514</v>
      </c>
      <c r="J697" s="125" t="s">
        <v>2295</v>
      </c>
      <c r="K697" s="125" t="s">
        <v>1236</v>
      </c>
      <c r="L697" s="125" t="s">
        <v>1236</v>
      </c>
      <c r="M697" s="239" t="s">
        <v>623</v>
      </c>
      <c r="N697" s="162">
        <v>9500</v>
      </c>
      <c r="O697" s="125" t="s">
        <v>832</v>
      </c>
      <c r="P697" s="173"/>
      <c r="Q697" s="210"/>
    </row>
    <row r="698" spans="1:17" hidden="1" x14ac:dyDescent="0.2">
      <c r="A698" s="156" t="s">
        <v>12</v>
      </c>
      <c r="B698" s="122">
        <v>2001893</v>
      </c>
      <c r="C698" s="122">
        <v>9046</v>
      </c>
      <c r="D698" s="122" t="s">
        <v>625</v>
      </c>
      <c r="E698" s="123">
        <v>69</v>
      </c>
      <c r="F698" s="123" t="str">
        <f>IF(E698&lt;=20,"0-19",
IF(E698&lt;=50,"20-49",
IF(E698&lt;=80,"50-79","80+")))</f>
        <v>50-79</v>
      </c>
      <c r="G698" s="122" t="s">
        <v>60</v>
      </c>
      <c r="H698" s="122" t="s">
        <v>22</v>
      </c>
      <c r="I698" s="122" t="s">
        <v>514</v>
      </c>
      <c r="J698" s="122" t="s">
        <v>2295</v>
      </c>
      <c r="K698" s="123" t="s">
        <v>141</v>
      </c>
      <c r="L698" s="123" t="s">
        <v>141</v>
      </c>
      <c r="M698" s="240" t="s">
        <v>623</v>
      </c>
      <c r="N698" s="157">
        <v>9500</v>
      </c>
      <c r="O698" s="122" t="s">
        <v>18</v>
      </c>
      <c r="P698" s="172"/>
      <c r="Q698" s="210"/>
    </row>
    <row r="699" spans="1:17" ht="21" hidden="1" x14ac:dyDescent="0.2">
      <c r="A699" s="155" t="s">
        <v>53</v>
      </c>
      <c r="B699" s="125">
        <v>2020238</v>
      </c>
      <c r="C699" s="125">
        <v>43253</v>
      </c>
      <c r="D699" s="125" t="s">
        <v>647</v>
      </c>
      <c r="E699" s="119">
        <v>65</v>
      </c>
      <c r="F699" s="119" t="str">
        <f>IF(E699&lt;=20,"0-19",
IF(E699&lt;=50,"20-49",
IF(E699&lt;=80,"50-79","80+")))</f>
        <v>50-79</v>
      </c>
      <c r="G699" s="125" t="s">
        <v>49</v>
      </c>
      <c r="H699" s="125" t="s">
        <v>15</v>
      </c>
      <c r="I699" s="125" t="s">
        <v>514</v>
      </c>
      <c r="J699" s="125" t="s">
        <v>2295</v>
      </c>
      <c r="K699" s="119" t="s">
        <v>648</v>
      </c>
      <c r="L699" s="119" t="s">
        <v>141</v>
      </c>
      <c r="M699" s="239" t="s">
        <v>623</v>
      </c>
      <c r="N699" s="165">
        <v>7000</v>
      </c>
      <c r="O699" s="125" t="s">
        <v>18</v>
      </c>
      <c r="P699" s="173"/>
      <c r="Q699" s="210"/>
    </row>
    <row r="700" spans="1:17" hidden="1" x14ac:dyDescent="0.2">
      <c r="A700" s="155" t="s">
        <v>990</v>
      </c>
      <c r="B700" s="118">
        <v>2001823</v>
      </c>
      <c r="C700" s="125">
        <v>10576</v>
      </c>
      <c r="D700" s="118" t="s">
        <v>630</v>
      </c>
      <c r="E700" s="118">
        <v>72</v>
      </c>
      <c r="F700" s="118" t="str">
        <f>IF(E700&lt;=20,"0-19",
IF(E700&lt;=50,"20-49",
IF(E700&lt;=80,"50-79","80+")))</f>
        <v>50-79</v>
      </c>
      <c r="G700" s="118" t="s">
        <v>60</v>
      </c>
      <c r="H700" s="118" t="s">
        <v>22</v>
      </c>
      <c r="I700" s="118" t="s">
        <v>514</v>
      </c>
      <c r="J700" s="118" t="s">
        <v>2295</v>
      </c>
      <c r="K700" s="118" t="s">
        <v>1260</v>
      </c>
      <c r="L700" s="118" t="s">
        <v>1260</v>
      </c>
      <c r="M700" s="239" t="s">
        <v>623</v>
      </c>
      <c r="N700" s="160">
        <v>10650</v>
      </c>
      <c r="O700" s="125" t="s">
        <v>832</v>
      </c>
      <c r="P700" s="172"/>
      <c r="Q700" s="210"/>
    </row>
    <row r="701" spans="1:17" hidden="1" x14ac:dyDescent="0.2">
      <c r="A701" s="155" t="s">
        <v>68</v>
      </c>
      <c r="B701" s="118">
        <v>2002953</v>
      </c>
      <c r="C701" s="125">
        <v>18654</v>
      </c>
      <c r="D701" s="118" t="s">
        <v>654</v>
      </c>
      <c r="E701" s="118">
        <v>63</v>
      </c>
      <c r="F701" s="118" t="str">
        <f>IF(E701&lt;=20,"0-19",
IF(E701&lt;=50,"20-49",
IF(E701&lt;=80,"50-79","80+")))</f>
        <v>50-79</v>
      </c>
      <c r="G701" s="118" t="s">
        <v>60</v>
      </c>
      <c r="H701" s="118" t="s">
        <v>22</v>
      </c>
      <c r="I701" s="118" t="s">
        <v>514</v>
      </c>
      <c r="J701" s="118" t="s">
        <v>2295</v>
      </c>
      <c r="K701" s="118" t="s">
        <v>1260</v>
      </c>
      <c r="L701" s="118" t="s">
        <v>1260</v>
      </c>
      <c r="M701" s="239" t="s">
        <v>623</v>
      </c>
      <c r="N701" s="160">
        <v>11974</v>
      </c>
      <c r="O701" s="125" t="s">
        <v>832</v>
      </c>
      <c r="P701" s="172"/>
      <c r="Q701" s="210"/>
    </row>
    <row r="702" spans="1:17" ht="31.5" hidden="1" x14ac:dyDescent="0.2">
      <c r="A702" s="155" t="s">
        <v>836</v>
      </c>
      <c r="B702" s="119">
        <v>2502095</v>
      </c>
      <c r="C702" s="125">
        <v>21102</v>
      </c>
      <c r="D702" s="119" t="s">
        <v>665</v>
      </c>
      <c r="E702" s="119">
        <v>57</v>
      </c>
      <c r="F702" s="119" t="str">
        <f>IF(E702&lt;=20,"0-19",
IF(E702&lt;=50,"20-49",
IF(E702&lt;=80,"50-79","80+")))</f>
        <v>50-79</v>
      </c>
      <c r="G702" s="119" t="s">
        <v>60</v>
      </c>
      <c r="H702" s="119" t="s">
        <v>22</v>
      </c>
      <c r="I702" s="119" t="s">
        <v>514</v>
      </c>
      <c r="J702" s="119" t="s">
        <v>2295</v>
      </c>
      <c r="K702" s="119" t="s">
        <v>1435</v>
      </c>
      <c r="L702" s="118" t="s">
        <v>1260</v>
      </c>
      <c r="M702" s="239" t="s">
        <v>623</v>
      </c>
      <c r="N702" s="160">
        <v>11500</v>
      </c>
      <c r="O702" s="125" t="s">
        <v>832</v>
      </c>
      <c r="P702" s="172"/>
      <c r="Q702" s="210"/>
    </row>
    <row r="703" spans="1:17" hidden="1" x14ac:dyDescent="0.2">
      <c r="A703" s="155" t="s">
        <v>990</v>
      </c>
      <c r="B703" s="118">
        <v>2019634</v>
      </c>
      <c r="C703" s="125">
        <v>42684</v>
      </c>
      <c r="D703" s="118" t="s">
        <v>628</v>
      </c>
      <c r="E703" s="118">
        <v>69</v>
      </c>
      <c r="F703" s="118" t="str">
        <f>IF(E703&lt;=20,"0-19",
IF(E703&lt;=50,"20-49",
IF(E703&lt;=80,"50-79","80+")))</f>
        <v>50-79</v>
      </c>
      <c r="G703" s="118" t="s">
        <v>60</v>
      </c>
      <c r="H703" s="118" t="s">
        <v>15</v>
      </c>
      <c r="I703" s="118" t="s">
        <v>514</v>
      </c>
      <c r="J703" s="118" t="s">
        <v>2295</v>
      </c>
      <c r="K703" s="118" t="s">
        <v>1260</v>
      </c>
      <c r="L703" s="118" t="s">
        <v>1260</v>
      </c>
      <c r="M703" s="239" t="s">
        <v>623</v>
      </c>
      <c r="N703" s="160">
        <v>10650</v>
      </c>
      <c r="O703" s="125" t="s">
        <v>832</v>
      </c>
      <c r="P703" s="173"/>
      <c r="Q703" s="210"/>
    </row>
    <row r="704" spans="1:17" ht="21" hidden="1" x14ac:dyDescent="0.2">
      <c r="A704" s="142" t="s">
        <v>1166</v>
      </c>
      <c r="B704" s="118">
        <v>2001893</v>
      </c>
      <c r="C704" s="125">
        <v>9046</v>
      </c>
      <c r="D704" s="119" t="s">
        <v>1909</v>
      </c>
      <c r="E704" s="119">
        <v>69</v>
      </c>
      <c r="F704" s="119" t="str">
        <f>IF(E704&lt;=20,"0-19",
IF(E704&lt;=50,"20-49",
IF(E704&lt;=80,"50-79","80+")))</f>
        <v>50-79</v>
      </c>
      <c r="G704" s="119" t="s">
        <v>60</v>
      </c>
      <c r="H704" s="119" t="s">
        <v>22</v>
      </c>
      <c r="I704" s="119" t="s">
        <v>514</v>
      </c>
      <c r="J704" s="119" t="s">
        <v>2295</v>
      </c>
      <c r="K704" s="119" t="s">
        <v>2264</v>
      </c>
      <c r="L704" s="119" t="s">
        <v>1911</v>
      </c>
      <c r="M704" s="239" t="s">
        <v>623</v>
      </c>
      <c r="N704" s="120">
        <v>9500</v>
      </c>
      <c r="O704" s="120" t="s">
        <v>2254</v>
      </c>
      <c r="P704" s="146">
        <v>254722849332</v>
      </c>
      <c r="Q704" s="210"/>
    </row>
    <row r="705" spans="1:17" hidden="1" x14ac:dyDescent="0.2">
      <c r="A705" s="143" t="s">
        <v>1560</v>
      </c>
      <c r="B705" s="121">
        <v>2001823</v>
      </c>
      <c r="C705" s="122">
        <v>10576</v>
      </c>
      <c r="D705" s="121" t="s">
        <v>630</v>
      </c>
      <c r="E705" s="121">
        <v>72</v>
      </c>
      <c r="F705" s="121" t="str">
        <f>IF(E705&lt;=20,"0-19",
IF(E705&lt;=50,"20-49",
IF(E705&lt;=80,"50-79","80+")))</f>
        <v>50-79</v>
      </c>
      <c r="G705" s="121" t="s">
        <v>60</v>
      </c>
      <c r="H705" s="121" t="s">
        <v>22</v>
      </c>
      <c r="I705" s="121" t="s">
        <v>514</v>
      </c>
      <c r="J705" s="121" t="s">
        <v>2295</v>
      </c>
      <c r="K705" s="123" t="s">
        <v>1911</v>
      </c>
      <c r="L705" s="123" t="s">
        <v>1911</v>
      </c>
      <c r="M705" s="240" t="s">
        <v>623</v>
      </c>
      <c r="N705" s="127">
        <v>10650</v>
      </c>
      <c r="O705" s="127" t="s">
        <v>2254</v>
      </c>
      <c r="P705" s="147">
        <v>254714272121</v>
      </c>
      <c r="Q705" s="210"/>
    </row>
    <row r="706" spans="1:17" hidden="1" x14ac:dyDescent="0.2">
      <c r="A706" s="142" t="s">
        <v>1560</v>
      </c>
      <c r="B706" s="118">
        <v>2019634</v>
      </c>
      <c r="C706" s="125">
        <v>42684</v>
      </c>
      <c r="D706" s="118" t="s">
        <v>628</v>
      </c>
      <c r="E706" s="118">
        <v>69</v>
      </c>
      <c r="F706" s="118" t="str">
        <f>IF(E706&lt;=20,"0-19",
IF(E706&lt;=50,"20-49",
IF(E706&lt;=80,"50-79","80+")))</f>
        <v>50-79</v>
      </c>
      <c r="G706" s="118" t="s">
        <v>60</v>
      </c>
      <c r="H706" s="118" t="s">
        <v>15</v>
      </c>
      <c r="I706" s="118" t="s">
        <v>514</v>
      </c>
      <c r="J706" s="118" t="s">
        <v>2295</v>
      </c>
      <c r="K706" s="119" t="s">
        <v>1911</v>
      </c>
      <c r="L706" s="119" t="s">
        <v>1911</v>
      </c>
      <c r="M706" s="239" t="s">
        <v>623</v>
      </c>
      <c r="N706" s="120">
        <v>10650</v>
      </c>
      <c r="O706" s="120" t="s">
        <v>2254</v>
      </c>
      <c r="P706" s="146">
        <v>254714272121</v>
      </c>
      <c r="Q706" s="210"/>
    </row>
    <row r="707" spans="1:17" hidden="1" x14ac:dyDescent="0.2">
      <c r="A707" s="155" t="s">
        <v>12</v>
      </c>
      <c r="B707" s="125">
        <v>2001893</v>
      </c>
      <c r="C707" s="125">
        <v>9046</v>
      </c>
      <c r="D707" s="125" t="s">
        <v>625</v>
      </c>
      <c r="E707" s="125">
        <v>69</v>
      </c>
      <c r="F707" s="125" t="str">
        <f>IF(E707&lt;=20,"0-19",
IF(E707&lt;=50,"20-49",
IF(E707&lt;=80,"50-79","80+")))</f>
        <v>50-79</v>
      </c>
      <c r="G707" s="125" t="s">
        <v>60</v>
      </c>
      <c r="H707" s="125" t="s">
        <v>22</v>
      </c>
      <c r="I707" s="119" t="s">
        <v>514</v>
      </c>
      <c r="J707" s="119" t="s">
        <v>2295</v>
      </c>
      <c r="K707" s="119" t="s">
        <v>1238</v>
      </c>
      <c r="L707" s="119" t="s">
        <v>1238</v>
      </c>
      <c r="M707" s="239" t="s">
        <v>623</v>
      </c>
      <c r="N707" s="162">
        <v>9500</v>
      </c>
      <c r="O707" s="125" t="s">
        <v>832</v>
      </c>
      <c r="P707" s="173"/>
      <c r="Q707" s="210"/>
    </row>
    <row r="708" spans="1:17" hidden="1" x14ac:dyDescent="0.2">
      <c r="A708" s="155" t="s">
        <v>12</v>
      </c>
      <c r="B708" s="125">
        <v>2001893</v>
      </c>
      <c r="C708" s="125">
        <v>9046</v>
      </c>
      <c r="D708" s="125" t="s">
        <v>625</v>
      </c>
      <c r="E708" s="125">
        <v>69</v>
      </c>
      <c r="F708" s="125" t="str">
        <f>IF(E708&lt;=20,"0-19",
IF(E708&lt;=50,"20-49",
IF(E708&lt;=80,"50-79","80+")))</f>
        <v>50-79</v>
      </c>
      <c r="G708" s="125" t="s">
        <v>60</v>
      </c>
      <c r="H708" s="125" t="s">
        <v>22</v>
      </c>
      <c r="I708" s="125" t="s">
        <v>514</v>
      </c>
      <c r="J708" s="125" t="s">
        <v>2295</v>
      </c>
      <c r="K708" s="125" t="s">
        <v>1238</v>
      </c>
      <c r="L708" s="125" t="s">
        <v>1238</v>
      </c>
      <c r="M708" s="239" t="s">
        <v>623</v>
      </c>
      <c r="N708" s="162">
        <v>9500</v>
      </c>
      <c r="O708" s="125" t="s">
        <v>832</v>
      </c>
      <c r="P708" s="172"/>
      <c r="Q708" s="210"/>
    </row>
    <row r="709" spans="1:17" hidden="1" x14ac:dyDescent="0.2">
      <c r="A709" s="155" t="s">
        <v>142</v>
      </c>
      <c r="B709" s="125">
        <v>2017509</v>
      </c>
      <c r="C709" s="125">
        <v>19309</v>
      </c>
      <c r="D709" s="125" t="s">
        <v>1403</v>
      </c>
      <c r="E709" s="125">
        <v>63</v>
      </c>
      <c r="F709" s="125" t="str">
        <f>IF(E709&lt;=20,"0-19",
IF(E709&lt;=50,"20-49",
IF(E709&lt;=80,"50-79","80+")))</f>
        <v>50-79</v>
      </c>
      <c r="G709" s="125" t="s">
        <v>60</v>
      </c>
      <c r="H709" s="125" t="s">
        <v>22</v>
      </c>
      <c r="I709" s="119" t="s">
        <v>514</v>
      </c>
      <c r="J709" s="119" t="s">
        <v>2295</v>
      </c>
      <c r="K709" s="119" t="s">
        <v>1238</v>
      </c>
      <c r="L709" s="119" t="s">
        <v>1238</v>
      </c>
      <c r="M709" s="239" t="s">
        <v>623</v>
      </c>
      <c r="N709" s="162">
        <v>8500</v>
      </c>
      <c r="O709" s="125" t="s">
        <v>832</v>
      </c>
      <c r="P709" s="172"/>
      <c r="Q709" s="210"/>
    </row>
    <row r="710" spans="1:17" hidden="1" x14ac:dyDescent="0.2">
      <c r="A710" s="140" t="s">
        <v>142</v>
      </c>
      <c r="B710" s="125">
        <v>2017509</v>
      </c>
      <c r="C710" s="125">
        <v>19309</v>
      </c>
      <c r="D710" s="125" t="s">
        <v>1894</v>
      </c>
      <c r="E710" s="125">
        <v>63</v>
      </c>
      <c r="F710" s="125" t="str">
        <f>IF(E710&lt;=20,"0-19",
IF(E710&lt;=50,"20-49",
IF(E710&lt;=80,"50-79","80+")))</f>
        <v>50-79</v>
      </c>
      <c r="G710" s="125" t="s">
        <v>60</v>
      </c>
      <c r="H710" s="125" t="s">
        <v>22</v>
      </c>
      <c r="I710" s="125" t="s">
        <v>514</v>
      </c>
      <c r="J710" s="125" t="s">
        <v>2295</v>
      </c>
      <c r="K710" s="119" t="s">
        <v>1895</v>
      </c>
      <c r="L710" s="125" t="s">
        <v>1895</v>
      </c>
      <c r="M710" s="239" t="s">
        <v>623</v>
      </c>
      <c r="N710" s="126">
        <v>8500</v>
      </c>
      <c r="O710" s="126" t="s">
        <v>2254</v>
      </c>
      <c r="P710" s="146">
        <v>254722271315</v>
      </c>
      <c r="Q710" s="210"/>
    </row>
    <row r="711" spans="1:17" ht="21" hidden="1" x14ac:dyDescent="0.2">
      <c r="A711" s="145" t="s">
        <v>544</v>
      </c>
      <c r="B711" s="125">
        <v>2003908</v>
      </c>
      <c r="C711" s="125">
        <v>15158</v>
      </c>
      <c r="D711" s="125" t="s">
        <v>693</v>
      </c>
      <c r="E711" s="119">
        <v>65</v>
      </c>
      <c r="F711" s="119" t="str">
        <f>IF(E711&lt;=20,"0-19",
IF(E711&lt;=50,"20-49",
IF(E711&lt;=80,"50-79","80+")))</f>
        <v>50-79</v>
      </c>
      <c r="G711" s="125" t="s">
        <v>60</v>
      </c>
      <c r="H711" s="125" t="s">
        <v>22</v>
      </c>
      <c r="I711" s="125" t="s">
        <v>514</v>
      </c>
      <c r="J711" s="125" t="s">
        <v>2295</v>
      </c>
      <c r="K711" s="119" t="s">
        <v>215</v>
      </c>
      <c r="L711" s="119" t="s">
        <v>94</v>
      </c>
      <c r="M711" s="239" t="s">
        <v>623</v>
      </c>
      <c r="N711" s="165">
        <v>268400</v>
      </c>
      <c r="O711" s="125" t="s">
        <v>18</v>
      </c>
      <c r="P711" s="173"/>
      <c r="Q711" s="210"/>
    </row>
    <row r="712" spans="1:17" hidden="1" x14ac:dyDescent="0.2">
      <c r="A712" s="142" t="s">
        <v>72</v>
      </c>
      <c r="B712" s="125">
        <v>2502095</v>
      </c>
      <c r="C712" s="125">
        <v>21102</v>
      </c>
      <c r="D712" s="125" t="s">
        <v>665</v>
      </c>
      <c r="E712" s="119">
        <v>57</v>
      </c>
      <c r="F712" s="119" t="str">
        <f>IF(E712&lt;=20,"0-19",
IF(E712&lt;=50,"20-49",
IF(E712&lt;=80,"50-79","80+")))</f>
        <v>50-79</v>
      </c>
      <c r="G712" s="125" t="s">
        <v>60</v>
      </c>
      <c r="H712" s="125" t="s">
        <v>22</v>
      </c>
      <c r="I712" s="125" t="s">
        <v>514</v>
      </c>
      <c r="J712" s="125" t="s">
        <v>2295</v>
      </c>
      <c r="K712" s="119" t="s">
        <v>666</v>
      </c>
      <c r="L712" s="119" t="s">
        <v>94</v>
      </c>
      <c r="M712" s="239" t="s">
        <v>623</v>
      </c>
      <c r="N712" s="165">
        <v>11500</v>
      </c>
      <c r="O712" s="125" t="s">
        <v>18</v>
      </c>
      <c r="P712" s="173"/>
      <c r="Q712" s="210"/>
    </row>
    <row r="713" spans="1:17" hidden="1" x14ac:dyDescent="0.2">
      <c r="A713" s="145" t="s">
        <v>340</v>
      </c>
      <c r="B713" s="125">
        <v>2014318</v>
      </c>
      <c r="C713" s="125">
        <v>61208</v>
      </c>
      <c r="D713" s="125" t="s">
        <v>651</v>
      </c>
      <c r="E713" s="119">
        <v>60</v>
      </c>
      <c r="F713" s="119" t="str">
        <f>IF(E713&lt;=20,"0-19",
IF(E713&lt;=50,"20-49",
IF(E713&lt;=80,"50-79","80+")))</f>
        <v>50-79</v>
      </c>
      <c r="G713" s="125" t="s">
        <v>60</v>
      </c>
      <c r="H713" s="125" t="s">
        <v>22</v>
      </c>
      <c r="I713" s="125" t="s">
        <v>514</v>
      </c>
      <c r="J713" s="125" t="s">
        <v>2295</v>
      </c>
      <c r="K713" s="119" t="s">
        <v>94</v>
      </c>
      <c r="L713" s="119" t="s">
        <v>94</v>
      </c>
      <c r="M713" s="239" t="s">
        <v>623</v>
      </c>
      <c r="N713" s="165">
        <v>9500</v>
      </c>
      <c r="O713" s="125" t="s">
        <v>18</v>
      </c>
      <c r="P713" s="173"/>
      <c r="Q713" s="210"/>
    </row>
    <row r="714" spans="1:17" hidden="1" x14ac:dyDescent="0.2">
      <c r="A714" s="155" t="s">
        <v>319</v>
      </c>
      <c r="B714" s="118">
        <v>2001823</v>
      </c>
      <c r="C714" s="118">
        <v>10576</v>
      </c>
      <c r="D714" s="118" t="s">
        <v>630</v>
      </c>
      <c r="E714" s="118">
        <v>72</v>
      </c>
      <c r="F714" s="118" t="str">
        <f>IF(E714&lt;=20,"0-19",
IF(E714&lt;=50,"20-49",
IF(E714&lt;=80,"50-79","80+")))</f>
        <v>50-79</v>
      </c>
      <c r="G714" s="118" t="s">
        <v>60</v>
      </c>
      <c r="H714" s="118" t="s">
        <v>22</v>
      </c>
      <c r="I714" s="118" t="s">
        <v>514</v>
      </c>
      <c r="J714" s="118" t="s">
        <v>2295</v>
      </c>
      <c r="K714" s="118" t="s">
        <v>99</v>
      </c>
      <c r="L714" s="118" t="s">
        <v>99</v>
      </c>
      <c r="M714" s="241" t="s">
        <v>623</v>
      </c>
      <c r="N714" s="160">
        <v>10650</v>
      </c>
      <c r="O714" s="125" t="s">
        <v>18</v>
      </c>
      <c r="P714" s="173"/>
      <c r="Q714" s="210"/>
    </row>
    <row r="715" spans="1:17" hidden="1" x14ac:dyDescent="0.2">
      <c r="A715" s="155" t="s">
        <v>319</v>
      </c>
      <c r="B715" s="121">
        <v>209634</v>
      </c>
      <c r="C715" s="121">
        <v>42684</v>
      </c>
      <c r="D715" s="121" t="s">
        <v>628</v>
      </c>
      <c r="E715" s="121">
        <v>69</v>
      </c>
      <c r="F715" s="121" t="str">
        <f>IF(E715&lt;=20,"0-19",
IF(E715&lt;=50,"20-49",
IF(E715&lt;=80,"50-79","80+")))</f>
        <v>50-79</v>
      </c>
      <c r="G715" s="121" t="s">
        <v>60</v>
      </c>
      <c r="H715" s="121" t="s">
        <v>15</v>
      </c>
      <c r="I715" s="121" t="s">
        <v>514</v>
      </c>
      <c r="J715" s="121" t="s">
        <v>2295</v>
      </c>
      <c r="K715" s="121" t="s">
        <v>99</v>
      </c>
      <c r="L715" s="121" t="s">
        <v>99</v>
      </c>
      <c r="M715" s="242" t="s">
        <v>623</v>
      </c>
      <c r="N715" s="191">
        <v>10650</v>
      </c>
      <c r="O715" s="122" t="s">
        <v>18</v>
      </c>
      <c r="P715" s="172"/>
      <c r="Q715" s="210"/>
    </row>
    <row r="716" spans="1:17" hidden="1" x14ac:dyDescent="0.2">
      <c r="A716" s="155" t="s">
        <v>990</v>
      </c>
      <c r="B716" s="125">
        <v>2001823</v>
      </c>
      <c r="C716" s="125">
        <v>10576</v>
      </c>
      <c r="D716" s="125" t="s">
        <v>630</v>
      </c>
      <c r="E716" s="125">
        <v>71</v>
      </c>
      <c r="F716" s="125" t="str">
        <f>IF(E716&lt;=20,"0-19",
IF(E716&lt;=50,"20-49",
IF(E716&lt;=80,"50-79","80+")))</f>
        <v>50-79</v>
      </c>
      <c r="G716" s="125" t="s">
        <v>60</v>
      </c>
      <c r="H716" s="125" t="s">
        <v>22</v>
      </c>
      <c r="I716" s="125" t="s">
        <v>699</v>
      </c>
      <c r="J716" s="125" t="s">
        <v>2295</v>
      </c>
      <c r="K716" s="125" t="s">
        <v>1249</v>
      </c>
      <c r="L716" s="125" t="s">
        <v>1249</v>
      </c>
      <c r="M716" s="239" t="s">
        <v>623</v>
      </c>
      <c r="N716" s="162">
        <v>10650</v>
      </c>
      <c r="O716" s="125" t="s">
        <v>832</v>
      </c>
      <c r="P716" s="173"/>
      <c r="Q716" s="210"/>
    </row>
    <row r="717" spans="1:17" hidden="1" x14ac:dyDescent="0.2">
      <c r="A717" s="155" t="s">
        <v>990</v>
      </c>
      <c r="B717" s="125">
        <v>2019634</v>
      </c>
      <c r="C717" s="125">
        <v>42684</v>
      </c>
      <c r="D717" s="125" t="s">
        <v>628</v>
      </c>
      <c r="E717" s="125">
        <v>68</v>
      </c>
      <c r="F717" s="125" t="str">
        <f>IF(E717&lt;=20,"0-19",
IF(E717&lt;=50,"20-49",
IF(E717&lt;=80,"50-79","80+")))</f>
        <v>50-79</v>
      </c>
      <c r="G717" s="125" t="s">
        <v>60</v>
      </c>
      <c r="H717" s="125" t="s">
        <v>15</v>
      </c>
      <c r="I717" s="125" t="s">
        <v>699</v>
      </c>
      <c r="J717" s="125" t="s">
        <v>2295</v>
      </c>
      <c r="K717" s="125" t="s">
        <v>1249</v>
      </c>
      <c r="L717" s="125" t="s">
        <v>1249</v>
      </c>
      <c r="M717" s="239" t="s">
        <v>623</v>
      </c>
      <c r="N717" s="162">
        <v>10650</v>
      </c>
      <c r="O717" s="125" t="s">
        <v>832</v>
      </c>
      <c r="P717" s="172"/>
      <c r="Q717" s="210"/>
    </row>
    <row r="718" spans="1:17" hidden="1" x14ac:dyDescent="0.2">
      <c r="A718" s="155" t="s">
        <v>456</v>
      </c>
      <c r="B718" s="125">
        <v>2010871</v>
      </c>
      <c r="C718" s="125">
        <v>56685</v>
      </c>
      <c r="D718" s="125" t="s">
        <v>1516</v>
      </c>
      <c r="E718" s="125">
        <v>64</v>
      </c>
      <c r="F718" s="125" t="str">
        <f>IF(E718&lt;=20,"0-19",
IF(E718&lt;=50,"20-49",
IF(E718&lt;=80,"50-79","80+")))</f>
        <v>50-79</v>
      </c>
      <c r="G718" s="125" t="s">
        <v>60</v>
      </c>
      <c r="H718" s="125" t="s">
        <v>22</v>
      </c>
      <c r="I718" s="125" t="s">
        <v>514</v>
      </c>
      <c r="J718" s="125" t="s">
        <v>2295</v>
      </c>
      <c r="K718" s="125" t="s">
        <v>1249</v>
      </c>
      <c r="L718" s="125" t="s">
        <v>1249</v>
      </c>
      <c r="M718" s="239" t="s">
        <v>623</v>
      </c>
      <c r="N718" s="162">
        <v>9025</v>
      </c>
      <c r="O718" s="125" t="s">
        <v>832</v>
      </c>
      <c r="P718" s="173"/>
      <c r="Q718" s="210"/>
    </row>
    <row r="719" spans="1:17" hidden="1" x14ac:dyDescent="0.2">
      <c r="A719" s="142" t="s">
        <v>1560</v>
      </c>
      <c r="B719" s="125">
        <v>2001823</v>
      </c>
      <c r="C719" s="125">
        <v>10576</v>
      </c>
      <c r="D719" s="125" t="s">
        <v>630</v>
      </c>
      <c r="E719" s="125">
        <v>71</v>
      </c>
      <c r="F719" s="125" t="str">
        <f>IF(E719&lt;=20,"0-19",
IF(E719&lt;=50,"20-49",
IF(E719&lt;=80,"50-79","80+")))</f>
        <v>50-79</v>
      </c>
      <c r="G719" s="125" t="s">
        <v>1915</v>
      </c>
      <c r="H719" s="125" t="s">
        <v>22</v>
      </c>
      <c r="I719" s="125" t="s">
        <v>514</v>
      </c>
      <c r="J719" s="125" t="s">
        <v>2295</v>
      </c>
      <c r="K719" s="119" t="s">
        <v>1916</v>
      </c>
      <c r="L719" s="125" t="s">
        <v>1916</v>
      </c>
      <c r="M719" s="239" t="s">
        <v>623</v>
      </c>
      <c r="N719" s="126">
        <v>10650</v>
      </c>
      <c r="O719" s="126" t="s">
        <v>2254</v>
      </c>
      <c r="P719" s="146">
        <v>254714272121</v>
      </c>
      <c r="Q719" s="210"/>
    </row>
    <row r="720" spans="1:17" hidden="1" x14ac:dyDescent="0.2">
      <c r="A720" s="143" t="s">
        <v>1560</v>
      </c>
      <c r="B720" s="122">
        <v>2019634</v>
      </c>
      <c r="C720" s="122">
        <v>42684</v>
      </c>
      <c r="D720" s="122" t="s">
        <v>628</v>
      </c>
      <c r="E720" s="122">
        <v>69</v>
      </c>
      <c r="F720" s="122" t="str">
        <f>IF(E720&lt;=20,"0-19",
IF(E720&lt;=50,"20-49",
IF(E720&lt;=80,"50-79","80+")))</f>
        <v>50-79</v>
      </c>
      <c r="G720" s="122" t="s">
        <v>1917</v>
      </c>
      <c r="H720" s="122" t="s">
        <v>15</v>
      </c>
      <c r="I720" s="122" t="s">
        <v>514</v>
      </c>
      <c r="J720" s="122" t="s">
        <v>2295</v>
      </c>
      <c r="K720" s="123" t="s">
        <v>1916</v>
      </c>
      <c r="L720" s="122" t="s">
        <v>1916</v>
      </c>
      <c r="M720" s="240" t="s">
        <v>623</v>
      </c>
      <c r="N720" s="124">
        <v>10650</v>
      </c>
      <c r="O720" s="124" t="s">
        <v>2254</v>
      </c>
      <c r="P720" s="147">
        <v>254714272121</v>
      </c>
      <c r="Q720" s="210"/>
    </row>
    <row r="721" spans="1:17" hidden="1" x14ac:dyDescent="0.2">
      <c r="A721" s="155" t="s">
        <v>1503</v>
      </c>
      <c r="B721" s="125">
        <v>2405040</v>
      </c>
      <c r="C721" s="125">
        <v>31911</v>
      </c>
      <c r="D721" s="125" t="s">
        <v>681</v>
      </c>
      <c r="E721" s="125">
        <v>63</v>
      </c>
      <c r="F721" s="125" t="str">
        <f>IF(E721&lt;=20,"0-19",
IF(E721&lt;=50,"20-49",
IF(E721&lt;=80,"50-79","80+")))</f>
        <v>50-79</v>
      </c>
      <c r="G721" s="125" t="s">
        <v>60</v>
      </c>
      <c r="H721" s="125" t="s">
        <v>22</v>
      </c>
      <c r="I721" s="125" t="s">
        <v>514</v>
      </c>
      <c r="J721" s="125" t="s">
        <v>2295</v>
      </c>
      <c r="K721" s="125" t="s">
        <v>1288</v>
      </c>
      <c r="L721" s="125" t="s">
        <v>1288</v>
      </c>
      <c r="M721" s="239" t="s">
        <v>623</v>
      </c>
      <c r="N721" s="162">
        <v>12321</v>
      </c>
      <c r="O721" s="125" t="s">
        <v>832</v>
      </c>
      <c r="P721" s="172"/>
      <c r="Q721" s="210"/>
    </row>
    <row r="722" spans="1:17" hidden="1" x14ac:dyDescent="0.2">
      <c r="A722" s="155" t="s">
        <v>544</v>
      </c>
      <c r="B722" s="125">
        <v>2012620</v>
      </c>
      <c r="C722" s="125">
        <v>102835</v>
      </c>
      <c r="D722" s="125" t="s">
        <v>683</v>
      </c>
      <c r="E722" s="125">
        <v>64</v>
      </c>
      <c r="F722" s="125" t="str">
        <f>IF(E722&lt;=20,"0-19",
IF(E722&lt;=50,"20-49",
IF(E722&lt;=80,"50-79","80+")))</f>
        <v>50-79</v>
      </c>
      <c r="G722" s="125" t="s">
        <v>49</v>
      </c>
      <c r="H722" s="125" t="s">
        <v>15</v>
      </c>
      <c r="I722" s="125" t="s">
        <v>699</v>
      </c>
      <c r="J722" s="125" t="s">
        <v>2295</v>
      </c>
      <c r="K722" s="125" t="s">
        <v>1288</v>
      </c>
      <c r="L722" s="125" t="s">
        <v>1288</v>
      </c>
      <c r="M722" s="239" t="s">
        <v>623</v>
      </c>
      <c r="N722" s="162">
        <v>22544</v>
      </c>
      <c r="O722" s="125" t="s">
        <v>832</v>
      </c>
      <c r="P722" s="173"/>
      <c r="Q722" s="210"/>
    </row>
    <row r="723" spans="1:17" hidden="1" x14ac:dyDescent="0.2">
      <c r="A723" s="155" t="s">
        <v>319</v>
      </c>
      <c r="B723" s="122">
        <v>2001823</v>
      </c>
      <c r="C723" s="122">
        <v>10576</v>
      </c>
      <c r="D723" s="122" t="s">
        <v>630</v>
      </c>
      <c r="E723" s="123">
        <v>72</v>
      </c>
      <c r="F723" s="123" t="str">
        <f>IF(E723&lt;=20,"0-19",
IF(E723&lt;=50,"20-49",
IF(E723&lt;=80,"50-79","80+")))</f>
        <v>50-79</v>
      </c>
      <c r="G723" s="122" t="s">
        <v>60</v>
      </c>
      <c r="H723" s="122" t="s">
        <v>15</v>
      </c>
      <c r="I723" s="122" t="s">
        <v>514</v>
      </c>
      <c r="J723" s="122" t="s">
        <v>2295</v>
      </c>
      <c r="K723" s="123" t="s">
        <v>67</v>
      </c>
      <c r="L723" s="123" t="s">
        <v>67</v>
      </c>
      <c r="M723" s="240" t="s">
        <v>623</v>
      </c>
      <c r="N723" s="157">
        <v>10650</v>
      </c>
      <c r="O723" s="122" t="s">
        <v>18</v>
      </c>
      <c r="P723" s="172"/>
      <c r="Q723" s="210"/>
    </row>
    <row r="724" spans="1:17" hidden="1" x14ac:dyDescent="0.2">
      <c r="A724" s="155" t="s">
        <v>319</v>
      </c>
      <c r="B724" s="125">
        <v>2001823</v>
      </c>
      <c r="C724" s="125">
        <v>42684</v>
      </c>
      <c r="D724" s="125" t="s">
        <v>628</v>
      </c>
      <c r="E724" s="119">
        <v>69</v>
      </c>
      <c r="F724" s="119" t="str">
        <f>IF(E724&lt;=20,"0-19",
IF(E724&lt;=50,"20-49",
IF(E724&lt;=80,"50-79","80+")))</f>
        <v>50-79</v>
      </c>
      <c r="G724" s="125" t="s">
        <v>60</v>
      </c>
      <c r="H724" s="125" t="s">
        <v>15</v>
      </c>
      <c r="I724" s="125" t="s">
        <v>514</v>
      </c>
      <c r="J724" s="125" t="s">
        <v>2295</v>
      </c>
      <c r="K724" s="119" t="s">
        <v>67</v>
      </c>
      <c r="L724" s="119" t="s">
        <v>67</v>
      </c>
      <c r="M724" s="239" t="s">
        <v>623</v>
      </c>
      <c r="N724" s="165">
        <v>10650</v>
      </c>
      <c r="O724" s="125" t="s">
        <v>18</v>
      </c>
      <c r="P724" s="173"/>
      <c r="Q724" s="210"/>
    </row>
    <row r="725" spans="1:17" hidden="1" x14ac:dyDescent="0.2">
      <c r="A725" s="145" t="s">
        <v>456</v>
      </c>
      <c r="B725" s="125">
        <v>2010871</v>
      </c>
      <c r="C725" s="125">
        <v>56685</v>
      </c>
      <c r="D725" s="125" t="s">
        <v>679</v>
      </c>
      <c r="E725" s="119">
        <v>63</v>
      </c>
      <c r="F725" s="119" t="str">
        <f>IF(E725&lt;=20,"0-19",
IF(E725&lt;=50,"20-49",
IF(E725&lt;=80,"50-79","80+")))</f>
        <v>50-79</v>
      </c>
      <c r="G725" s="125" t="s">
        <v>60</v>
      </c>
      <c r="H725" s="125" t="s">
        <v>22</v>
      </c>
      <c r="I725" s="125" t="s">
        <v>514</v>
      </c>
      <c r="J725" s="125" t="s">
        <v>2295</v>
      </c>
      <c r="K725" s="119" t="s">
        <v>67</v>
      </c>
      <c r="L725" s="119" t="s">
        <v>67</v>
      </c>
      <c r="M725" s="239" t="s">
        <v>623</v>
      </c>
      <c r="N725" s="165">
        <v>9025</v>
      </c>
      <c r="O725" s="125" t="s">
        <v>18</v>
      </c>
      <c r="P725" s="173"/>
      <c r="Q725" s="210"/>
    </row>
    <row r="726" spans="1:17" hidden="1" x14ac:dyDescent="0.2">
      <c r="A726" s="155" t="s">
        <v>682</v>
      </c>
      <c r="B726" s="122">
        <v>2012620</v>
      </c>
      <c r="C726" s="122">
        <v>102835</v>
      </c>
      <c r="D726" s="122" t="s">
        <v>685</v>
      </c>
      <c r="E726" s="123">
        <v>64</v>
      </c>
      <c r="F726" s="123" t="str">
        <f>IF(E726&lt;=20,"0-19",
IF(E726&lt;=50,"20-49",
IF(E726&lt;=80,"50-79","80+")))</f>
        <v>50-79</v>
      </c>
      <c r="G726" s="122" t="s">
        <v>49</v>
      </c>
      <c r="H726" s="122" t="s">
        <v>15</v>
      </c>
      <c r="I726" s="122" t="s">
        <v>514</v>
      </c>
      <c r="J726" s="122" t="s">
        <v>2295</v>
      </c>
      <c r="K726" s="123" t="s">
        <v>67</v>
      </c>
      <c r="L726" s="123" t="s">
        <v>67</v>
      </c>
      <c r="M726" s="240" t="s">
        <v>623</v>
      </c>
      <c r="N726" s="157">
        <v>10650</v>
      </c>
      <c r="O726" s="122" t="s">
        <v>18</v>
      </c>
      <c r="P726" s="172"/>
      <c r="Q726" s="210"/>
    </row>
    <row r="727" spans="1:17" hidden="1" x14ac:dyDescent="0.2">
      <c r="A727" s="143" t="s">
        <v>72</v>
      </c>
      <c r="B727" s="121">
        <v>2502095</v>
      </c>
      <c r="C727" s="122">
        <v>21102</v>
      </c>
      <c r="D727" s="121" t="s">
        <v>665</v>
      </c>
      <c r="E727" s="121">
        <v>56</v>
      </c>
      <c r="F727" s="121" t="str">
        <f>IF(E727&lt;=20,"0-19",
IF(E727&lt;=50,"20-49",
IF(E727&lt;=80,"50-79","80+")))</f>
        <v>50-79</v>
      </c>
      <c r="G727" s="121" t="s">
        <v>60</v>
      </c>
      <c r="H727" s="121" t="s">
        <v>22</v>
      </c>
      <c r="I727" s="121" t="s">
        <v>514</v>
      </c>
      <c r="J727" s="121" t="s">
        <v>2295</v>
      </c>
      <c r="K727" s="121" t="s">
        <v>1923</v>
      </c>
      <c r="L727" s="121" t="s">
        <v>1923</v>
      </c>
      <c r="M727" s="240" t="s">
        <v>623</v>
      </c>
      <c r="N727" s="127">
        <v>11500</v>
      </c>
      <c r="O727" s="127" t="s">
        <v>2254</v>
      </c>
      <c r="P727" s="147">
        <v>254721642629</v>
      </c>
      <c r="Q727" s="210"/>
    </row>
    <row r="728" spans="1:17" ht="31.5" hidden="1" x14ac:dyDescent="0.2">
      <c r="A728" s="143" t="s">
        <v>687</v>
      </c>
      <c r="B728" s="123">
        <v>2001404</v>
      </c>
      <c r="C728" s="122">
        <v>37163</v>
      </c>
      <c r="D728" s="123" t="s">
        <v>1929</v>
      </c>
      <c r="E728" s="123">
        <v>62</v>
      </c>
      <c r="F728" s="123" t="str">
        <f>IF(E728&lt;=20,"0-19",
IF(E728&lt;=50,"20-49",
IF(E728&lt;=80,"50-79","80+")))</f>
        <v>50-79</v>
      </c>
      <c r="G728" s="123" t="s">
        <v>60</v>
      </c>
      <c r="H728" s="123" t="s">
        <v>22</v>
      </c>
      <c r="I728" s="123" t="s">
        <v>514</v>
      </c>
      <c r="J728" s="123" t="s">
        <v>2295</v>
      </c>
      <c r="K728" s="123" t="s">
        <v>1930</v>
      </c>
      <c r="L728" s="121" t="s">
        <v>1923</v>
      </c>
      <c r="M728" s="240" t="s">
        <v>623</v>
      </c>
      <c r="N728" s="128">
        <v>13000</v>
      </c>
      <c r="O728" s="128" t="s">
        <v>2254</v>
      </c>
      <c r="P728" s="147">
        <v>254728114821</v>
      </c>
      <c r="Q728" s="210"/>
    </row>
    <row r="729" spans="1:17" hidden="1" x14ac:dyDescent="0.2">
      <c r="A729" s="155" t="s">
        <v>68</v>
      </c>
      <c r="B729" s="125">
        <v>2002953</v>
      </c>
      <c r="C729" s="125">
        <v>18654</v>
      </c>
      <c r="D729" s="125" t="s">
        <v>654</v>
      </c>
      <c r="E729" s="119">
        <v>60</v>
      </c>
      <c r="F729" s="119" t="str">
        <f>IF(E729&lt;=20,"0-19",
IF(E729&lt;=50,"20-49",
IF(E729&lt;=80,"50-79","80+")))</f>
        <v>50-79</v>
      </c>
      <c r="G729" s="125" t="s">
        <v>60</v>
      </c>
      <c r="H729" s="125" t="s">
        <v>22</v>
      </c>
      <c r="I729" s="125" t="s">
        <v>514</v>
      </c>
      <c r="J729" s="125" t="s">
        <v>2295</v>
      </c>
      <c r="K729" s="119" t="s">
        <v>62</v>
      </c>
      <c r="L729" s="119" t="s">
        <v>62</v>
      </c>
      <c r="M729" s="239" t="s">
        <v>623</v>
      </c>
      <c r="N729" s="165">
        <v>10899</v>
      </c>
      <c r="O729" s="125" t="s">
        <v>18</v>
      </c>
      <c r="P729" s="173"/>
      <c r="Q729" s="210"/>
    </row>
    <row r="730" spans="1:17" ht="21" hidden="1" x14ac:dyDescent="0.2">
      <c r="A730" s="155" t="s">
        <v>68</v>
      </c>
      <c r="B730" s="122">
        <v>2002953</v>
      </c>
      <c r="C730" s="122">
        <v>18654</v>
      </c>
      <c r="D730" s="122" t="s">
        <v>654</v>
      </c>
      <c r="E730" s="123">
        <v>60</v>
      </c>
      <c r="F730" s="123" t="str">
        <f>IF(E730&lt;=20,"0-19",
IF(E730&lt;=50,"20-49",
IF(E730&lt;=80,"50-79","80+")))</f>
        <v>50-79</v>
      </c>
      <c r="G730" s="122" t="s">
        <v>60</v>
      </c>
      <c r="H730" s="122" t="s">
        <v>22</v>
      </c>
      <c r="I730" s="122" t="s">
        <v>514</v>
      </c>
      <c r="J730" s="122" t="s">
        <v>2295</v>
      </c>
      <c r="K730" s="123" t="s">
        <v>658</v>
      </c>
      <c r="L730" s="123" t="s">
        <v>62</v>
      </c>
      <c r="M730" s="240" t="s">
        <v>623</v>
      </c>
      <c r="N730" s="157">
        <v>12349</v>
      </c>
      <c r="O730" s="122" t="s">
        <v>18</v>
      </c>
      <c r="P730" s="172"/>
      <c r="Q730" s="210"/>
    </row>
    <row r="731" spans="1:17" hidden="1" x14ac:dyDescent="0.2">
      <c r="A731" s="155" t="s">
        <v>687</v>
      </c>
      <c r="B731" s="125">
        <v>2001404</v>
      </c>
      <c r="C731" s="125">
        <v>37163</v>
      </c>
      <c r="D731" s="125" t="s">
        <v>688</v>
      </c>
      <c r="E731" s="119">
        <v>63</v>
      </c>
      <c r="F731" s="119" t="str">
        <f>IF(E731&lt;=20,"0-19",
IF(E731&lt;=50,"20-49",
IF(E731&lt;=80,"50-79","80+")))</f>
        <v>50-79</v>
      </c>
      <c r="G731" s="125" t="s">
        <v>60</v>
      </c>
      <c r="H731" s="125" t="s">
        <v>22</v>
      </c>
      <c r="I731" s="125" t="s">
        <v>514</v>
      </c>
      <c r="J731" s="125" t="s">
        <v>2295</v>
      </c>
      <c r="K731" s="119" t="s">
        <v>62</v>
      </c>
      <c r="L731" s="119" t="s">
        <v>62</v>
      </c>
      <c r="M731" s="239" t="s">
        <v>623</v>
      </c>
      <c r="N731" s="165">
        <v>13000</v>
      </c>
      <c r="O731" s="125" t="s">
        <v>18</v>
      </c>
      <c r="P731" s="173"/>
      <c r="Q731" s="210"/>
    </row>
    <row r="732" spans="1:17" hidden="1" x14ac:dyDescent="0.2">
      <c r="A732" s="155" t="s">
        <v>53</v>
      </c>
      <c r="B732" s="122">
        <v>2020238</v>
      </c>
      <c r="C732" s="122">
        <v>43253</v>
      </c>
      <c r="D732" s="122" t="s">
        <v>649</v>
      </c>
      <c r="E732" s="123">
        <v>65</v>
      </c>
      <c r="F732" s="123" t="str">
        <f>IF(E732&lt;=20,"0-19",
IF(E732&lt;=50,"20-49",
IF(E732&lt;=80,"50-79","80+")))</f>
        <v>50-79</v>
      </c>
      <c r="G732" s="122" t="s">
        <v>49</v>
      </c>
      <c r="H732" s="122" t="s">
        <v>15</v>
      </c>
      <c r="I732" s="122" t="s">
        <v>514</v>
      </c>
      <c r="J732" s="122" t="s">
        <v>2295</v>
      </c>
      <c r="K732" s="123" t="s">
        <v>62</v>
      </c>
      <c r="L732" s="123" t="s">
        <v>62</v>
      </c>
      <c r="M732" s="240" t="s">
        <v>623</v>
      </c>
      <c r="N732" s="157">
        <v>7000</v>
      </c>
      <c r="O732" s="122" t="s">
        <v>18</v>
      </c>
      <c r="P732" s="172"/>
      <c r="Q732" s="210"/>
    </row>
    <row r="733" spans="1:17" hidden="1" x14ac:dyDescent="0.2">
      <c r="A733" s="155" t="s">
        <v>990</v>
      </c>
      <c r="B733" s="125">
        <v>2001823</v>
      </c>
      <c r="C733" s="125">
        <v>10576</v>
      </c>
      <c r="D733" s="125" t="s">
        <v>630</v>
      </c>
      <c r="E733" s="125">
        <v>72</v>
      </c>
      <c r="F733" s="125" t="str">
        <f>IF(E733&lt;=20,"0-19",
IF(E733&lt;=50,"20-49",
IF(E733&lt;=80,"50-79","80+")))</f>
        <v>50-79</v>
      </c>
      <c r="G733" s="125" t="s">
        <v>60</v>
      </c>
      <c r="H733" s="125" t="s">
        <v>22</v>
      </c>
      <c r="I733" s="119" t="s">
        <v>514</v>
      </c>
      <c r="J733" s="119" t="s">
        <v>2295</v>
      </c>
      <c r="K733" s="119" t="s">
        <v>1242</v>
      </c>
      <c r="L733" s="119" t="s">
        <v>1242</v>
      </c>
      <c r="M733" s="239" t="s">
        <v>623</v>
      </c>
      <c r="N733" s="162">
        <v>10650</v>
      </c>
      <c r="O733" s="125" t="s">
        <v>832</v>
      </c>
      <c r="P733" s="173"/>
      <c r="Q733" s="210"/>
    </row>
    <row r="734" spans="1:17" hidden="1" x14ac:dyDescent="0.2">
      <c r="A734" s="155" t="s">
        <v>990</v>
      </c>
      <c r="B734" s="125">
        <v>2019634</v>
      </c>
      <c r="C734" s="125">
        <v>42684</v>
      </c>
      <c r="D734" s="125" t="s">
        <v>628</v>
      </c>
      <c r="E734" s="125">
        <v>69</v>
      </c>
      <c r="F734" s="125" t="str">
        <f>IF(E734&lt;=20,"0-19",
IF(E734&lt;=50,"20-49",
IF(E734&lt;=80,"50-79","80+")))</f>
        <v>50-79</v>
      </c>
      <c r="G734" s="125" t="s">
        <v>60</v>
      </c>
      <c r="H734" s="125" t="s">
        <v>15</v>
      </c>
      <c r="I734" s="119" t="s">
        <v>514</v>
      </c>
      <c r="J734" s="119" t="s">
        <v>2295</v>
      </c>
      <c r="K734" s="119" t="s">
        <v>1242</v>
      </c>
      <c r="L734" s="119" t="s">
        <v>1242</v>
      </c>
      <c r="M734" s="239" t="s">
        <v>623</v>
      </c>
      <c r="N734" s="162">
        <v>10650</v>
      </c>
      <c r="O734" s="125" t="s">
        <v>832</v>
      </c>
      <c r="P734" s="172"/>
      <c r="Q734" s="210"/>
    </row>
    <row r="735" spans="1:17" hidden="1" x14ac:dyDescent="0.2">
      <c r="A735" s="142" t="s">
        <v>1560</v>
      </c>
      <c r="B735" s="119">
        <v>2001823</v>
      </c>
      <c r="C735" s="125">
        <v>10576</v>
      </c>
      <c r="D735" s="119" t="s">
        <v>629</v>
      </c>
      <c r="E735" s="119">
        <v>71</v>
      </c>
      <c r="F735" s="119" t="str">
        <f>IF(E735&lt;=20,"0-19",
IF(E735&lt;=50,"20-49",
IF(E735&lt;=80,"50-79","80+")))</f>
        <v>50-79</v>
      </c>
      <c r="G735" s="118" t="s">
        <v>126</v>
      </c>
      <c r="H735" s="118" t="s">
        <v>22</v>
      </c>
      <c r="I735" s="119" t="s">
        <v>514</v>
      </c>
      <c r="J735" s="119" t="s">
        <v>2295</v>
      </c>
      <c r="K735" s="118" t="s">
        <v>1918</v>
      </c>
      <c r="L735" s="118" t="s">
        <v>1918</v>
      </c>
      <c r="M735" s="239" t="s">
        <v>623</v>
      </c>
      <c r="N735" s="129">
        <v>10650</v>
      </c>
      <c r="O735" s="129" t="s">
        <v>2254</v>
      </c>
      <c r="P735" s="146">
        <v>254714272121</v>
      </c>
      <c r="Q735" s="210"/>
    </row>
    <row r="736" spans="1:17" hidden="1" x14ac:dyDescent="0.2">
      <c r="A736" s="141" t="s">
        <v>840</v>
      </c>
      <c r="B736" s="121">
        <v>2405040</v>
      </c>
      <c r="C736" s="122">
        <v>31911</v>
      </c>
      <c r="D736" s="121" t="s">
        <v>681</v>
      </c>
      <c r="E736" s="121">
        <v>63</v>
      </c>
      <c r="F736" s="121" t="str">
        <f>IF(E736&lt;=20,"0-19",
IF(E736&lt;=50,"20-49",
IF(E736&lt;=80,"50-79","80+")))</f>
        <v>50-79</v>
      </c>
      <c r="G736" s="121" t="s">
        <v>126</v>
      </c>
      <c r="H736" s="121" t="s">
        <v>22</v>
      </c>
      <c r="I736" s="123" t="s">
        <v>514</v>
      </c>
      <c r="J736" s="123" t="s">
        <v>2295</v>
      </c>
      <c r="K736" s="121" t="s">
        <v>1918</v>
      </c>
      <c r="L736" s="121" t="s">
        <v>1918</v>
      </c>
      <c r="M736" s="240" t="s">
        <v>623</v>
      </c>
      <c r="N736" s="127">
        <v>25510</v>
      </c>
      <c r="O736" s="127" t="s">
        <v>2254</v>
      </c>
      <c r="P736" s="147">
        <v>254720981719</v>
      </c>
      <c r="Q736" s="210"/>
    </row>
    <row r="737" spans="1:17" hidden="1" x14ac:dyDescent="0.2">
      <c r="A737" s="143" t="s">
        <v>1560</v>
      </c>
      <c r="B737" s="123">
        <v>2019634</v>
      </c>
      <c r="C737" s="122">
        <v>42684</v>
      </c>
      <c r="D737" s="123" t="s">
        <v>1919</v>
      </c>
      <c r="E737" s="123">
        <v>68</v>
      </c>
      <c r="F737" s="123" t="str">
        <f>IF(E737&lt;=20,"0-19",
IF(E737&lt;=50,"20-49",
IF(E737&lt;=80,"50-79","80+")))</f>
        <v>50-79</v>
      </c>
      <c r="G737" s="121" t="s">
        <v>126</v>
      </c>
      <c r="H737" s="121" t="s">
        <v>22</v>
      </c>
      <c r="I737" s="123" t="s">
        <v>514</v>
      </c>
      <c r="J737" s="123" t="s">
        <v>2295</v>
      </c>
      <c r="K737" s="121" t="s">
        <v>1918</v>
      </c>
      <c r="L737" s="121" t="s">
        <v>1918</v>
      </c>
      <c r="M737" s="240" t="s">
        <v>623</v>
      </c>
      <c r="N737" s="128">
        <v>10650</v>
      </c>
      <c r="O737" s="128" t="s">
        <v>2254</v>
      </c>
      <c r="P737" s="147">
        <v>254714272121</v>
      </c>
      <c r="Q737" s="210"/>
    </row>
    <row r="738" spans="1:17" hidden="1" x14ac:dyDescent="0.2">
      <c r="A738" s="141" t="s">
        <v>840</v>
      </c>
      <c r="B738" s="121">
        <v>2407751</v>
      </c>
      <c r="C738" s="122">
        <v>60104</v>
      </c>
      <c r="D738" s="121" t="s">
        <v>1989</v>
      </c>
      <c r="E738" s="121">
        <v>59</v>
      </c>
      <c r="F738" s="121" t="str">
        <f>IF(E738&lt;=20,"0-19",
IF(E738&lt;=50,"20-49",
IF(E738&lt;=80,"50-79","80+")))</f>
        <v>50-79</v>
      </c>
      <c r="G738" s="121" t="s">
        <v>126</v>
      </c>
      <c r="H738" s="121" t="s">
        <v>22</v>
      </c>
      <c r="I738" s="123" t="s">
        <v>514</v>
      </c>
      <c r="J738" s="123" t="s">
        <v>2295</v>
      </c>
      <c r="K738" s="121" t="s">
        <v>1918</v>
      </c>
      <c r="L738" s="121" t="s">
        <v>1918</v>
      </c>
      <c r="M738" s="240" t="s">
        <v>623</v>
      </c>
      <c r="N738" s="127">
        <v>36051.56</v>
      </c>
      <c r="O738" s="127" t="s">
        <v>2254</v>
      </c>
      <c r="P738" s="147">
        <v>254719718741</v>
      </c>
      <c r="Q738" s="210"/>
    </row>
    <row r="739" spans="1:17" hidden="1" x14ac:dyDescent="0.2">
      <c r="A739" s="155" t="s">
        <v>12</v>
      </c>
      <c r="B739" s="118">
        <v>2001893</v>
      </c>
      <c r="C739" s="125">
        <v>9046</v>
      </c>
      <c r="D739" s="118" t="s">
        <v>625</v>
      </c>
      <c r="E739" s="118">
        <v>69</v>
      </c>
      <c r="F739" s="118" t="str">
        <f>IF(E739&lt;=20,"0-19",
IF(E739&lt;=50,"20-49",
IF(E739&lt;=80,"50-79","80+")))</f>
        <v>50-79</v>
      </c>
      <c r="G739" s="118" t="s">
        <v>60</v>
      </c>
      <c r="H739" s="118" t="s">
        <v>22</v>
      </c>
      <c r="I739" s="118" t="s">
        <v>514</v>
      </c>
      <c r="J739" s="118" t="s">
        <v>2295</v>
      </c>
      <c r="K739" s="118" t="s">
        <v>1232</v>
      </c>
      <c r="L739" s="118" t="s">
        <v>1232</v>
      </c>
      <c r="M739" s="239" t="s">
        <v>623</v>
      </c>
      <c r="N739" s="160">
        <v>9500</v>
      </c>
      <c r="O739" s="125" t="s">
        <v>832</v>
      </c>
      <c r="P739" s="173"/>
      <c r="Q739" s="210"/>
    </row>
    <row r="740" spans="1:17" hidden="1" x14ac:dyDescent="0.2">
      <c r="A740" s="155" t="s">
        <v>142</v>
      </c>
      <c r="B740" s="118">
        <v>2017509</v>
      </c>
      <c r="C740" s="125">
        <v>19209</v>
      </c>
      <c r="D740" s="118" t="s">
        <v>1403</v>
      </c>
      <c r="E740" s="118">
        <v>63</v>
      </c>
      <c r="F740" s="118" t="str">
        <f>IF(E740&lt;=20,"0-19",
IF(E740&lt;=50,"20-49",
IF(E740&lt;=80,"50-79","80+")))</f>
        <v>50-79</v>
      </c>
      <c r="G740" s="118" t="s">
        <v>60</v>
      </c>
      <c r="H740" s="118" t="s">
        <v>22</v>
      </c>
      <c r="I740" s="118" t="s">
        <v>514</v>
      </c>
      <c r="J740" s="118" t="s">
        <v>2295</v>
      </c>
      <c r="K740" s="118" t="s">
        <v>1232</v>
      </c>
      <c r="L740" s="118" t="s">
        <v>1232</v>
      </c>
      <c r="M740" s="239" t="s">
        <v>623</v>
      </c>
      <c r="N740" s="160">
        <v>8500</v>
      </c>
      <c r="O740" s="125" t="s">
        <v>832</v>
      </c>
      <c r="P740" s="172"/>
      <c r="Q740" s="210"/>
    </row>
    <row r="741" spans="1:17" hidden="1" x14ac:dyDescent="0.2">
      <c r="A741" s="143" t="s">
        <v>1166</v>
      </c>
      <c r="B741" s="121">
        <v>2001898</v>
      </c>
      <c r="C741" s="122">
        <v>9046</v>
      </c>
      <c r="D741" s="121" t="s">
        <v>1903</v>
      </c>
      <c r="E741" s="121">
        <v>69</v>
      </c>
      <c r="F741" s="121" t="str">
        <f>IF(E741&lt;=20,"0-19",
IF(E741&lt;=50,"20-49",
IF(E741&lt;=80,"50-79","80+")))</f>
        <v>50-79</v>
      </c>
      <c r="G741" s="121" t="s">
        <v>126</v>
      </c>
      <c r="H741" s="121" t="s">
        <v>22</v>
      </c>
      <c r="I741" s="121" t="s">
        <v>514</v>
      </c>
      <c r="J741" s="121" t="s">
        <v>2295</v>
      </c>
      <c r="K741" s="121" t="s">
        <v>1898</v>
      </c>
      <c r="L741" s="121" t="s">
        <v>1898</v>
      </c>
      <c r="M741" s="242" t="s">
        <v>623</v>
      </c>
      <c r="N741" s="127">
        <v>9000</v>
      </c>
      <c r="O741" s="127" t="s">
        <v>2254</v>
      </c>
      <c r="P741" s="147">
        <v>254729953155</v>
      </c>
      <c r="Q741" s="210"/>
    </row>
    <row r="742" spans="1:17" hidden="1" x14ac:dyDescent="0.2">
      <c r="A742" s="142" t="s">
        <v>1560</v>
      </c>
      <c r="B742" s="119">
        <v>2019634</v>
      </c>
      <c r="C742" s="125">
        <v>42684</v>
      </c>
      <c r="D742" s="119" t="s">
        <v>631</v>
      </c>
      <c r="E742" s="119">
        <v>68</v>
      </c>
      <c r="F742" s="119" t="str">
        <f>IF(E742&lt;=20,"0-19",
IF(E742&lt;=50,"20-49",
IF(E742&lt;=80,"50-79","80+")))</f>
        <v>50-79</v>
      </c>
      <c r="G742" s="118" t="s">
        <v>60</v>
      </c>
      <c r="H742" s="119" t="s">
        <v>15</v>
      </c>
      <c r="I742" s="118" t="s">
        <v>514</v>
      </c>
      <c r="J742" s="118" t="s">
        <v>2295</v>
      </c>
      <c r="K742" s="118" t="s">
        <v>1898</v>
      </c>
      <c r="L742" s="118" t="s">
        <v>1898</v>
      </c>
      <c r="M742" s="241" t="s">
        <v>623</v>
      </c>
      <c r="N742" s="120">
        <v>10650</v>
      </c>
      <c r="O742" s="120" t="s">
        <v>2254</v>
      </c>
      <c r="P742" s="146">
        <v>254722360657</v>
      </c>
      <c r="Q742" s="210"/>
    </row>
    <row r="743" spans="1:17" ht="21" hidden="1" x14ac:dyDescent="0.2">
      <c r="A743" s="140" t="s">
        <v>340</v>
      </c>
      <c r="B743" s="119">
        <v>2014318</v>
      </c>
      <c r="C743" s="125">
        <v>61208</v>
      </c>
      <c r="D743" s="119" t="s">
        <v>651</v>
      </c>
      <c r="E743" s="119">
        <v>61</v>
      </c>
      <c r="F743" s="119" t="str">
        <f>IF(E743&lt;=20,"0-19",
IF(E743&lt;=50,"20-49",
IF(E743&lt;=80,"50-79","80+")))</f>
        <v>50-79</v>
      </c>
      <c r="G743" s="118" t="s">
        <v>126</v>
      </c>
      <c r="H743" s="118" t="s">
        <v>22</v>
      </c>
      <c r="I743" s="118" t="s">
        <v>514</v>
      </c>
      <c r="J743" s="118" t="s">
        <v>2295</v>
      </c>
      <c r="K743" s="118" t="s">
        <v>1912</v>
      </c>
      <c r="L743" s="118" t="s">
        <v>1898</v>
      </c>
      <c r="M743" s="241" t="s">
        <v>623</v>
      </c>
      <c r="N743" s="120">
        <v>9500</v>
      </c>
      <c r="O743" s="120" t="s">
        <v>2254</v>
      </c>
      <c r="P743" s="146">
        <v>254714272121</v>
      </c>
      <c r="Q743" s="210"/>
    </row>
    <row r="744" spans="1:17" ht="21" hidden="1" x14ac:dyDescent="0.2">
      <c r="A744" s="156" t="s">
        <v>12</v>
      </c>
      <c r="B744" s="125">
        <v>2001893</v>
      </c>
      <c r="C744" s="125">
        <v>9046</v>
      </c>
      <c r="D744" s="125" t="s">
        <v>625</v>
      </c>
      <c r="E744" s="119">
        <v>69</v>
      </c>
      <c r="F744" s="119" t="str">
        <f>IF(E744&lt;=20,"0-19",
IF(E744&lt;=50,"20-49",
IF(E744&lt;=80,"50-79","80+")))</f>
        <v>50-79</v>
      </c>
      <c r="G744" s="125" t="s">
        <v>60</v>
      </c>
      <c r="H744" s="125" t="s">
        <v>22</v>
      </c>
      <c r="I744" s="125" t="s">
        <v>514</v>
      </c>
      <c r="J744" s="125" t="s">
        <v>2295</v>
      </c>
      <c r="K744" s="119" t="s">
        <v>627</v>
      </c>
      <c r="L744" s="119" t="s">
        <v>31</v>
      </c>
      <c r="M744" s="239" t="s">
        <v>623</v>
      </c>
      <c r="N744" s="165">
        <v>9500</v>
      </c>
      <c r="O744" s="125" t="s">
        <v>18</v>
      </c>
      <c r="P744" s="173"/>
      <c r="Q744" s="210"/>
    </row>
    <row r="745" spans="1:17" hidden="1" x14ac:dyDescent="0.2">
      <c r="A745" s="142" t="s">
        <v>72</v>
      </c>
      <c r="B745" s="125">
        <v>2502095</v>
      </c>
      <c r="C745" s="125">
        <v>21102</v>
      </c>
      <c r="D745" s="125" t="s">
        <v>665</v>
      </c>
      <c r="E745" s="119">
        <v>57</v>
      </c>
      <c r="F745" s="119" t="str">
        <f>IF(E745&lt;=20,"0-19",
IF(E745&lt;=50,"20-49",
IF(E745&lt;=80,"50-79","80+")))</f>
        <v>50-79</v>
      </c>
      <c r="G745" s="125" t="s">
        <v>60</v>
      </c>
      <c r="H745" s="125" t="s">
        <v>22</v>
      </c>
      <c r="I745" s="125" t="s">
        <v>514</v>
      </c>
      <c r="J745" s="125" t="s">
        <v>2295</v>
      </c>
      <c r="K745" s="119" t="s">
        <v>31</v>
      </c>
      <c r="L745" s="119" t="s">
        <v>31</v>
      </c>
      <c r="M745" s="239" t="s">
        <v>623</v>
      </c>
      <c r="N745" s="165">
        <v>11500</v>
      </c>
      <c r="O745" s="125" t="s">
        <v>18</v>
      </c>
      <c r="P745" s="173"/>
      <c r="Q745" s="210"/>
    </row>
    <row r="746" spans="1:17" hidden="1" x14ac:dyDescent="0.2">
      <c r="A746" s="144" t="s">
        <v>340</v>
      </c>
      <c r="B746" s="122">
        <v>2014318</v>
      </c>
      <c r="C746" s="122">
        <v>61208</v>
      </c>
      <c r="D746" s="122" t="s">
        <v>651</v>
      </c>
      <c r="E746" s="123">
        <v>62</v>
      </c>
      <c r="F746" s="123" t="str">
        <f>IF(E746&lt;=20,"0-19",
IF(E746&lt;=50,"20-49",
IF(E746&lt;=80,"50-79","80+")))</f>
        <v>50-79</v>
      </c>
      <c r="G746" s="122" t="s">
        <v>60</v>
      </c>
      <c r="H746" s="122" t="s">
        <v>22</v>
      </c>
      <c r="I746" s="122" t="s">
        <v>514</v>
      </c>
      <c r="J746" s="122" t="s">
        <v>2295</v>
      </c>
      <c r="K746" s="123" t="s">
        <v>31</v>
      </c>
      <c r="L746" s="123" t="s">
        <v>31</v>
      </c>
      <c r="M746" s="240" t="s">
        <v>623</v>
      </c>
      <c r="N746" s="157">
        <v>9500</v>
      </c>
      <c r="O746" s="122" t="s">
        <v>18</v>
      </c>
      <c r="P746" s="172"/>
      <c r="Q746" s="210"/>
    </row>
    <row r="747" spans="1:17" hidden="1" x14ac:dyDescent="0.2">
      <c r="A747" s="155" t="s">
        <v>319</v>
      </c>
      <c r="B747" s="125">
        <v>2001823</v>
      </c>
      <c r="C747" s="125">
        <v>10576</v>
      </c>
      <c r="D747" s="125" t="s">
        <v>630</v>
      </c>
      <c r="E747" s="119">
        <v>70</v>
      </c>
      <c r="F747" s="119" t="str">
        <f>IF(E747&lt;=20,"0-19",
IF(E747&lt;=50,"20-49",
IF(E747&lt;=80,"50-79","80+")))</f>
        <v>50-79</v>
      </c>
      <c r="G747" s="125" t="s">
        <v>60</v>
      </c>
      <c r="H747" s="125" t="s">
        <v>22</v>
      </c>
      <c r="I747" s="125" t="s">
        <v>514</v>
      </c>
      <c r="J747" s="125" t="s">
        <v>2295</v>
      </c>
      <c r="K747" s="119" t="s">
        <v>108</v>
      </c>
      <c r="L747" s="119" t="s">
        <v>108</v>
      </c>
      <c r="M747" s="239" t="s">
        <v>623</v>
      </c>
      <c r="N747" s="165">
        <v>10650</v>
      </c>
      <c r="O747" s="125" t="s">
        <v>18</v>
      </c>
      <c r="P747" s="173"/>
      <c r="Q747" s="210"/>
    </row>
    <row r="748" spans="1:17" ht="21" hidden="1" x14ac:dyDescent="0.2">
      <c r="A748" s="156" t="s">
        <v>43</v>
      </c>
      <c r="B748" s="122">
        <v>2002754</v>
      </c>
      <c r="C748" s="122">
        <v>11467</v>
      </c>
      <c r="D748" s="122" t="s">
        <v>636</v>
      </c>
      <c r="E748" s="123">
        <v>74</v>
      </c>
      <c r="F748" s="123" t="str">
        <f>IF(E748&lt;=20,"0-19",
IF(E748&lt;=50,"20-49",
IF(E748&lt;=80,"50-79","80+")))</f>
        <v>50-79</v>
      </c>
      <c r="G748" s="122" t="s">
        <v>60</v>
      </c>
      <c r="H748" s="122" t="s">
        <v>22</v>
      </c>
      <c r="I748" s="122" t="s">
        <v>514</v>
      </c>
      <c r="J748" s="122" t="s">
        <v>2295</v>
      </c>
      <c r="K748" s="123" t="s">
        <v>637</v>
      </c>
      <c r="L748" s="123" t="s">
        <v>108</v>
      </c>
      <c r="M748" s="240" t="s">
        <v>623</v>
      </c>
      <c r="N748" s="157">
        <v>10500</v>
      </c>
      <c r="O748" s="122" t="s">
        <v>18</v>
      </c>
      <c r="P748" s="172"/>
      <c r="Q748" s="210"/>
    </row>
    <row r="749" spans="1:17" hidden="1" x14ac:dyDescent="0.2">
      <c r="A749" s="156" t="s">
        <v>178</v>
      </c>
      <c r="B749" s="125">
        <v>2003444</v>
      </c>
      <c r="C749" s="125">
        <v>18642</v>
      </c>
      <c r="D749" s="125" t="s">
        <v>680</v>
      </c>
      <c r="E749" s="119">
        <v>63</v>
      </c>
      <c r="F749" s="119" t="str">
        <f>IF(E749&lt;=20,"0-19",
IF(E749&lt;=50,"20-49",
IF(E749&lt;=80,"50-79","80+")))</f>
        <v>50-79</v>
      </c>
      <c r="G749" s="125" t="s">
        <v>60</v>
      </c>
      <c r="H749" s="125" t="s">
        <v>22</v>
      </c>
      <c r="I749" s="125" t="s">
        <v>514</v>
      </c>
      <c r="J749" s="125" t="s">
        <v>2295</v>
      </c>
      <c r="K749" s="119" t="s">
        <v>108</v>
      </c>
      <c r="L749" s="119" t="s">
        <v>108</v>
      </c>
      <c r="M749" s="239" t="s">
        <v>623</v>
      </c>
      <c r="N749" s="165">
        <v>9025</v>
      </c>
      <c r="O749" s="125" t="s">
        <v>18</v>
      </c>
      <c r="P749" s="173"/>
      <c r="Q749" s="210"/>
    </row>
    <row r="750" spans="1:17" hidden="1" x14ac:dyDescent="0.2">
      <c r="A750" s="155" t="s">
        <v>319</v>
      </c>
      <c r="B750" s="122">
        <v>2019634</v>
      </c>
      <c r="C750" s="122">
        <v>42684</v>
      </c>
      <c r="D750" s="122" t="s">
        <v>628</v>
      </c>
      <c r="E750" s="123">
        <v>69</v>
      </c>
      <c r="F750" s="123" t="str">
        <f>IF(E750&lt;=20,"0-19",
IF(E750&lt;=50,"20-49",
IF(E750&lt;=80,"50-79","80+")))</f>
        <v>50-79</v>
      </c>
      <c r="G750" s="122" t="s">
        <v>60</v>
      </c>
      <c r="H750" s="122" t="s">
        <v>15</v>
      </c>
      <c r="I750" s="122" t="s">
        <v>514</v>
      </c>
      <c r="J750" s="122" t="s">
        <v>2295</v>
      </c>
      <c r="K750" s="123" t="s">
        <v>108</v>
      </c>
      <c r="L750" s="123" t="s">
        <v>108</v>
      </c>
      <c r="M750" s="240" t="s">
        <v>623</v>
      </c>
      <c r="N750" s="157">
        <v>10650</v>
      </c>
      <c r="O750" s="122" t="s">
        <v>18</v>
      </c>
      <c r="P750" s="172"/>
      <c r="Q750" s="210"/>
    </row>
    <row r="751" spans="1:17" ht="21" hidden="1" x14ac:dyDescent="0.2">
      <c r="A751" s="155" t="s">
        <v>990</v>
      </c>
      <c r="B751" s="118">
        <v>2001823</v>
      </c>
      <c r="C751" s="125">
        <v>10576</v>
      </c>
      <c r="D751" s="118" t="s">
        <v>630</v>
      </c>
      <c r="E751" s="118">
        <v>72</v>
      </c>
      <c r="F751" s="118" t="str">
        <f>IF(E751&lt;=20,"0-19",
IF(E751&lt;=50,"20-49",
IF(E751&lt;=80,"50-79","80+")))</f>
        <v>50-79</v>
      </c>
      <c r="G751" s="118" t="s">
        <v>60</v>
      </c>
      <c r="H751" s="118" t="s">
        <v>22</v>
      </c>
      <c r="I751" s="118" t="s">
        <v>514</v>
      </c>
      <c r="J751" s="118" t="s">
        <v>2295</v>
      </c>
      <c r="K751" s="118" t="s">
        <v>1263</v>
      </c>
      <c r="L751" s="118" t="s">
        <v>1264</v>
      </c>
      <c r="M751" s="239" t="s">
        <v>623</v>
      </c>
      <c r="N751" s="160">
        <v>10650</v>
      </c>
      <c r="O751" s="125" t="s">
        <v>832</v>
      </c>
      <c r="P751" s="173"/>
      <c r="Q751" s="210"/>
    </row>
    <row r="752" spans="1:17" ht="21" hidden="1" x14ac:dyDescent="0.2">
      <c r="A752" s="155" t="s">
        <v>159</v>
      </c>
      <c r="B752" s="118">
        <v>2001198</v>
      </c>
      <c r="C752" s="125">
        <v>18587</v>
      </c>
      <c r="D752" s="118" t="s">
        <v>1425</v>
      </c>
      <c r="E752" s="118">
        <v>76</v>
      </c>
      <c r="F752" s="118" t="str">
        <f>IF(E752&lt;=20,"0-19",
IF(E752&lt;=50,"20-49",
IF(E752&lt;=80,"50-79","80+")))</f>
        <v>50-79</v>
      </c>
      <c r="G752" s="118" t="s">
        <v>60</v>
      </c>
      <c r="H752" s="118" t="s">
        <v>22</v>
      </c>
      <c r="I752" s="118" t="s">
        <v>514</v>
      </c>
      <c r="J752" s="118" t="s">
        <v>2295</v>
      </c>
      <c r="K752" s="118" t="s">
        <v>1426</v>
      </c>
      <c r="L752" s="118" t="s">
        <v>1264</v>
      </c>
      <c r="M752" s="239" t="s">
        <v>623</v>
      </c>
      <c r="N752" s="160">
        <v>11500</v>
      </c>
      <c r="O752" s="125" t="s">
        <v>832</v>
      </c>
      <c r="P752" s="173"/>
      <c r="Q752" s="210"/>
    </row>
    <row r="753" spans="1:17" ht="21" hidden="1" x14ac:dyDescent="0.2">
      <c r="A753" s="155" t="s">
        <v>1482</v>
      </c>
      <c r="B753" s="118">
        <v>2017742</v>
      </c>
      <c r="C753" s="125">
        <v>37239</v>
      </c>
      <c r="D753" s="118" t="s">
        <v>1501</v>
      </c>
      <c r="E753" s="118">
        <v>58</v>
      </c>
      <c r="F753" s="118" t="str">
        <f>IF(E753&lt;=20,"0-19",
IF(E753&lt;=50,"20-49",
IF(E753&lt;=80,"50-79","80+")))</f>
        <v>50-79</v>
      </c>
      <c r="G753" s="118" t="s">
        <v>60</v>
      </c>
      <c r="H753" s="118" t="s">
        <v>22</v>
      </c>
      <c r="I753" s="118" t="s">
        <v>514</v>
      </c>
      <c r="J753" s="118" t="s">
        <v>2295</v>
      </c>
      <c r="K753" s="118" t="s">
        <v>1426</v>
      </c>
      <c r="L753" s="118" t="s">
        <v>1264</v>
      </c>
      <c r="M753" s="239" t="s">
        <v>623</v>
      </c>
      <c r="N753" s="160">
        <v>9025</v>
      </c>
      <c r="O753" s="125" t="s">
        <v>832</v>
      </c>
      <c r="P753" s="172"/>
      <c r="Q753" s="210"/>
    </row>
    <row r="754" spans="1:17" hidden="1" x14ac:dyDescent="0.2">
      <c r="A754" s="155" t="s">
        <v>990</v>
      </c>
      <c r="B754" s="118">
        <v>2019634</v>
      </c>
      <c r="C754" s="125">
        <v>42684</v>
      </c>
      <c r="D754" s="118" t="s">
        <v>1176</v>
      </c>
      <c r="E754" s="118">
        <v>69</v>
      </c>
      <c r="F754" s="118" t="str">
        <f>IF(E754&lt;=20,"0-19",
IF(E754&lt;=50,"20-49",
IF(E754&lt;=80,"50-79","80+")))</f>
        <v>50-79</v>
      </c>
      <c r="G754" s="118" t="s">
        <v>60</v>
      </c>
      <c r="H754" s="118" t="s">
        <v>15</v>
      </c>
      <c r="I754" s="118" t="s">
        <v>514</v>
      </c>
      <c r="J754" s="118" t="s">
        <v>2295</v>
      </c>
      <c r="K754" s="118" t="s">
        <v>1264</v>
      </c>
      <c r="L754" s="118" t="s">
        <v>1264</v>
      </c>
      <c r="M754" s="239" t="s">
        <v>623</v>
      </c>
      <c r="N754" s="160">
        <v>10650</v>
      </c>
      <c r="O754" s="125" t="s">
        <v>832</v>
      </c>
      <c r="P754" s="172"/>
      <c r="Q754" s="210"/>
    </row>
    <row r="755" spans="1:17" hidden="1" x14ac:dyDescent="0.2">
      <c r="A755" s="143" t="s">
        <v>1560</v>
      </c>
      <c r="B755" s="122">
        <v>2001823</v>
      </c>
      <c r="C755" s="122">
        <v>10576</v>
      </c>
      <c r="D755" s="122" t="s">
        <v>630</v>
      </c>
      <c r="E755" s="122">
        <v>72</v>
      </c>
      <c r="F755" s="122" t="str">
        <f>IF(E755&lt;=20,"0-19",
IF(E755&lt;=50,"20-49",
IF(E755&lt;=80,"50-79","80+")))</f>
        <v>50-79</v>
      </c>
      <c r="G755" s="122" t="s">
        <v>60</v>
      </c>
      <c r="H755" s="122" t="s">
        <v>22</v>
      </c>
      <c r="I755" s="122" t="s">
        <v>699</v>
      </c>
      <c r="J755" s="122" t="s">
        <v>2295</v>
      </c>
      <c r="K755" s="123" t="s">
        <v>1921</v>
      </c>
      <c r="L755" s="122" t="s">
        <v>1921</v>
      </c>
      <c r="M755" s="240" t="s">
        <v>623</v>
      </c>
      <c r="N755" s="124">
        <v>10650</v>
      </c>
      <c r="O755" s="124" t="s">
        <v>2254</v>
      </c>
      <c r="P755" s="147">
        <v>254725040021</v>
      </c>
      <c r="Q755" s="210"/>
    </row>
    <row r="756" spans="1:17" hidden="1" x14ac:dyDescent="0.2">
      <c r="A756" s="142" t="s">
        <v>1560</v>
      </c>
      <c r="B756" s="125">
        <v>2019634</v>
      </c>
      <c r="C756" s="125">
        <v>42684</v>
      </c>
      <c r="D756" s="125" t="s">
        <v>628</v>
      </c>
      <c r="E756" s="125">
        <v>69</v>
      </c>
      <c r="F756" s="125" t="str">
        <f>IF(E756&lt;=20,"0-19",
IF(E756&lt;=50,"20-49",
IF(E756&lt;=80,"50-79","80+")))</f>
        <v>50-79</v>
      </c>
      <c r="G756" s="125" t="s">
        <v>60</v>
      </c>
      <c r="H756" s="125" t="s">
        <v>15</v>
      </c>
      <c r="I756" s="125" t="s">
        <v>514</v>
      </c>
      <c r="J756" s="125" t="s">
        <v>2295</v>
      </c>
      <c r="K756" s="119" t="s">
        <v>1921</v>
      </c>
      <c r="L756" s="125" t="s">
        <v>1921</v>
      </c>
      <c r="M756" s="239" t="s">
        <v>623</v>
      </c>
      <c r="N756" s="126">
        <v>10650</v>
      </c>
      <c r="O756" s="126" t="s">
        <v>2254</v>
      </c>
      <c r="P756" s="146">
        <v>254723124386</v>
      </c>
      <c r="Q756" s="210"/>
    </row>
    <row r="757" spans="1:17" hidden="1" x14ac:dyDescent="0.2">
      <c r="A757" s="145" t="s">
        <v>653</v>
      </c>
      <c r="B757" s="125">
        <v>2017509</v>
      </c>
      <c r="C757" s="125">
        <v>19309</v>
      </c>
      <c r="D757" s="125" t="s">
        <v>652</v>
      </c>
      <c r="E757" s="119">
        <v>63</v>
      </c>
      <c r="F757" s="119" t="str">
        <f>IF(E757&lt;=20,"0-19",
IF(E757&lt;=50,"20-49",
IF(E757&lt;=80,"50-79","80+")))</f>
        <v>50-79</v>
      </c>
      <c r="G757" s="125" t="s">
        <v>60</v>
      </c>
      <c r="H757" s="125" t="s">
        <v>22</v>
      </c>
      <c r="I757" s="125" t="s">
        <v>514</v>
      </c>
      <c r="J757" s="125" t="s">
        <v>2295</v>
      </c>
      <c r="K757" s="119" t="s">
        <v>85</v>
      </c>
      <c r="L757" s="119" t="s">
        <v>85</v>
      </c>
      <c r="M757" s="239" t="s">
        <v>623</v>
      </c>
      <c r="N757" s="165">
        <v>8500</v>
      </c>
      <c r="O757" s="125" t="s">
        <v>18</v>
      </c>
      <c r="P757" s="173"/>
      <c r="Q757" s="210"/>
    </row>
    <row r="758" spans="1:17" hidden="1" x14ac:dyDescent="0.2">
      <c r="A758" s="155" t="s">
        <v>12</v>
      </c>
      <c r="B758" s="118">
        <v>2001893</v>
      </c>
      <c r="C758" s="125">
        <v>9046</v>
      </c>
      <c r="D758" s="118" t="s">
        <v>625</v>
      </c>
      <c r="E758" s="118">
        <v>69</v>
      </c>
      <c r="F758" s="118" t="str">
        <f>IF(E758&lt;=20,"0-19",
IF(E758&lt;=50,"20-49",
IF(E758&lt;=80,"50-79","80+")))</f>
        <v>50-79</v>
      </c>
      <c r="G758" s="118" t="s">
        <v>60</v>
      </c>
      <c r="H758" s="118" t="s">
        <v>22</v>
      </c>
      <c r="I758" s="118" t="s">
        <v>514</v>
      </c>
      <c r="J758" s="118" t="s">
        <v>2295</v>
      </c>
      <c r="K758" s="118" t="s">
        <v>1254</v>
      </c>
      <c r="L758" s="118" t="s">
        <v>1254</v>
      </c>
      <c r="M758" s="239" t="s">
        <v>623</v>
      </c>
      <c r="N758" s="160">
        <v>9500</v>
      </c>
      <c r="O758" s="125" t="s">
        <v>832</v>
      </c>
      <c r="P758" s="172"/>
      <c r="Q758" s="210"/>
    </row>
    <row r="759" spans="1:17" hidden="1" x14ac:dyDescent="0.2">
      <c r="A759" s="155" t="s">
        <v>544</v>
      </c>
      <c r="B759" s="118">
        <v>2012620</v>
      </c>
      <c r="C759" s="125">
        <v>102835</v>
      </c>
      <c r="D759" s="118" t="s">
        <v>686</v>
      </c>
      <c r="E759" s="118">
        <v>64</v>
      </c>
      <c r="F759" s="118" t="str">
        <f>IF(E759&lt;=20,"0-19",
IF(E759&lt;=50,"20-49",
IF(E759&lt;=80,"50-79","80+")))</f>
        <v>50-79</v>
      </c>
      <c r="G759" s="118" t="s">
        <v>49</v>
      </c>
      <c r="H759" s="118" t="s">
        <v>15</v>
      </c>
      <c r="I759" s="118" t="s">
        <v>514</v>
      </c>
      <c r="J759" s="118" t="s">
        <v>2295</v>
      </c>
      <c r="K759" s="118" t="s">
        <v>1254</v>
      </c>
      <c r="L759" s="118" t="s">
        <v>1254</v>
      </c>
      <c r="M759" s="239" t="s">
        <v>623</v>
      </c>
      <c r="N759" s="160">
        <v>9500</v>
      </c>
      <c r="O759" s="125" t="s">
        <v>832</v>
      </c>
      <c r="P759" s="173"/>
      <c r="Q759" s="210"/>
    </row>
    <row r="760" spans="1:17" hidden="1" x14ac:dyDescent="0.2">
      <c r="A760" s="180" t="s">
        <v>696</v>
      </c>
      <c r="B760" s="176">
        <v>2001823</v>
      </c>
      <c r="C760" s="176">
        <v>10576</v>
      </c>
      <c r="D760" s="176" t="s">
        <v>630</v>
      </c>
      <c r="E760" s="176">
        <v>72</v>
      </c>
      <c r="F760" s="176" t="str">
        <f>IF(E760&lt;=20,"0-19",
IF(E760&lt;=50,"20-49",
IF(E760&lt;=80,"50-79","80+")))</f>
        <v>50-79</v>
      </c>
      <c r="G760" s="176" t="s">
        <v>60</v>
      </c>
      <c r="H760" s="176" t="s">
        <v>22</v>
      </c>
      <c r="I760" s="176" t="s">
        <v>514</v>
      </c>
      <c r="J760" s="176" t="s">
        <v>2295</v>
      </c>
      <c r="K760" s="176" t="s">
        <v>289</v>
      </c>
      <c r="L760" s="176" t="s">
        <v>289</v>
      </c>
      <c r="M760" s="241" t="s">
        <v>623</v>
      </c>
      <c r="N760" s="167">
        <v>10650</v>
      </c>
      <c r="O760" s="125" t="s">
        <v>18</v>
      </c>
      <c r="P760" s="173"/>
      <c r="Q760" s="210"/>
    </row>
    <row r="761" spans="1:17" ht="21" hidden="1" x14ac:dyDescent="0.2">
      <c r="A761" s="180" t="s">
        <v>354</v>
      </c>
      <c r="B761" s="176">
        <v>2017742</v>
      </c>
      <c r="C761" s="176">
        <v>37239</v>
      </c>
      <c r="D761" s="176" t="s">
        <v>783</v>
      </c>
      <c r="E761" s="176">
        <v>58</v>
      </c>
      <c r="F761" s="176" t="str">
        <f>IF(E761&lt;=20,"0-19",
IF(E761&lt;=50,"20-49",
IF(E761&lt;=80,"50-79","80+")))</f>
        <v>50-79</v>
      </c>
      <c r="G761" s="176" t="s">
        <v>60</v>
      </c>
      <c r="H761" s="176" t="s">
        <v>22</v>
      </c>
      <c r="I761" s="176" t="s">
        <v>514</v>
      </c>
      <c r="J761" s="176" t="s">
        <v>2295</v>
      </c>
      <c r="K761" s="176" t="s">
        <v>2262</v>
      </c>
      <c r="L761" s="176" t="s">
        <v>289</v>
      </c>
      <c r="M761" s="241" t="s">
        <v>623</v>
      </c>
      <c r="N761" s="227">
        <v>9975</v>
      </c>
      <c r="O761" s="125" t="s">
        <v>18</v>
      </c>
      <c r="P761" s="173"/>
      <c r="Q761" s="210"/>
    </row>
    <row r="762" spans="1:17" hidden="1" x14ac:dyDescent="0.2">
      <c r="A762" s="182" t="s">
        <v>697</v>
      </c>
      <c r="B762" s="178">
        <v>2019634</v>
      </c>
      <c r="C762" s="178">
        <v>42684</v>
      </c>
      <c r="D762" s="178" t="s">
        <v>698</v>
      </c>
      <c r="E762" s="178">
        <v>69</v>
      </c>
      <c r="F762" s="178" t="str">
        <f>IF(E762&lt;=20,"0-19",
IF(E762&lt;=50,"20-49",
IF(E762&lt;=80,"50-79","80+")))</f>
        <v>50-79</v>
      </c>
      <c r="G762" s="178" t="s">
        <v>60</v>
      </c>
      <c r="H762" s="178" t="s">
        <v>15</v>
      </c>
      <c r="I762" s="178" t="s">
        <v>699</v>
      </c>
      <c r="J762" s="178" t="s">
        <v>2295</v>
      </c>
      <c r="K762" s="178" t="s">
        <v>289</v>
      </c>
      <c r="L762" s="178" t="s">
        <v>289</v>
      </c>
      <c r="M762" s="242" t="s">
        <v>623</v>
      </c>
      <c r="N762" s="228">
        <v>10650</v>
      </c>
      <c r="O762" s="122" t="s">
        <v>18</v>
      </c>
      <c r="P762" s="172"/>
      <c r="Q762" s="210"/>
    </row>
    <row r="763" spans="1:17" hidden="1" x14ac:dyDescent="0.2">
      <c r="A763" s="177" t="s">
        <v>456</v>
      </c>
      <c r="B763" s="178">
        <v>2010871</v>
      </c>
      <c r="C763" s="178">
        <v>56685</v>
      </c>
      <c r="D763" s="178" t="s">
        <v>679</v>
      </c>
      <c r="E763" s="179">
        <v>63</v>
      </c>
      <c r="F763" s="179" t="str">
        <f>IF(E763&lt;=20,"0-19",
IF(E763&lt;=50,"20-49",
IF(E763&lt;=80,"50-79","80+")))</f>
        <v>50-79</v>
      </c>
      <c r="G763" s="179" t="s">
        <v>60</v>
      </c>
      <c r="H763" s="179" t="s">
        <v>22</v>
      </c>
      <c r="I763" s="179" t="s">
        <v>514</v>
      </c>
      <c r="J763" s="179" t="s">
        <v>2295</v>
      </c>
      <c r="K763" s="179" t="s">
        <v>289</v>
      </c>
      <c r="L763" s="178" t="s">
        <v>289</v>
      </c>
      <c r="M763" s="238" t="s">
        <v>623</v>
      </c>
      <c r="N763" s="158">
        <v>9025</v>
      </c>
      <c r="O763" s="122" t="s">
        <v>18</v>
      </c>
      <c r="P763" s="172"/>
      <c r="Q763" s="210"/>
    </row>
    <row r="764" spans="1:17" hidden="1" x14ac:dyDescent="0.2">
      <c r="A764" s="143" t="s">
        <v>1166</v>
      </c>
      <c r="B764" s="122">
        <v>2001893</v>
      </c>
      <c r="C764" s="122">
        <v>9046</v>
      </c>
      <c r="D764" s="122" t="s">
        <v>625</v>
      </c>
      <c r="E764" s="122">
        <v>69</v>
      </c>
      <c r="F764" s="122" t="str">
        <f>IF(E764&lt;=20,"0-19",
IF(E764&lt;=50,"20-49",
IF(E764&lt;=80,"50-79","80+")))</f>
        <v>50-79</v>
      </c>
      <c r="G764" s="122" t="s">
        <v>60</v>
      </c>
      <c r="H764" s="122" t="s">
        <v>22</v>
      </c>
      <c r="I764" s="122" t="s">
        <v>514</v>
      </c>
      <c r="J764" s="122" t="s">
        <v>2295</v>
      </c>
      <c r="K764" s="123" t="s">
        <v>1913</v>
      </c>
      <c r="L764" s="122" t="s">
        <v>1913</v>
      </c>
      <c r="M764" s="240" t="s">
        <v>623</v>
      </c>
      <c r="N764" s="124">
        <v>9500</v>
      </c>
      <c r="O764" s="124" t="s">
        <v>2254</v>
      </c>
      <c r="P764" s="147">
        <v>254714272121</v>
      </c>
      <c r="Q764" s="210"/>
    </row>
    <row r="765" spans="1:17" hidden="1" x14ac:dyDescent="0.2">
      <c r="A765" s="142" t="s">
        <v>72</v>
      </c>
      <c r="B765" s="125">
        <v>2502095</v>
      </c>
      <c r="C765" s="125">
        <v>21102</v>
      </c>
      <c r="D765" s="125" t="s">
        <v>665</v>
      </c>
      <c r="E765" s="125"/>
      <c r="F765" s="125" t="str">
        <f>IF(E765&lt;=20,"0-19",
IF(E765&lt;=50,"20-49",
IF(E765&lt;=80,"50-79","80+")))</f>
        <v>0-19</v>
      </c>
      <c r="G765" s="125" t="s">
        <v>60</v>
      </c>
      <c r="H765" s="125" t="s">
        <v>22</v>
      </c>
      <c r="I765" s="125" t="s">
        <v>514</v>
      </c>
      <c r="J765" s="125" t="s">
        <v>2295</v>
      </c>
      <c r="K765" s="119" t="s">
        <v>1913</v>
      </c>
      <c r="L765" s="125" t="s">
        <v>1913</v>
      </c>
      <c r="M765" s="239" t="s">
        <v>623</v>
      </c>
      <c r="N765" s="126">
        <v>11500</v>
      </c>
      <c r="O765" s="126" t="s">
        <v>2254</v>
      </c>
      <c r="P765" s="146">
        <v>254721472450</v>
      </c>
      <c r="Q765" s="210"/>
    </row>
    <row r="766" spans="1:17" hidden="1" x14ac:dyDescent="0.2">
      <c r="A766" s="140" t="s">
        <v>340</v>
      </c>
      <c r="B766" s="125">
        <v>2014318</v>
      </c>
      <c r="C766" s="125">
        <v>61208</v>
      </c>
      <c r="D766" s="125" t="s">
        <v>651</v>
      </c>
      <c r="E766" s="125">
        <v>61</v>
      </c>
      <c r="F766" s="125" t="str">
        <f>IF(E766&lt;=20,"0-19",
IF(E766&lt;=50,"20-49",
IF(E766&lt;=80,"50-79","80+")))</f>
        <v>50-79</v>
      </c>
      <c r="G766" s="125" t="s">
        <v>60</v>
      </c>
      <c r="H766" s="125" t="s">
        <v>22</v>
      </c>
      <c r="I766" s="125" t="s">
        <v>514</v>
      </c>
      <c r="J766" s="125" t="s">
        <v>2295</v>
      </c>
      <c r="K766" s="119" t="s">
        <v>1913</v>
      </c>
      <c r="L766" s="125" t="s">
        <v>1913</v>
      </c>
      <c r="M766" s="239" t="s">
        <v>623</v>
      </c>
      <c r="N766" s="126">
        <v>9500</v>
      </c>
      <c r="O766" s="126" t="s">
        <v>2254</v>
      </c>
      <c r="P766" s="146">
        <v>254714272121</v>
      </c>
      <c r="Q766" s="210"/>
    </row>
    <row r="767" spans="1:17" hidden="1" x14ac:dyDescent="0.2">
      <c r="A767" s="180" t="s">
        <v>700</v>
      </c>
      <c r="B767" s="176">
        <v>2001893</v>
      </c>
      <c r="C767" s="176">
        <v>9046</v>
      </c>
      <c r="D767" s="176" t="s">
        <v>625</v>
      </c>
      <c r="E767" s="176">
        <v>69</v>
      </c>
      <c r="F767" s="176" t="str">
        <f>IF(E767&lt;=20,"0-19",
IF(E767&lt;=50,"20-49",
IF(E767&lt;=80,"50-79","80+")))</f>
        <v>50-79</v>
      </c>
      <c r="G767" s="176" t="s">
        <v>60</v>
      </c>
      <c r="H767" s="176" t="s">
        <v>22</v>
      </c>
      <c r="I767" s="176" t="s">
        <v>514</v>
      </c>
      <c r="J767" s="176" t="s">
        <v>2295</v>
      </c>
      <c r="K767" s="176" t="s">
        <v>190</v>
      </c>
      <c r="L767" s="176" t="s">
        <v>190</v>
      </c>
      <c r="M767" s="241" t="s">
        <v>623</v>
      </c>
      <c r="N767" s="167">
        <v>9500</v>
      </c>
      <c r="O767" s="125" t="s">
        <v>18</v>
      </c>
      <c r="P767" s="173"/>
      <c r="Q767" s="210"/>
    </row>
    <row r="768" spans="1:17" hidden="1" x14ac:dyDescent="0.2">
      <c r="A768" s="182" t="s">
        <v>701</v>
      </c>
      <c r="B768" s="178">
        <v>2001404</v>
      </c>
      <c r="C768" s="178">
        <v>37163</v>
      </c>
      <c r="D768" s="178" t="s">
        <v>688</v>
      </c>
      <c r="E768" s="178">
        <v>63</v>
      </c>
      <c r="F768" s="178" t="str">
        <f>IF(E768&lt;=20,"0-19",
IF(E768&lt;=50,"20-49",
IF(E768&lt;=80,"50-79","80+")))</f>
        <v>50-79</v>
      </c>
      <c r="G768" s="178" t="s">
        <v>60</v>
      </c>
      <c r="H768" s="178" t="s">
        <v>22</v>
      </c>
      <c r="I768" s="178" t="s">
        <v>514</v>
      </c>
      <c r="J768" s="178" t="s">
        <v>2295</v>
      </c>
      <c r="K768" s="178" t="s">
        <v>190</v>
      </c>
      <c r="L768" s="178" t="s">
        <v>190</v>
      </c>
      <c r="M768" s="242" t="s">
        <v>623</v>
      </c>
      <c r="N768" s="158">
        <v>13000</v>
      </c>
      <c r="O768" s="122" t="s">
        <v>18</v>
      </c>
      <c r="P768" s="172"/>
      <c r="Q768" s="210"/>
    </row>
    <row r="769" spans="1:17" ht="21" hidden="1" x14ac:dyDescent="0.2">
      <c r="A769" s="142" t="s">
        <v>544</v>
      </c>
      <c r="B769" s="125">
        <v>2003908</v>
      </c>
      <c r="C769" s="125">
        <v>15158</v>
      </c>
      <c r="D769" s="125" t="s">
        <v>693</v>
      </c>
      <c r="E769" s="125">
        <v>65</v>
      </c>
      <c r="F769" s="125" t="str">
        <f>IF(E769&lt;=20,"0-19",
IF(E769&lt;=50,"20-49",
IF(E769&lt;=80,"50-79","80+")))</f>
        <v>50-79</v>
      </c>
      <c r="G769" s="125" t="s">
        <v>60</v>
      </c>
      <c r="H769" s="125" t="s">
        <v>22</v>
      </c>
      <c r="I769" s="125" t="s">
        <v>514</v>
      </c>
      <c r="J769" s="125" t="s">
        <v>2295</v>
      </c>
      <c r="K769" s="119" t="s">
        <v>2050</v>
      </c>
      <c r="L769" s="125" t="s">
        <v>1922</v>
      </c>
      <c r="M769" s="239" t="s">
        <v>623</v>
      </c>
      <c r="N769" s="126">
        <v>268400</v>
      </c>
      <c r="O769" s="126" t="s">
        <v>2254</v>
      </c>
      <c r="P769" s="146">
        <v>254720659401</v>
      </c>
      <c r="Q769" s="210"/>
    </row>
    <row r="770" spans="1:17" hidden="1" x14ac:dyDescent="0.2">
      <c r="A770" s="142" t="s">
        <v>1560</v>
      </c>
      <c r="B770" s="125">
        <v>2019634</v>
      </c>
      <c r="C770" s="125">
        <v>42684</v>
      </c>
      <c r="D770" s="125" t="s">
        <v>628</v>
      </c>
      <c r="E770" s="125">
        <v>69</v>
      </c>
      <c r="F770" s="125" t="str">
        <f>IF(E770&lt;=20,"0-19",
IF(E770&lt;=50,"20-49",
IF(E770&lt;=80,"50-79","80+")))</f>
        <v>50-79</v>
      </c>
      <c r="G770" s="125" t="s">
        <v>60</v>
      </c>
      <c r="H770" s="125" t="s">
        <v>15</v>
      </c>
      <c r="I770" s="125" t="s">
        <v>514</v>
      </c>
      <c r="J770" s="125" t="s">
        <v>2295</v>
      </c>
      <c r="K770" s="119" t="s">
        <v>1922</v>
      </c>
      <c r="L770" s="125" t="s">
        <v>1922</v>
      </c>
      <c r="M770" s="239" t="s">
        <v>623</v>
      </c>
      <c r="N770" s="126">
        <v>10650</v>
      </c>
      <c r="O770" s="126" t="s">
        <v>2254</v>
      </c>
      <c r="P770" s="146">
        <v>254714232051</v>
      </c>
      <c r="Q770" s="210"/>
    </row>
    <row r="771" spans="1:17" hidden="1" x14ac:dyDescent="0.2">
      <c r="A771" s="155" t="s">
        <v>687</v>
      </c>
      <c r="B771" s="198">
        <v>2001404</v>
      </c>
      <c r="C771" s="198">
        <v>37163</v>
      </c>
      <c r="D771" s="198" t="s">
        <v>688</v>
      </c>
      <c r="E771" s="198">
        <v>63</v>
      </c>
      <c r="F771" s="198" t="str">
        <f>IF(E771&lt;=20,"0-19",
IF(E771&lt;=50,"20-49",
IF(E771&lt;=80,"50-79","80+")))</f>
        <v>50-79</v>
      </c>
      <c r="G771" s="198" t="s">
        <v>126</v>
      </c>
      <c r="H771" s="198" t="s">
        <v>664</v>
      </c>
      <c r="I771" s="198" t="s">
        <v>689</v>
      </c>
      <c r="J771" s="198" t="s">
        <v>2295</v>
      </c>
      <c r="K771" s="196" t="s">
        <v>121</v>
      </c>
      <c r="L771" s="196" t="s">
        <v>121</v>
      </c>
      <c r="M771" s="243" t="s">
        <v>623</v>
      </c>
      <c r="N771" s="203">
        <v>13000</v>
      </c>
      <c r="O771" s="122" t="s">
        <v>18</v>
      </c>
      <c r="P771" s="172"/>
      <c r="Q771" s="210"/>
    </row>
    <row r="772" spans="1:17" hidden="1" x14ac:dyDescent="0.2">
      <c r="A772" s="155" t="s">
        <v>340</v>
      </c>
      <c r="B772" s="118">
        <v>2014318</v>
      </c>
      <c r="C772" s="125">
        <v>61208</v>
      </c>
      <c r="D772" s="118" t="s">
        <v>1169</v>
      </c>
      <c r="E772" s="118">
        <v>62</v>
      </c>
      <c r="F772" s="118" t="str">
        <f>IF(E772&lt;=20,"0-19",
IF(E772&lt;=50,"20-49",
IF(E772&lt;=80,"50-79","80+")))</f>
        <v>50-79</v>
      </c>
      <c r="G772" s="118" t="s">
        <v>60</v>
      </c>
      <c r="H772" s="118" t="s">
        <v>22</v>
      </c>
      <c r="I772" s="118" t="s">
        <v>1170</v>
      </c>
      <c r="J772" s="118" t="s">
        <v>2295</v>
      </c>
      <c r="K772" s="118" t="s">
        <v>835</v>
      </c>
      <c r="L772" s="118" t="s">
        <v>835</v>
      </c>
      <c r="M772" s="239" t="s">
        <v>623</v>
      </c>
      <c r="N772" s="160">
        <v>9500</v>
      </c>
      <c r="O772" s="125" t="s">
        <v>832</v>
      </c>
      <c r="P772" s="173"/>
      <c r="Q772" s="210"/>
    </row>
    <row r="773" spans="1:17" hidden="1" x14ac:dyDescent="0.2">
      <c r="A773" s="141" t="s">
        <v>340</v>
      </c>
      <c r="B773" s="122">
        <v>2014318</v>
      </c>
      <c r="C773" s="122">
        <v>61208</v>
      </c>
      <c r="D773" s="122" t="s">
        <v>651</v>
      </c>
      <c r="E773" s="122">
        <v>63</v>
      </c>
      <c r="F773" s="122" t="str">
        <f>IF(E773&lt;=20,"0-19",
IF(E773&lt;=50,"20-49",
IF(E773&lt;=80,"50-79","80+")))</f>
        <v>50-79</v>
      </c>
      <c r="G773" s="122" t="s">
        <v>60</v>
      </c>
      <c r="H773" s="122" t="s">
        <v>22</v>
      </c>
      <c r="I773" s="122" t="s">
        <v>1907</v>
      </c>
      <c r="J773" s="122" t="s">
        <v>2295</v>
      </c>
      <c r="K773" s="123" t="s">
        <v>1908</v>
      </c>
      <c r="L773" s="122" t="s">
        <v>1908</v>
      </c>
      <c r="M773" s="240" t="s">
        <v>623</v>
      </c>
      <c r="N773" s="124">
        <v>9500</v>
      </c>
      <c r="O773" s="124" t="s">
        <v>2254</v>
      </c>
      <c r="P773" s="147">
        <v>254722849332</v>
      </c>
      <c r="Q773" s="210"/>
    </row>
    <row r="774" spans="1:17" hidden="1" x14ac:dyDescent="0.2">
      <c r="A774" s="155" t="s">
        <v>68</v>
      </c>
      <c r="B774" s="125">
        <v>2002953</v>
      </c>
      <c r="C774" s="125">
        <v>18654</v>
      </c>
      <c r="D774" s="125" t="s">
        <v>657</v>
      </c>
      <c r="E774" s="125">
        <v>63</v>
      </c>
      <c r="F774" s="125" t="str">
        <f>IF(E774&lt;=20,"0-19",
IF(E774&lt;=50,"20-49",
IF(E774&lt;=80,"50-79","80+")))</f>
        <v>50-79</v>
      </c>
      <c r="G774" s="125" t="s">
        <v>60</v>
      </c>
      <c r="H774" s="125" t="s">
        <v>22</v>
      </c>
      <c r="I774" s="119" t="s">
        <v>1168</v>
      </c>
      <c r="J774" s="119" t="s">
        <v>2295</v>
      </c>
      <c r="K774" s="119" t="s">
        <v>834</v>
      </c>
      <c r="L774" s="125" t="s">
        <v>834</v>
      </c>
      <c r="M774" s="239" t="s">
        <v>623</v>
      </c>
      <c r="N774" s="162">
        <v>12394</v>
      </c>
      <c r="O774" s="125" t="s">
        <v>832</v>
      </c>
      <c r="P774" s="173"/>
      <c r="Q774" s="210"/>
    </row>
    <row r="775" spans="1:17" hidden="1" x14ac:dyDescent="0.2">
      <c r="A775" s="155" t="s">
        <v>68</v>
      </c>
      <c r="B775" s="125">
        <v>2002953</v>
      </c>
      <c r="C775" s="125">
        <v>18654</v>
      </c>
      <c r="D775" s="125" t="s">
        <v>657</v>
      </c>
      <c r="E775" s="125">
        <v>63</v>
      </c>
      <c r="F775" s="125" t="str">
        <f>IF(E775&lt;=20,"0-19",
IF(E775&lt;=50,"20-49",
IF(E775&lt;=80,"50-79","80+")))</f>
        <v>50-79</v>
      </c>
      <c r="G775" s="125" t="s">
        <v>60</v>
      </c>
      <c r="H775" s="125" t="s">
        <v>22</v>
      </c>
      <c r="I775" s="119" t="s">
        <v>1168</v>
      </c>
      <c r="J775" s="119" t="s">
        <v>2295</v>
      </c>
      <c r="K775" s="119" t="s">
        <v>851</v>
      </c>
      <c r="L775" s="125" t="s">
        <v>851</v>
      </c>
      <c r="M775" s="239" t="s">
        <v>623</v>
      </c>
      <c r="N775" s="162">
        <v>12369</v>
      </c>
      <c r="O775" s="125" t="s">
        <v>832</v>
      </c>
      <c r="P775" s="173"/>
      <c r="Q775" s="210"/>
    </row>
    <row r="776" spans="1:17" hidden="1" x14ac:dyDescent="0.2">
      <c r="A776" s="142" t="s">
        <v>68</v>
      </c>
      <c r="B776" s="119">
        <v>2002953</v>
      </c>
      <c r="C776" s="125">
        <v>18654</v>
      </c>
      <c r="D776" s="119" t="s">
        <v>1573</v>
      </c>
      <c r="E776" s="119">
        <v>63</v>
      </c>
      <c r="F776" s="119" t="str">
        <f>IF(E776&lt;=20,"0-19",
IF(E776&lt;=50,"20-49",
IF(E776&lt;=80,"50-79","80+")))</f>
        <v>50-79</v>
      </c>
      <c r="G776" s="118" t="s">
        <v>60</v>
      </c>
      <c r="H776" s="118" t="s">
        <v>22</v>
      </c>
      <c r="I776" s="119" t="s">
        <v>1931</v>
      </c>
      <c r="J776" s="119" t="s">
        <v>2295</v>
      </c>
      <c r="K776" s="119" t="s">
        <v>1911</v>
      </c>
      <c r="L776" s="119" t="s">
        <v>1911</v>
      </c>
      <c r="M776" s="239" t="s">
        <v>623</v>
      </c>
      <c r="N776" s="120">
        <v>14895</v>
      </c>
      <c r="O776" s="120" t="s">
        <v>2254</v>
      </c>
      <c r="P776" s="146">
        <v>254728114821</v>
      </c>
      <c r="Q776" s="210"/>
    </row>
    <row r="777" spans="1:17" ht="21" hidden="1" x14ac:dyDescent="0.2">
      <c r="A777" s="155" t="s">
        <v>68</v>
      </c>
      <c r="B777" s="197">
        <v>2002953</v>
      </c>
      <c r="C777" s="197">
        <v>18654</v>
      </c>
      <c r="D777" s="198" t="s">
        <v>654</v>
      </c>
      <c r="E777" s="197">
        <v>60</v>
      </c>
      <c r="F777" s="197" t="str">
        <f>IF(E777&lt;=20,"0-19",
IF(E777&lt;=50,"20-49",
IF(E777&lt;=80,"50-79","80+")))</f>
        <v>50-79</v>
      </c>
      <c r="G777" s="197" t="s">
        <v>60</v>
      </c>
      <c r="H777" s="197" t="s">
        <v>22</v>
      </c>
      <c r="I777" s="198" t="s">
        <v>644</v>
      </c>
      <c r="J777" s="198" t="s">
        <v>2295</v>
      </c>
      <c r="K777" s="198" t="s">
        <v>656</v>
      </c>
      <c r="L777" s="197" t="s">
        <v>57</v>
      </c>
      <c r="M777" s="243" t="s">
        <v>623</v>
      </c>
      <c r="N777" s="202">
        <v>11944</v>
      </c>
      <c r="O777" s="125" t="s">
        <v>18</v>
      </c>
      <c r="P777" s="173"/>
      <c r="Q777" s="210"/>
    </row>
    <row r="778" spans="1:17" ht="21" hidden="1" x14ac:dyDescent="0.2">
      <c r="A778" s="144" t="s">
        <v>75</v>
      </c>
      <c r="B778" s="197">
        <v>2002754</v>
      </c>
      <c r="C778" s="197">
        <v>11467</v>
      </c>
      <c r="D778" s="198" t="s">
        <v>636</v>
      </c>
      <c r="E778" s="197">
        <v>70</v>
      </c>
      <c r="F778" s="197" t="str">
        <f>IF(E778&lt;=20,"0-19",
IF(E778&lt;=50,"20-49",
IF(E778&lt;=80,"50-79","80+")))</f>
        <v>50-79</v>
      </c>
      <c r="G778" s="197" t="s">
        <v>60</v>
      </c>
      <c r="H778" s="197" t="s">
        <v>22</v>
      </c>
      <c r="I778" s="198" t="s">
        <v>644</v>
      </c>
      <c r="J778" s="198" t="s">
        <v>2295</v>
      </c>
      <c r="K778" s="198" t="s">
        <v>674</v>
      </c>
      <c r="L778" s="197" t="s">
        <v>36</v>
      </c>
      <c r="M778" s="243" t="s">
        <v>623</v>
      </c>
      <c r="N778" s="202">
        <v>9025</v>
      </c>
      <c r="O778" s="122" t="s">
        <v>18</v>
      </c>
      <c r="P778" s="172"/>
      <c r="Q778" s="210"/>
    </row>
    <row r="779" spans="1:17" ht="21" hidden="1" x14ac:dyDescent="0.2">
      <c r="A779" s="156" t="s">
        <v>228</v>
      </c>
      <c r="B779" s="118">
        <v>2005037</v>
      </c>
      <c r="C779" s="118">
        <v>5326</v>
      </c>
      <c r="D779" s="118" t="s">
        <v>643</v>
      </c>
      <c r="E779" s="118">
        <v>18</v>
      </c>
      <c r="F779" s="118" t="str">
        <f>IF(E779&lt;=20,"0-19",
IF(E779&lt;=50,"20-49",
IF(E779&lt;=80,"50-79","80+")))</f>
        <v>0-19</v>
      </c>
      <c r="G779" s="118" t="s">
        <v>60</v>
      </c>
      <c r="H779" s="118" t="s">
        <v>132</v>
      </c>
      <c r="I779" s="118" t="s">
        <v>644</v>
      </c>
      <c r="J779" s="118" t="s">
        <v>2295</v>
      </c>
      <c r="K779" s="118" t="s">
        <v>645</v>
      </c>
      <c r="L779" s="118" t="s">
        <v>99</v>
      </c>
      <c r="M779" s="241" t="s">
        <v>623</v>
      </c>
      <c r="N779" s="160">
        <v>6275.31</v>
      </c>
      <c r="O779" s="125" t="s">
        <v>18</v>
      </c>
      <c r="P779" s="173"/>
      <c r="Q779" s="210"/>
    </row>
    <row r="780" spans="1:17" ht="31.5" hidden="1" x14ac:dyDescent="0.2">
      <c r="A780" s="156" t="s">
        <v>228</v>
      </c>
      <c r="B780" s="122">
        <v>2005037</v>
      </c>
      <c r="C780" s="122">
        <v>5326</v>
      </c>
      <c r="D780" s="122" t="s">
        <v>643</v>
      </c>
      <c r="E780" s="123">
        <v>18</v>
      </c>
      <c r="F780" s="123" t="str">
        <f>IF(E780&lt;=20,"0-19",
IF(E780&lt;=50,"20-49",
IF(E780&lt;=80,"50-79","80+")))</f>
        <v>0-19</v>
      </c>
      <c r="G780" s="122" t="s">
        <v>60</v>
      </c>
      <c r="H780" s="122" t="s">
        <v>132</v>
      </c>
      <c r="I780" s="122" t="s">
        <v>644</v>
      </c>
      <c r="J780" s="122" t="s">
        <v>2295</v>
      </c>
      <c r="K780" s="123" t="s">
        <v>646</v>
      </c>
      <c r="L780" s="123" t="s">
        <v>66</v>
      </c>
      <c r="M780" s="240" t="s">
        <v>623</v>
      </c>
      <c r="N780" s="157">
        <v>6402.78</v>
      </c>
      <c r="O780" s="122" t="s">
        <v>18</v>
      </c>
      <c r="P780" s="172"/>
      <c r="Q780" s="210"/>
    </row>
    <row r="781" spans="1:17" hidden="1" x14ac:dyDescent="0.2">
      <c r="A781" s="155" t="s">
        <v>68</v>
      </c>
      <c r="B781" s="197">
        <v>2002952</v>
      </c>
      <c r="C781" s="197">
        <v>18654</v>
      </c>
      <c r="D781" s="198" t="s">
        <v>654</v>
      </c>
      <c r="E781" s="197">
        <v>60</v>
      </c>
      <c r="F781" s="197" t="str">
        <f>IF(E781&lt;=20,"0-19",
IF(E781&lt;=50,"20-49",
IF(E781&lt;=80,"50-79","80+")))</f>
        <v>50-79</v>
      </c>
      <c r="G781" s="197" t="s">
        <v>60</v>
      </c>
      <c r="H781" s="197" t="s">
        <v>22</v>
      </c>
      <c r="I781" s="198" t="s">
        <v>655</v>
      </c>
      <c r="J781" s="198" t="s">
        <v>2295</v>
      </c>
      <c r="K781" s="198" t="s">
        <v>51</v>
      </c>
      <c r="L781" s="197" t="s">
        <v>51</v>
      </c>
      <c r="M781" s="243" t="s">
        <v>623</v>
      </c>
      <c r="N781" s="202">
        <v>12260</v>
      </c>
      <c r="O781" s="122" t="s">
        <v>18</v>
      </c>
      <c r="P781" s="172"/>
      <c r="Q781" s="210"/>
    </row>
    <row r="782" spans="1:17" hidden="1" x14ac:dyDescent="0.2">
      <c r="A782" s="155" t="s">
        <v>1502</v>
      </c>
      <c r="B782" s="125">
        <v>2002754</v>
      </c>
      <c r="C782" s="125">
        <v>11467</v>
      </c>
      <c r="D782" s="125" t="s">
        <v>671</v>
      </c>
      <c r="E782" s="125">
        <v>74</v>
      </c>
      <c r="F782" s="125" t="str">
        <f>IF(E782&lt;=20,"0-19",
IF(E782&lt;=50,"20-49",
IF(E782&lt;=80,"50-79","80+")))</f>
        <v>50-79</v>
      </c>
      <c r="G782" s="125" t="s">
        <v>60</v>
      </c>
      <c r="H782" s="125" t="s">
        <v>22</v>
      </c>
      <c r="I782" s="119" t="s">
        <v>655</v>
      </c>
      <c r="J782" s="119" t="s">
        <v>2295</v>
      </c>
      <c r="K782" s="119" t="s">
        <v>901</v>
      </c>
      <c r="L782" s="125" t="s">
        <v>901</v>
      </c>
      <c r="M782" s="239" t="s">
        <v>623</v>
      </c>
      <c r="N782" s="162">
        <v>9025</v>
      </c>
      <c r="O782" s="125" t="s">
        <v>832</v>
      </c>
      <c r="P782" s="173"/>
      <c r="Q782" s="210"/>
    </row>
    <row r="783" spans="1:17" hidden="1" x14ac:dyDescent="0.2">
      <c r="A783" s="155" t="s">
        <v>68</v>
      </c>
      <c r="B783" s="121">
        <v>2002953</v>
      </c>
      <c r="C783" s="121">
        <v>18654</v>
      </c>
      <c r="D783" s="121" t="s">
        <v>657</v>
      </c>
      <c r="E783" s="121">
        <v>60</v>
      </c>
      <c r="F783" s="121" t="str">
        <f>IF(E783&lt;=20,"0-19",
IF(E783&lt;=50,"20-49",
IF(E783&lt;=80,"50-79","80+")))</f>
        <v>50-79</v>
      </c>
      <c r="G783" s="121" t="s">
        <v>60</v>
      </c>
      <c r="H783" s="121" t="s">
        <v>22</v>
      </c>
      <c r="I783" s="121" t="s">
        <v>655</v>
      </c>
      <c r="J783" s="121" t="s">
        <v>2295</v>
      </c>
      <c r="K783" s="121" t="s">
        <v>99</v>
      </c>
      <c r="L783" s="121" t="s">
        <v>99</v>
      </c>
      <c r="M783" s="242" t="s">
        <v>623</v>
      </c>
      <c r="N783" s="191">
        <v>10807</v>
      </c>
      <c r="O783" s="122" t="s">
        <v>18</v>
      </c>
      <c r="P783" s="172"/>
      <c r="Q783" s="210"/>
    </row>
    <row r="784" spans="1:17" ht="21" hidden="1" x14ac:dyDescent="0.2">
      <c r="A784" s="144" t="s">
        <v>75</v>
      </c>
      <c r="B784" s="122">
        <v>2002754</v>
      </c>
      <c r="C784" s="122">
        <v>11467</v>
      </c>
      <c r="D784" s="122" t="s">
        <v>671</v>
      </c>
      <c r="E784" s="123">
        <v>74</v>
      </c>
      <c r="F784" s="123" t="str">
        <f>IF(E784&lt;=20,"0-19",
IF(E784&lt;=50,"20-49",
IF(E784&lt;=80,"50-79","80+")))</f>
        <v>50-79</v>
      </c>
      <c r="G784" s="122" t="s">
        <v>60</v>
      </c>
      <c r="H784" s="122" t="s">
        <v>22</v>
      </c>
      <c r="I784" s="122" t="s">
        <v>655</v>
      </c>
      <c r="J784" s="122" t="s">
        <v>2295</v>
      </c>
      <c r="K784" s="123" t="s">
        <v>672</v>
      </c>
      <c r="L784" s="123" t="s">
        <v>66</v>
      </c>
      <c r="M784" s="240" t="s">
        <v>623</v>
      </c>
      <c r="N784" s="157">
        <v>9025</v>
      </c>
      <c r="O784" s="122" t="s">
        <v>18</v>
      </c>
      <c r="P784" s="172"/>
      <c r="Q784" s="210"/>
    </row>
    <row r="785" spans="1:17" hidden="1" x14ac:dyDescent="0.2">
      <c r="A785" s="155" t="s">
        <v>12</v>
      </c>
      <c r="B785" s="125">
        <v>2001893</v>
      </c>
      <c r="C785" s="125">
        <v>9046</v>
      </c>
      <c r="D785" s="125" t="s">
        <v>625</v>
      </c>
      <c r="E785" s="125">
        <v>69</v>
      </c>
      <c r="F785" s="125" t="str">
        <f>IF(E785&lt;=20,"0-19",
IF(E785&lt;=50,"20-49",
IF(E785&lt;=80,"50-79","80+")))</f>
        <v>50-79</v>
      </c>
      <c r="G785" s="125" t="s">
        <v>60</v>
      </c>
      <c r="H785" s="125" t="s">
        <v>22</v>
      </c>
      <c r="I785" s="119" t="s">
        <v>1167</v>
      </c>
      <c r="J785" s="119" t="s">
        <v>2295</v>
      </c>
      <c r="K785" s="119" t="s">
        <v>846</v>
      </c>
      <c r="L785" s="125" t="s">
        <v>846</v>
      </c>
      <c r="M785" s="239" t="s">
        <v>623</v>
      </c>
      <c r="N785" s="162">
        <v>9500</v>
      </c>
      <c r="O785" s="125" t="s">
        <v>832</v>
      </c>
      <c r="P785" s="172"/>
      <c r="Q785" s="210"/>
    </row>
    <row r="786" spans="1:17" hidden="1" x14ac:dyDescent="0.2">
      <c r="A786" s="155" t="s">
        <v>319</v>
      </c>
      <c r="B786" s="196">
        <v>2001823</v>
      </c>
      <c r="C786" s="196">
        <v>10576</v>
      </c>
      <c r="D786" s="196" t="s">
        <v>629</v>
      </c>
      <c r="E786" s="196">
        <v>71</v>
      </c>
      <c r="F786" s="196" t="str">
        <f>IF(E786&lt;=20,"0-19",
IF(E786&lt;=50,"20-49",
IF(E786&lt;=80,"50-79","80+")))</f>
        <v>50-79</v>
      </c>
      <c r="G786" s="196" t="s">
        <v>126</v>
      </c>
      <c r="H786" s="196" t="s">
        <v>22</v>
      </c>
      <c r="I786" s="196" t="s">
        <v>622</v>
      </c>
      <c r="J786" s="119" t="s">
        <v>2295</v>
      </c>
      <c r="K786" s="196" t="s">
        <v>17</v>
      </c>
      <c r="L786" s="196" t="s">
        <v>17</v>
      </c>
      <c r="M786" s="243" t="s">
        <v>623</v>
      </c>
      <c r="N786" s="201">
        <v>10650</v>
      </c>
      <c r="O786" s="122" t="s">
        <v>18</v>
      </c>
      <c r="P786" s="172"/>
      <c r="Q786" s="210"/>
    </row>
    <row r="787" spans="1:17" hidden="1" x14ac:dyDescent="0.2">
      <c r="A787" s="156" t="s">
        <v>12</v>
      </c>
      <c r="B787" s="196">
        <v>2001893</v>
      </c>
      <c r="C787" s="196">
        <v>9046</v>
      </c>
      <c r="D787" s="196" t="s">
        <v>621</v>
      </c>
      <c r="E787" s="196">
        <v>69</v>
      </c>
      <c r="F787" s="196" t="str">
        <f>IF(E787&lt;=20,"0-19",
IF(E787&lt;=50,"20-49",
IF(E787&lt;=80,"50-79","80+")))</f>
        <v>50-79</v>
      </c>
      <c r="G787" s="196" t="s">
        <v>126</v>
      </c>
      <c r="H787" s="196" t="s">
        <v>22</v>
      </c>
      <c r="I787" s="196" t="s">
        <v>622</v>
      </c>
      <c r="J787" s="119" t="s">
        <v>2295</v>
      </c>
      <c r="K787" s="196" t="s">
        <v>104</v>
      </c>
      <c r="L787" s="196" t="s">
        <v>104</v>
      </c>
      <c r="M787" s="243" t="s">
        <v>623</v>
      </c>
      <c r="N787" s="201">
        <v>9500</v>
      </c>
      <c r="O787" s="122" t="s">
        <v>18</v>
      </c>
      <c r="P787" s="172"/>
      <c r="Q787" s="210"/>
    </row>
    <row r="788" spans="1:17" hidden="1" x14ac:dyDescent="0.2">
      <c r="A788" s="142" t="s">
        <v>68</v>
      </c>
      <c r="B788" s="119">
        <v>2002953</v>
      </c>
      <c r="C788" s="125">
        <v>18654</v>
      </c>
      <c r="D788" s="119" t="s">
        <v>1573</v>
      </c>
      <c r="E788" s="119">
        <v>63</v>
      </c>
      <c r="F788" s="119" t="str">
        <f>IF(E788&lt;=20,"0-19",
IF(E788&lt;=50,"20-49",
IF(E788&lt;=80,"50-79","80+")))</f>
        <v>50-79</v>
      </c>
      <c r="G788" s="119" t="s">
        <v>126</v>
      </c>
      <c r="H788" s="119" t="s">
        <v>22</v>
      </c>
      <c r="I788" s="119" t="s">
        <v>1544</v>
      </c>
      <c r="J788" s="119" t="s">
        <v>2295</v>
      </c>
      <c r="K788" s="119" t="s">
        <v>1562</v>
      </c>
      <c r="L788" s="119" t="s">
        <v>1562</v>
      </c>
      <c r="M788" s="239" t="s">
        <v>623</v>
      </c>
      <c r="N788" s="129">
        <v>11484</v>
      </c>
      <c r="O788" s="129" t="s">
        <v>2254</v>
      </c>
      <c r="P788" s="146">
        <v>254715509227</v>
      </c>
      <c r="Q788" s="210"/>
    </row>
    <row r="789" spans="1:17" hidden="1" x14ac:dyDescent="0.2">
      <c r="A789" s="143" t="s">
        <v>72</v>
      </c>
      <c r="B789" s="196">
        <v>2502095</v>
      </c>
      <c r="C789" s="196">
        <v>21102</v>
      </c>
      <c r="D789" s="196" t="s">
        <v>663</v>
      </c>
      <c r="E789" s="196">
        <v>57</v>
      </c>
      <c r="F789" s="196" t="str">
        <f>IF(E789&lt;=20,"0-19",
IF(E789&lt;=50,"20-49",
IF(E789&lt;=80,"50-79","80+")))</f>
        <v>50-79</v>
      </c>
      <c r="G789" s="196" t="s">
        <v>126</v>
      </c>
      <c r="H789" s="196" t="s">
        <v>664</v>
      </c>
      <c r="I789" s="196" t="s">
        <v>622</v>
      </c>
      <c r="J789" s="119" t="s">
        <v>2295</v>
      </c>
      <c r="K789" s="196" t="s">
        <v>121</v>
      </c>
      <c r="L789" s="196" t="s">
        <v>121</v>
      </c>
      <c r="M789" s="243" t="s">
        <v>623</v>
      </c>
      <c r="N789" s="201">
        <v>11500</v>
      </c>
      <c r="O789" s="122" t="s">
        <v>18</v>
      </c>
      <c r="P789" s="172"/>
      <c r="Q789" s="210"/>
    </row>
    <row r="790" spans="1:17" hidden="1" x14ac:dyDescent="0.2">
      <c r="A790" s="143" t="s">
        <v>1502</v>
      </c>
      <c r="B790" s="122">
        <v>2002754</v>
      </c>
      <c r="C790" s="122">
        <v>11467</v>
      </c>
      <c r="D790" s="122" t="s">
        <v>636</v>
      </c>
      <c r="E790" s="122">
        <v>73</v>
      </c>
      <c r="F790" s="122" t="str">
        <f>IF(E790&lt;=20,"0-19",
IF(E790&lt;=50,"20-49",
IF(E790&lt;=80,"50-79","80+")))</f>
        <v>50-79</v>
      </c>
      <c r="G790" s="122" t="s">
        <v>126</v>
      </c>
      <c r="H790" s="122" t="s">
        <v>664</v>
      </c>
      <c r="I790" s="123" t="s">
        <v>1544</v>
      </c>
      <c r="J790" s="119" t="s">
        <v>2295</v>
      </c>
      <c r="K790" s="122" t="s">
        <v>1545</v>
      </c>
      <c r="L790" s="122" t="s">
        <v>1546</v>
      </c>
      <c r="M790" s="240" t="s">
        <v>623</v>
      </c>
      <c r="N790" s="124">
        <v>9025</v>
      </c>
      <c r="O790" s="124" t="s">
        <v>2254</v>
      </c>
      <c r="P790" s="147">
        <v>254720659401</v>
      </c>
      <c r="Q790" s="210"/>
    </row>
    <row r="791" spans="1:17" hidden="1" x14ac:dyDescent="0.2">
      <c r="A791" s="155" t="s">
        <v>544</v>
      </c>
      <c r="B791" s="118">
        <v>2012620</v>
      </c>
      <c r="C791" s="125">
        <v>102835</v>
      </c>
      <c r="D791" s="118" t="s">
        <v>1469</v>
      </c>
      <c r="E791" s="118">
        <v>68</v>
      </c>
      <c r="F791" s="118" t="str">
        <f>IF(E791&lt;=20,"0-19",
IF(E791&lt;=50,"20-49",
IF(E791&lt;=80,"50-79","80+")))</f>
        <v>50-79</v>
      </c>
      <c r="G791" s="118" t="s">
        <v>49</v>
      </c>
      <c r="H791" s="118" t="s">
        <v>15</v>
      </c>
      <c r="I791" s="118" t="s">
        <v>622</v>
      </c>
      <c r="J791" s="119" t="s">
        <v>2295</v>
      </c>
      <c r="K791" s="118" t="s">
        <v>1232</v>
      </c>
      <c r="L791" s="118" t="s">
        <v>1232</v>
      </c>
      <c r="M791" s="239" t="s">
        <v>623</v>
      </c>
      <c r="N791" s="160">
        <v>9500</v>
      </c>
      <c r="O791" s="125" t="s">
        <v>832</v>
      </c>
      <c r="P791" s="172"/>
      <c r="Q791" s="210"/>
    </row>
    <row r="792" spans="1:17" hidden="1" x14ac:dyDescent="0.2">
      <c r="A792" s="142" t="s">
        <v>274</v>
      </c>
      <c r="B792" s="119">
        <v>2405040</v>
      </c>
      <c r="C792" s="125">
        <v>31911</v>
      </c>
      <c r="D792" s="119" t="s">
        <v>1904</v>
      </c>
      <c r="E792" s="119">
        <v>64</v>
      </c>
      <c r="F792" s="119" t="str">
        <f>IF(E792&lt;=20,"0-19",
IF(E792&lt;=50,"20-49",
IF(E792&lt;=80,"50-79","80+")))</f>
        <v>50-79</v>
      </c>
      <c r="G792" s="118" t="s">
        <v>126</v>
      </c>
      <c r="H792" s="118" t="s">
        <v>664</v>
      </c>
      <c r="I792" s="119" t="s">
        <v>1905</v>
      </c>
      <c r="J792" s="119" t="s">
        <v>2304</v>
      </c>
      <c r="K792" s="118" t="s">
        <v>1906</v>
      </c>
      <c r="L792" s="118" t="s">
        <v>1906</v>
      </c>
      <c r="M792" s="241" t="s">
        <v>702</v>
      </c>
      <c r="N792" s="129">
        <v>9025</v>
      </c>
      <c r="O792" s="129" t="s">
        <v>2254</v>
      </c>
      <c r="P792" s="146">
        <v>254729953155</v>
      </c>
      <c r="Q792" s="210"/>
    </row>
    <row r="793" spans="1:17" hidden="1" x14ac:dyDescent="0.2">
      <c r="A793" s="156" t="s">
        <v>12</v>
      </c>
      <c r="B793" s="125">
        <v>2001893</v>
      </c>
      <c r="C793" s="125">
        <v>9046</v>
      </c>
      <c r="D793" s="125" t="s">
        <v>625</v>
      </c>
      <c r="E793" s="119">
        <v>69</v>
      </c>
      <c r="F793" s="119" t="str">
        <f>IF(E793&lt;=20,"0-19",
IF(E793&lt;=50,"20-49",
IF(E793&lt;=80,"50-79","80+")))</f>
        <v>50-79</v>
      </c>
      <c r="G793" s="125" t="s">
        <v>126</v>
      </c>
      <c r="H793" s="125" t="s">
        <v>664</v>
      </c>
      <c r="I793" s="125" t="s">
        <v>514</v>
      </c>
      <c r="J793" s="125" t="s">
        <v>2295</v>
      </c>
      <c r="K793" s="119" t="s">
        <v>95</v>
      </c>
      <c r="L793" s="119" t="s">
        <v>95</v>
      </c>
      <c r="M793" s="239" t="s">
        <v>702</v>
      </c>
      <c r="N793" s="165">
        <v>9500</v>
      </c>
      <c r="O793" s="125" t="s">
        <v>18</v>
      </c>
      <c r="P793" s="173"/>
      <c r="Q793" s="210"/>
    </row>
    <row r="794" spans="1:17" hidden="1" x14ac:dyDescent="0.2">
      <c r="A794" s="155" t="s">
        <v>142</v>
      </c>
      <c r="B794" s="122">
        <v>2017509</v>
      </c>
      <c r="C794" s="122">
        <v>19309</v>
      </c>
      <c r="D794" s="122" t="s">
        <v>703</v>
      </c>
      <c r="E794" s="123">
        <v>63</v>
      </c>
      <c r="F794" s="123" t="str">
        <f>IF(E794&lt;=20,"0-19",
IF(E794&lt;=50,"20-49",
IF(E794&lt;=80,"50-79","80+")))</f>
        <v>50-79</v>
      </c>
      <c r="G794" s="122" t="s">
        <v>126</v>
      </c>
      <c r="H794" s="122" t="s">
        <v>664</v>
      </c>
      <c r="I794" s="122" t="s">
        <v>514</v>
      </c>
      <c r="J794" s="122" t="s">
        <v>2295</v>
      </c>
      <c r="K794" s="123" t="s">
        <v>95</v>
      </c>
      <c r="L794" s="123" t="s">
        <v>95</v>
      </c>
      <c r="M794" s="240" t="s">
        <v>702</v>
      </c>
      <c r="N794" s="157">
        <v>8500</v>
      </c>
      <c r="O794" s="122" t="s">
        <v>18</v>
      </c>
      <c r="P794" s="172"/>
      <c r="Q794" s="210"/>
    </row>
    <row r="795" spans="1:17" hidden="1" x14ac:dyDescent="0.2">
      <c r="A795" s="143" t="s">
        <v>1565</v>
      </c>
      <c r="B795" s="121">
        <v>2002228</v>
      </c>
      <c r="C795" s="122">
        <v>31315</v>
      </c>
      <c r="D795" s="121" t="s">
        <v>1920</v>
      </c>
      <c r="E795" s="121">
        <v>72</v>
      </c>
      <c r="F795" s="121" t="str">
        <f>IF(E795&lt;=20,"0-19",
IF(E795&lt;=50,"20-49",
IF(E795&lt;=80,"50-79","80+")))</f>
        <v>50-79</v>
      </c>
      <c r="G795" s="121" t="s">
        <v>126</v>
      </c>
      <c r="H795" s="121" t="s">
        <v>664</v>
      </c>
      <c r="I795" s="121" t="s">
        <v>514</v>
      </c>
      <c r="J795" s="121" t="s">
        <v>2295</v>
      </c>
      <c r="K795" s="121" t="s">
        <v>1906</v>
      </c>
      <c r="L795" s="121" t="s">
        <v>1906</v>
      </c>
      <c r="M795" s="242" t="s">
        <v>702</v>
      </c>
      <c r="N795" s="127">
        <v>10650</v>
      </c>
      <c r="O795" s="127" t="s">
        <v>2254</v>
      </c>
      <c r="P795" s="147">
        <v>254723124386</v>
      </c>
      <c r="Q795" s="210"/>
    </row>
    <row r="796" spans="1:17" ht="31.5" hidden="1" x14ac:dyDescent="0.2">
      <c r="A796" s="143" t="s">
        <v>1180</v>
      </c>
      <c r="B796" s="121">
        <v>2017718</v>
      </c>
      <c r="C796" s="122">
        <v>54090</v>
      </c>
      <c r="D796" s="123" t="s">
        <v>1954</v>
      </c>
      <c r="E796" s="123">
        <v>65</v>
      </c>
      <c r="F796" s="123" t="str">
        <f>IF(E796&lt;=20,"0-19",
IF(E796&lt;=50,"20-49",
IF(E796&lt;=80,"50-79","80+")))</f>
        <v>50-79</v>
      </c>
      <c r="G796" s="123" t="s">
        <v>60</v>
      </c>
      <c r="H796" s="123" t="s">
        <v>22</v>
      </c>
      <c r="I796" s="123" t="s">
        <v>1955</v>
      </c>
      <c r="J796" s="198" t="s">
        <v>2311</v>
      </c>
      <c r="K796" s="123" t="s">
        <v>1956</v>
      </c>
      <c r="L796" s="121" t="s">
        <v>1911</v>
      </c>
      <c r="M796" s="242" t="s">
        <v>1957</v>
      </c>
      <c r="N796" s="127">
        <v>26000</v>
      </c>
      <c r="O796" s="127" t="s">
        <v>2254</v>
      </c>
      <c r="P796" s="147">
        <v>254716105516</v>
      </c>
      <c r="Q796" s="210"/>
    </row>
    <row r="797" spans="1:17" ht="21" hidden="1" x14ac:dyDescent="0.2">
      <c r="A797" s="143" t="s">
        <v>1180</v>
      </c>
      <c r="B797" s="121">
        <v>2001213</v>
      </c>
      <c r="C797" s="122">
        <v>20561</v>
      </c>
      <c r="D797" s="121" t="s">
        <v>2157</v>
      </c>
      <c r="E797" s="121">
        <v>71</v>
      </c>
      <c r="F797" s="121" t="str">
        <f>IF(E797&lt;=20,"0-19",
IF(E797&lt;=50,"20-49",
IF(E797&lt;=80,"50-79","80+")))</f>
        <v>50-79</v>
      </c>
      <c r="G797" s="121" t="s">
        <v>60</v>
      </c>
      <c r="H797" s="121" t="s">
        <v>22</v>
      </c>
      <c r="I797" s="121" t="s">
        <v>2158</v>
      </c>
      <c r="J797" s="198" t="s">
        <v>2311</v>
      </c>
      <c r="K797" s="121" t="s">
        <v>2159</v>
      </c>
      <c r="L797" s="121" t="s">
        <v>1911</v>
      </c>
      <c r="M797" s="242" t="s">
        <v>1957</v>
      </c>
      <c r="N797" s="127">
        <v>170516</v>
      </c>
      <c r="O797" s="127" t="s">
        <v>2254</v>
      </c>
      <c r="P797" s="147">
        <v>254720744613</v>
      </c>
      <c r="Q797" s="210"/>
    </row>
    <row r="798" spans="1:17" ht="21" hidden="1" x14ac:dyDescent="0.2">
      <c r="A798" s="145" t="s">
        <v>704</v>
      </c>
      <c r="B798" s="125">
        <v>2020130</v>
      </c>
      <c r="C798" s="125">
        <v>102621</v>
      </c>
      <c r="D798" s="125" t="s">
        <v>705</v>
      </c>
      <c r="E798" s="119">
        <v>58</v>
      </c>
      <c r="F798" s="119" t="str">
        <f>IF(E798&lt;=20,"0-19",
IF(E798&lt;=50,"20-49",
IF(E798&lt;=80,"50-79","80+")))</f>
        <v>50-79</v>
      </c>
      <c r="G798" s="125" t="s">
        <v>14</v>
      </c>
      <c r="H798" s="125" t="s">
        <v>706</v>
      </c>
      <c r="I798" s="125" t="s">
        <v>707</v>
      </c>
      <c r="J798" s="198" t="s">
        <v>2311</v>
      </c>
      <c r="K798" s="119" t="s">
        <v>708</v>
      </c>
      <c r="L798" s="119" t="s">
        <v>95</v>
      </c>
      <c r="M798" s="239" t="s">
        <v>709</v>
      </c>
      <c r="N798" s="165">
        <v>164586</v>
      </c>
      <c r="O798" s="125" t="s">
        <v>18</v>
      </c>
      <c r="P798" s="173"/>
      <c r="Q798" s="210"/>
    </row>
    <row r="799" spans="1:17" hidden="1" x14ac:dyDescent="0.2">
      <c r="A799" s="155" t="s">
        <v>1180</v>
      </c>
      <c r="B799" s="125">
        <v>2008856</v>
      </c>
      <c r="C799" s="125">
        <v>83639</v>
      </c>
      <c r="D799" s="125" t="s">
        <v>1181</v>
      </c>
      <c r="E799" s="125">
        <v>36</v>
      </c>
      <c r="F799" s="125" t="str">
        <f>IF(E799&lt;=20,"0-19",
IF(E799&lt;=50,"20-49",
IF(E799&lt;=80,"50-79","80+")))</f>
        <v>20-49</v>
      </c>
      <c r="G799" s="125" t="s">
        <v>49</v>
      </c>
      <c r="H799" s="125" t="s">
        <v>15</v>
      </c>
      <c r="I799" s="119" t="s">
        <v>1182</v>
      </c>
      <c r="J799" s="198" t="s">
        <v>2311</v>
      </c>
      <c r="K799" s="119" t="s">
        <v>855</v>
      </c>
      <c r="L799" s="125" t="s">
        <v>855</v>
      </c>
      <c r="M799" s="239" t="s">
        <v>1183</v>
      </c>
      <c r="N799" s="162">
        <v>7000</v>
      </c>
      <c r="O799" s="125" t="s">
        <v>832</v>
      </c>
      <c r="P799" s="173"/>
      <c r="Q799" s="210"/>
    </row>
    <row r="800" spans="1:17" hidden="1" x14ac:dyDescent="0.2">
      <c r="A800" s="142" t="s">
        <v>1690</v>
      </c>
      <c r="B800" s="125">
        <v>2014982</v>
      </c>
      <c r="C800" s="125">
        <v>13660</v>
      </c>
      <c r="D800" s="125" t="s">
        <v>2144</v>
      </c>
      <c r="E800" s="125">
        <v>66</v>
      </c>
      <c r="F800" s="125" t="str">
        <f>IF(E800&lt;=20,"0-19",
IF(E800&lt;=50,"20-49",
IF(E800&lt;=80,"50-79","80+")))</f>
        <v>50-79</v>
      </c>
      <c r="G800" s="125" t="s">
        <v>1780</v>
      </c>
      <c r="H800" s="125" t="s">
        <v>22</v>
      </c>
      <c r="I800" s="125" t="s">
        <v>2145</v>
      </c>
      <c r="J800" s="125" t="s">
        <v>2288</v>
      </c>
      <c r="K800" s="119" t="s">
        <v>1916</v>
      </c>
      <c r="L800" s="125" t="s">
        <v>1916</v>
      </c>
      <c r="M800" s="239" t="s">
        <v>714</v>
      </c>
      <c r="N800" s="126">
        <v>160850</v>
      </c>
      <c r="O800" s="126" t="s">
        <v>2254</v>
      </c>
      <c r="P800" s="146">
        <v>721156854</v>
      </c>
      <c r="Q800" s="210"/>
    </row>
    <row r="801" spans="1:17" ht="31.5" hidden="1" x14ac:dyDescent="0.2">
      <c r="A801" s="155" t="s">
        <v>212</v>
      </c>
      <c r="B801" s="125">
        <v>2504092</v>
      </c>
      <c r="C801" s="125">
        <v>62534</v>
      </c>
      <c r="D801" s="125" t="s">
        <v>1209</v>
      </c>
      <c r="E801" s="125">
        <v>58</v>
      </c>
      <c r="F801" s="125" t="str">
        <f>IF(E801&lt;=20,"0-19",
IF(E801&lt;=50,"20-49",
IF(E801&lt;=80,"50-79","80+")))</f>
        <v>50-79</v>
      </c>
      <c r="G801" s="125" t="s">
        <v>60</v>
      </c>
      <c r="H801" s="125" t="s">
        <v>22</v>
      </c>
      <c r="I801" s="119" t="s">
        <v>1210</v>
      </c>
      <c r="J801" s="119" t="s">
        <v>2288</v>
      </c>
      <c r="K801" s="119" t="s">
        <v>1211</v>
      </c>
      <c r="L801" s="125" t="s">
        <v>831</v>
      </c>
      <c r="M801" s="239" t="s">
        <v>714</v>
      </c>
      <c r="N801" s="162">
        <v>40072</v>
      </c>
      <c r="O801" s="125" t="s">
        <v>832</v>
      </c>
      <c r="P801" s="172"/>
      <c r="Q801" s="210"/>
    </row>
    <row r="802" spans="1:17" hidden="1" x14ac:dyDescent="0.2">
      <c r="A802" s="155" t="s">
        <v>53</v>
      </c>
      <c r="B802" s="196">
        <v>2505061</v>
      </c>
      <c r="C802" s="196">
        <v>59211</v>
      </c>
      <c r="D802" s="196" t="s">
        <v>755</v>
      </c>
      <c r="E802" s="196">
        <v>60</v>
      </c>
      <c r="F802" s="196" t="str">
        <f>IF(E802&lt;=20,"0-19",
IF(E802&lt;=50,"20-49",
IF(E802&lt;=80,"50-79","80+")))</f>
        <v>50-79</v>
      </c>
      <c r="G802" s="196" t="s">
        <v>126</v>
      </c>
      <c r="H802" s="196" t="s">
        <v>664</v>
      </c>
      <c r="I802" s="196" t="s">
        <v>756</v>
      </c>
      <c r="J802" s="125" t="s">
        <v>2270</v>
      </c>
      <c r="K802" s="196" t="s">
        <v>121</v>
      </c>
      <c r="L802" s="196" t="s">
        <v>121</v>
      </c>
      <c r="M802" s="238" t="s">
        <v>714</v>
      </c>
      <c r="N802" s="201">
        <v>105000</v>
      </c>
      <c r="O802" s="125" t="s">
        <v>18</v>
      </c>
      <c r="P802" s="173"/>
      <c r="Q802" s="210"/>
    </row>
    <row r="803" spans="1:17" hidden="1" x14ac:dyDescent="0.2">
      <c r="A803" s="143" t="s">
        <v>53</v>
      </c>
      <c r="B803" s="123">
        <v>2007795</v>
      </c>
      <c r="C803" s="122">
        <v>15404</v>
      </c>
      <c r="D803" s="123" t="s">
        <v>2215</v>
      </c>
      <c r="E803" s="123">
        <v>68</v>
      </c>
      <c r="F803" s="123" t="str">
        <f>IF(E803&lt;=20,"0-19",
IF(E803&lt;=50,"20-49",
IF(E803&lt;=80,"50-79","80+")))</f>
        <v>50-79</v>
      </c>
      <c r="G803" s="121" t="s">
        <v>60</v>
      </c>
      <c r="H803" s="123" t="s">
        <v>15</v>
      </c>
      <c r="I803" s="123" t="s">
        <v>2216</v>
      </c>
      <c r="J803" s="125" t="s">
        <v>2270</v>
      </c>
      <c r="K803" s="121" t="s">
        <v>1898</v>
      </c>
      <c r="L803" s="121" t="s">
        <v>1898</v>
      </c>
      <c r="M803" s="238" t="s">
        <v>714</v>
      </c>
      <c r="N803" s="128">
        <v>364587.62</v>
      </c>
      <c r="O803" s="128" t="s">
        <v>2254</v>
      </c>
      <c r="P803" s="147">
        <v>254720766049</v>
      </c>
      <c r="Q803" s="210"/>
    </row>
    <row r="804" spans="1:17" ht="21" hidden="1" x14ac:dyDescent="0.2">
      <c r="A804" s="143" t="s">
        <v>53</v>
      </c>
      <c r="B804" s="123">
        <v>2007795</v>
      </c>
      <c r="C804" s="122">
        <v>15404</v>
      </c>
      <c r="D804" s="123" t="s">
        <v>1840</v>
      </c>
      <c r="E804" s="123">
        <v>63</v>
      </c>
      <c r="F804" s="123" t="str">
        <f>IF(E804&lt;=20,"0-19",
IF(E804&lt;=50,"20-49",
IF(E804&lt;=80,"50-79","80+")))</f>
        <v>50-79</v>
      </c>
      <c r="G804" s="121" t="s">
        <v>14</v>
      </c>
      <c r="H804" s="121" t="s">
        <v>706</v>
      </c>
      <c r="I804" s="123" t="s">
        <v>1841</v>
      </c>
      <c r="J804" s="125" t="s">
        <v>2270</v>
      </c>
      <c r="K804" s="123" t="s">
        <v>1842</v>
      </c>
      <c r="L804" s="123" t="s">
        <v>1542</v>
      </c>
      <c r="M804" s="240" t="s">
        <v>714</v>
      </c>
      <c r="N804" s="128">
        <v>371955</v>
      </c>
      <c r="O804" s="128" t="s">
        <v>2254</v>
      </c>
      <c r="P804" s="147">
        <v>254721459254</v>
      </c>
      <c r="Q804" s="210"/>
    </row>
    <row r="805" spans="1:17" hidden="1" x14ac:dyDescent="0.2">
      <c r="A805" s="155" t="s">
        <v>847</v>
      </c>
      <c r="B805" s="125">
        <v>2022237</v>
      </c>
      <c r="C805" s="125">
        <v>56585</v>
      </c>
      <c r="D805" s="125" t="s">
        <v>1205</v>
      </c>
      <c r="E805" s="125">
        <v>62</v>
      </c>
      <c r="F805" s="125" t="str">
        <f>IF(E805&lt;=20,"0-19",
IF(E805&lt;=50,"20-49",
IF(E805&lt;=80,"50-79","80+")))</f>
        <v>50-79</v>
      </c>
      <c r="G805" s="125" t="s">
        <v>60</v>
      </c>
      <c r="H805" s="125" t="s">
        <v>22</v>
      </c>
      <c r="I805" s="119" t="s">
        <v>1206</v>
      </c>
      <c r="J805" s="125" t="s">
        <v>2270</v>
      </c>
      <c r="K805" s="119" t="s">
        <v>901</v>
      </c>
      <c r="L805" s="125" t="s">
        <v>901</v>
      </c>
      <c r="M805" s="239" t="s">
        <v>714</v>
      </c>
      <c r="N805" s="162">
        <v>96443</v>
      </c>
      <c r="O805" s="125" t="s">
        <v>832</v>
      </c>
      <c r="P805" s="172"/>
      <c r="Q805" s="210"/>
    </row>
    <row r="806" spans="1:17" hidden="1" x14ac:dyDescent="0.2">
      <c r="A806" s="155" t="s">
        <v>373</v>
      </c>
      <c r="B806" s="125">
        <v>2012118</v>
      </c>
      <c r="C806" s="125">
        <v>18259</v>
      </c>
      <c r="D806" s="125" t="s">
        <v>619</v>
      </c>
      <c r="E806" s="125">
        <v>63</v>
      </c>
      <c r="F806" s="125" t="str">
        <f>IF(E806&lt;=20,"0-19",
IF(E806&lt;=50,"20-49",
IF(E806&lt;=80,"50-79","80+")))</f>
        <v>50-79</v>
      </c>
      <c r="G806" s="125" t="s">
        <v>14</v>
      </c>
      <c r="H806" s="125" t="s">
        <v>22</v>
      </c>
      <c r="I806" s="119" t="s">
        <v>1193</v>
      </c>
      <c r="J806" s="125" t="s">
        <v>2270</v>
      </c>
      <c r="K806" s="119" t="s">
        <v>831</v>
      </c>
      <c r="L806" s="125" t="s">
        <v>831</v>
      </c>
      <c r="M806" s="239" t="s">
        <v>714</v>
      </c>
      <c r="N806" s="162">
        <v>12000</v>
      </c>
      <c r="O806" s="125" t="s">
        <v>832</v>
      </c>
      <c r="P806" s="173"/>
      <c r="Q806" s="210"/>
    </row>
    <row r="807" spans="1:17" hidden="1" x14ac:dyDescent="0.2">
      <c r="A807" s="142" t="s">
        <v>72</v>
      </c>
      <c r="B807" s="196">
        <v>2001028</v>
      </c>
      <c r="C807" s="196">
        <v>18492</v>
      </c>
      <c r="D807" s="196" t="s">
        <v>765</v>
      </c>
      <c r="E807" s="196">
        <v>64</v>
      </c>
      <c r="F807" s="196" t="str">
        <f>IF(E807&lt;=20,"0-19",
IF(E807&lt;=50,"20-49",
IF(E807&lt;=80,"50-79","80+")))</f>
        <v>50-79</v>
      </c>
      <c r="G807" s="196" t="s">
        <v>126</v>
      </c>
      <c r="H807" s="196" t="s">
        <v>664</v>
      </c>
      <c r="I807" s="196" t="s">
        <v>766</v>
      </c>
      <c r="J807" s="125" t="s">
        <v>2270</v>
      </c>
      <c r="K807" s="196" t="s">
        <v>121</v>
      </c>
      <c r="L807" s="196" t="s">
        <v>121</v>
      </c>
      <c r="M807" s="238" t="s">
        <v>714</v>
      </c>
      <c r="N807" s="201">
        <v>235500</v>
      </c>
      <c r="O807" s="125" t="s">
        <v>18</v>
      </c>
      <c r="P807" s="173"/>
      <c r="Q807" s="210"/>
    </row>
    <row r="808" spans="1:17" hidden="1" x14ac:dyDescent="0.2">
      <c r="A808" s="142" t="s">
        <v>856</v>
      </c>
      <c r="B808" s="125">
        <v>2004095</v>
      </c>
      <c r="C808" s="125">
        <v>102642</v>
      </c>
      <c r="D808" s="125" t="s">
        <v>740</v>
      </c>
      <c r="E808" s="125">
        <v>65</v>
      </c>
      <c r="F808" s="125" t="str">
        <f>IF(E808&lt;=20,"0-19",
IF(E808&lt;=50,"20-49",
IF(E808&lt;=80,"50-79","80+")))</f>
        <v>50-79</v>
      </c>
      <c r="G808" s="125" t="s">
        <v>49</v>
      </c>
      <c r="H808" s="125" t="s">
        <v>15</v>
      </c>
      <c r="I808" s="119" t="s">
        <v>1588</v>
      </c>
      <c r="J808" s="119" t="s">
        <v>2270</v>
      </c>
      <c r="K808" s="125" t="s">
        <v>1572</v>
      </c>
      <c r="L808" s="125" t="s">
        <v>1572</v>
      </c>
      <c r="M808" s="239" t="s">
        <v>714</v>
      </c>
      <c r="N808" s="126">
        <v>30366</v>
      </c>
      <c r="O808" s="126" t="s">
        <v>2254</v>
      </c>
      <c r="P808" s="146">
        <v>254718353180</v>
      </c>
      <c r="Q808" s="210"/>
    </row>
    <row r="809" spans="1:17" hidden="1" x14ac:dyDescent="0.2">
      <c r="A809" s="143" t="s">
        <v>856</v>
      </c>
      <c r="B809" s="122">
        <v>2004095</v>
      </c>
      <c r="C809" s="122">
        <v>102642</v>
      </c>
      <c r="D809" s="122" t="s">
        <v>740</v>
      </c>
      <c r="E809" s="122">
        <v>65</v>
      </c>
      <c r="F809" s="122" t="str">
        <f>IF(E809&lt;=20,"0-19",
IF(E809&lt;=50,"20-49",
IF(E809&lt;=80,"50-79","80+")))</f>
        <v>50-79</v>
      </c>
      <c r="G809" s="122" t="s">
        <v>49</v>
      </c>
      <c r="H809" s="122" t="s">
        <v>15</v>
      </c>
      <c r="I809" s="123" t="s">
        <v>1588</v>
      </c>
      <c r="J809" s="123" t="s">
        <v>2270</v>
      </c>
      <c r="K809" s="122" t="s">
        <v>1589</v>
      </c>
      <c r="L809" s="122" t="s">
        <v>1589</v>
      </c>
      <c r="M809" s="240" t="s">
        <v>714</v>
      </c>
      <c r="N809" s="124">
        <v>23685</v>
      </c>
      <c r="O809" s="124" t="s">
        <v>2254</v>
      </c>
      <c r="P809" s="147">
        <v>254728066319</v>
      </c>
      <c r="Q809" s="210"/>
    </row>
    <row r="810" spans="1:17" hidden="1" x14ac:dyDescent="0.2">
      <c r="A810" s="142" t="s">
        <v>856</v>
      </c>
      <c r="B810" s="125">
        <v>2004095</v>
      </c>
      <c r="C810" s="125">
        <v>102642</v>
      </c>
      <c r="D810" s="125" t="s">
        <v>740</v>
      </c>
      <c r="E810" s="125">
        <v>65</v>
      </c>
      <c r="F810" s="125" t="str">
        <f>IF(E810&lt;=20,"0-19",
IF(E810&lt;=50,"20-49",
IF(E810&lt;=80,"50-79","80+")))</f>
        <v>50-79</v>
      </c>
      <c r="G810" s="125" t="s">
        <v>49</v>
      </c>
      <c r="H810" s="125" t="s">
        <v>15</v>
      </c>
      <c r="I810" s="119" t="s">
        <v>1588</v>
      </c>
      <c r="J810" s="119" t="s">
        <v>2270</v>
      </c>
      <c r="K810" s="125" t="s">
        <v>1543</v>
      </c>
      <c r="L810" s="125" t="s">
        <v>1543</v>
      </c>
      <c r="M810" s="239" t="s">
        <v>714</v>
      </c>
      <c r="N810" s="126">
        <v>24062.44</v>
      </c>
      <c r="O810" s="126" t="s">
        <v>2254</v>
      </c>
      <c r="P810" s="146">
        <v>254707224884</v>
      </c>
      <c r="Q810" s="210"/>
    </row>
    <row r="811" spans="1:17" hidden="1" x14ac:dyDescent="0.2">
      <c r="A811" s="143" t="s">
        <v>856</v>
      </c>
      <c r="B811" s="122">
        <v>2004095</v>
      </c>
      <c r="C811" s="122">
        <v>102642</v>
      </c>
      <c r="D811" s="122" t="s">
        <v>740</v>
      </c>
      <c r="E811" s="122">
        <v>65</v>
      </c>
      <c r="F811" s="122" t="str">
        <f>IF(E811&lt;=20,"0-19",
IF(E811&lt;=50,"20-49",
IF(E811&lt;=80,"50-79","80+")))</f>
        <v>50-79</v>
      </c>
      <c r="G811" s="122" t="s">
        <v>49</v>
      </c>
      <c r="H811" s="122" t="s">
        <v>15</v>
      </c>
      <c r="I811" s="122" t="s">
        <v>1588</v>
      </c>
      <c r="J811" s="122" t="s">
        <v>2270</v>
      </c>
      <c r="K811" s="123" t="s">
        <v>1908</v>
      </c>
      <c r="L811" s="122" t="s">
        <v>1908</v>
      </c>
      <c r="M811" s="240" t="s">
        <v>714</v>
      </c>
      <c r="N811" s="124">
        <v>17285.95</v>
      </c>
      <c r="O811" s="124" t="s">
        <v>2254</v>
      </c>
      <c r="P811" s="147">
        <v>254726918577</v>
      </c>
      <c r="Q811" s="210"/>
    </row>
    <row r="812" spans="1:17" hidden="1" x14ac:dyDescent="0.2">
      <c r="A812" s="155" t="s">
        <v>47</v>
      </c>
      <c r="B812" s="125">
        <v>2004095</v>
      </c>
      <c r="C812" s="125">
        <v>102642</v>
      </c>
      <c r="D812" s="125" t="s">
        <v>740</v>
      </c>
      <c r="E812" s="119">
        <v>65</v>
      </c>
      <c r="F812" s="119" t="str">
        <f>IF(E812&lt;=20,"0-19",
IF(E812&lt;=50,"20-49",
IF(E812&lt;=80,"50-79","80+")))</f>
        <v>50-79</v>
      </c>
      <c r="G812" s="125" t="s">
        <v>741</v>
      </c>
      <c r="H812" s="125" t="s">
        <v>22</v>
      </c>
      <c r="I812" s="125" t="s">
        <v>742</v>
      </c>
      <c r="J812" s="125" t="s">
        <v>2270</v>
      </c>
      <c r="K812" s="119" t="s">
        <v>193</v>
      </c>
      <c r="L812" s="119" t="s">
        <v>193</v>
      </c>
      <c r="M812" s="239" t="s">
        <v>714</v>
      </c>
      <c r="N812" s="165">
        <v>16160.17</v>
      </c>
      <c r="O812" s="125" t="s">
        <v>18</v>
      </c>
      <c r="P812" s="173"/>
      <c r="Q812" s="210"/>
    </row>
    <row r="813" spans="1:17" ht="21" hidden="1" x14ac:dyDescent="0.2">
      <c r="A813" s="143" t="s">
        <v>726</v>
      </c>
      <c r="B813" s="122">
        <v>2001033</v>
      </c>
      <c r="C813" s="122">
        <v>17150</v>
      </c>
      <c r="D813" s="122" t="s">
        <v>727</v>
      </c>
      <c r="E813" s="122">
        <v>86</v>
      </c>
      <c r="F813" s="122" t="str">
        <f>IF(E813&lt;=20,"0-19",
IF(E813&lt;=50,"20-49",
IF(E813&lt;=80,"50-79","80+")))</f>
        <v>80+</v>
      </c>
      <c r="G813" s="122" t="s">
        <v>60</v>
      </c>
      <c r="H813" s="122" t="s">
        <v>22</v>
      </c>
      <c r="I813" s="122" t="s">
        <v>2049</v>
      </c>
      <c r="J813" s="122" t="s">
        <v>2270</v>
      </c>
      <c r="K813" s="123" t="s">
        <v>2050</v>
      </c>
      <c r="L813" s="122" t="s">
        <v>1922</v>
      </c>
      <c r="M813" s="240" t="s">
        <v>714</v>
      </c>
      <c r="N813" s="124">
        <v>65000</v>
      </c>
      <c r="O813" s="124" t="s">
        <v>2254</v>
      </c>
      <c r="P813" s="147">
        <v>254743419124</v>
      </c>
      <c r="Q813" s="210"/>
    </row>
    <row r="814" spans="1:17" hidden="1" x14ac:dyDescent="0.2">
      <c r="A814" s="155" t="s">
        <v>856</v>
      </c>
      <c r="B814" s="118">
        <v>2004095</v>
      </c>
      <c r="C814" s="125">
        <v>102642</v>
      </c>
      <c r="D814" s="118" t="s">
        <v>1189</v>
      </c>
      <c r="E814" s="118">
        <v>61</v>
      </c>
      <c r="F814" s="118" t="str">
        <f>IF(E814&lt;=20,"0-19",
IF(E814&lt;=50,"20-49",
IF(E814&lt;=80,"50-79","80+")))</f>
        <v>50-79</v>
      </c>
      <c r="G814" s="118" t="s">
        <v>60</v>
      </c>
      <c r="H814" s="118" t="s">
        <v>22</v>
      </c>
      <c r="I814" s="118" t="s">
        <v>728</v>
      </c>
      <c r="J814" s="118" t="s">
        <v>2270</v>
      </c>
      <c r="K814" s="118" t="s">
        <v>835</v>
      </c>
      <c r="L814" s="118" t="s">
        <v>835</v>
      </c>
      <c r="M814" s="239" t="s">
        <v>714</v>
      </c>
      <c r="N814" s="160">
        <v>27452</v>
      </c>
      <c r="O814" s="125" t="s">
        <v>832</v>
      </c>
      <c r="P814" s="172"/>
      <c r="Q814" s="210"/>
    </row>
    <row r="815" spans="1:17" hidden="1" x14ac:dyDescent="0.2">
      <c r="A815" s="155" t="s">
        <v>856</v>
      </c>
      <c r="B815" s="125">
        <v>2004095</v>
      </c>
      <c r="C815" s="125">
        <v>102642</v>
      </c>
      <c r="D815" s="125" t="s">
        <v>740</v>
      </c>
      <c r="E815" s="125">
        <v>65</v>
      </c>
      <c r="F815" s="125" t="str">
        <f>IF(E815&lt;=20,"0-19",
IF(E815&lt;=50,"20-49",
IF(E815&lt;=80,"50-79","80+")))</f>
        <v>50-79</v>
      </c>
      <c r="G815" s="125" t="s">
        <v>60</v>
      </c>
      <c r="H815" s="125" t="s">
        <v>22</v>
      </c>
      <c r="I815" s="119" t="s">
        <v>728</v>
      </c>
      <c r="J815" s="119" t="s">
        <v>2270</v>
      </c>
      <c r="K815" s="119" t="s">
        <v>834</v>
      </c>
      <c r="L815" s="125" t="s">
        <v>834</v>
      </c>
      <c r="M815" s="239" t="s">
        <v>714</v>
      </c>
      <c r="N815" s="162">
        <v>16783.830000000002</v>
      </c>
      <c r="O815" s="125" t="s">
        <v>832</v>
      </c>
      <c r="P815" s="173"/>
      <c r="Q815" s="210"/>
    </row>
    <row r="816" spans="1:17" hidden="1" x14ac:dyDescent="0.2">
      <c r="A816" s="155" t="s">
        <v>726</v>
      </c>
      <c r="B816" s="197">
        <v>2001033</v>
      </c>
      <c r="C816" s="197">
        <v>17150</v>
      </c>
      <c r="D816" s="198" t="s">
        <v>727</v>
      </c>
      <c r="E816" s="197">
        <v>85</v>
      </c>
      <c r="F816" s="197" t="str">
        <f>IF(E816&lt;=20,"0-19",
IF(E816&lt;=50,"20-49",
IF(E816&lt;=80,"50-79","80+")))</f>
        <v>80+</v>
      </c>
      <c r="G816" s="197" t="s">
        <v>60</v>
      </c>
      <c r="H816" s="197" t="s">
        <v>22</v>
      </c>
      <c r="I816" s="198" t="s">
        <v>728</v>
      </c>
      <c r="J816" s="198" t="s">
        <v>2270</v>
      </c>
      <c r="K816" s="198" t="s">
        <v>36</v>
      </c>
      <c r="L816" s="197" t="s">
        <v>36</v>
      </c>
      <c r="M816" s="238" t="s">
        <v>714</v>
      </c>
      <c r="N816" s="202">
        <v>319900</v>
      </c>
      <c r="O816" s="122" t="s">
        <v>18</v>
      </c>
      <c r="P816" s="172"/>
      <c r="Q816" s="210"/>
    </row>
    <row r="817" spans="1:17" hidden="1" x14ac:dyDescent="0.2">
      <c r="A817" s="143" t="s">
        <v>856</v>
      </c>
      <c r="B817" s="122">
        <v>2001095</v>
      </c>
      <c r="C817" s="122">
        <v>102642</v>
      </c>
      <c r="D817" s="122" t="s">
        <v>740</v>
      </c>
      <c r="E817" s="122">
        <v>65</v>
      </c>
      <c r="F817" s="122" t="str">
        <f>IF(E817&lt;=20,"0-19",
IF(E817&lt;=50,"20-49",
IF(E817&lt;=80,"50-79","80+")))</f>
        <v>50-79</v>
      </c>
      <c r="G817" s="122" t="s">
        <v>60</v>
      </c>
      <c r="H817" s="122" t="s">
        <v>22</v>
      </c>
      <c r="I817" s="123" t="s">
        <v>728</v>
      </c>
      <c r="J817" s="123" t="s">
        <v>2270</v>
      </c>
      <c r="K817" s="122" t="s">
        <v>1567</v>
      </c>
      <c r="L817" s="122" t="s">
        <v>1567</v>
      </c>
      <c r="M817" s="240" t="s">
        <v>714</v>
      </c>
      <c r="N817" s="124">
        <v>36256.9</v>
      </c>
      <c r="O817" s="124" t="s">
        <v>2254</v>
      </c>
      <c r="P817" s="147">
        <v>254722928967</v>
      </c>
      <c r="Q817" s="210"/>
    </row>
    <row r="818" spans="1:17" hidden="1" x14ac:dyDescent="0.2">
      <c r="A818" s="143" t="s">
        <v>856</v>
      </c>
      <c r="B818" s="122">
        <v>2004095</v>
      </c>
      <c r="C818" s="122">
        <v>102642</v>
      </c>
      <c r="D818" s="122" t="s">
        <v>740</v>
      </c>
      <c r="E818" s="122">
        <v>65</v>
      </c>
      <c r="F818" s="122" t="str">
        <f>IF(E818&lt;=20,"0-19",
IF(E818&lt;=50,"20-49",
IF(E818&lt;=80,"50-79","80+")))</f>
        <v>50-79</v>
      </c>
      <c r="G818" s="122" t="s">
        <v>60</v>
      </c>
      <c r="H818" s="122" t="s">
        <v>22</v>
      </c>
      <c r="I818" s="123" t="s">
        <v>728</v>
      </c>
      <c r="J818" s="123" t="s">
        <v>2270</v>
      </c>
      <c r="K818" s="122" t="s">
        <v>1551</v>
      </c>
      <c r="L818" s="122" t="s">
        <v>1551</v>
      </c>
      <c r="M818" s="240" t="s">
        <v>714</v>
      </c>
      <c r="N818" s="124">
        <v>27143.05</v>
      </c>
      <c r="O818" s="124" t="s">
        <v>2254</v>
      </c>
      <c r="P818" s="147">
        <v>254721446037</v>
      </c>
      <c r="Q818" s="210"/>
    </row>
    <row r="819" spans="1:17" hidden="1" x14ac:dyDescent="0.2">
      <c r="A819" s="142" t="s">
        <v>856</v>
      </c>
      <c r="B819" s="118">
        <v>2004095</v>
      </c>
      <c r="C819" s="125">
        <v>102042</v>
      </c>
      <c r="D819" s="119" t="s">
        <v>1953</v>
      </c>
      <c r="E819" s="119">
        <v>65</v>
      </c>
      <c r="F819" s="119" t="str">
        <f>IF(E819&lt;=20,"0-19",
IF(E819&lt;=50,"20-49",
IF(E819&lt;=80,"50-79","80+")))</f>
        <v>50-79</v>
      </c>
      <c r="G819" s="119" t="s">
        <v>60</v>
      </c>
      <c r="H819" s="119" t="s">
        <v>22</v>
      </c>
      <c r="I819" s="119" t="s">
        <v>728</v>
      </c>
      <c r="J819" s="119" t="s">
        <v>2270</v>
      </c>
      <c r="K819" s="119" t="s">
        <v>1911</v>
      </c>
      <c r="L819" s="119" t="s">
        <v>1911</v>
      </c>
      <c r="M819" s="239" t="s">
        <v>714</v>
      </c>
      <c r="N819" s="120">
        <v>25891.32</v>
      </c>
      <c r="O819" s="120" t="s">
        <v>2254</v>
      </c>
      <c r="P819" s="146">
        <v>254722645149</v>
      </c>
      <c r="Q819" s="210"/>
    </row>
    <row r="820" spans="1:17" hidden="1" x14ac:dyDescent="0.2">
      <c r="A820" s="155" t="s">
        <v>47</v>
      </c>
      <c r="B820" s="122">
        <v>2004095</v>
      </c>
      <c r="C820" s="122">
        <v>102642</v>
      </c>
      <c r="D820" s="122" t="s">
        <v>738</v>
      </c>
      <c r="E820" s="123">
        <v>65</v>
      </c>
      <c r="F820" s="123" t="str">
        <f>IF(E820&lt;=20,"0-19",
IF(E820&lt;=50,"20-49",
IF(E820&lt;=80,"50-79","80+")))</f>
        <v>50-79</v>
      </c>
      <c r="G820" s="122" t="s">
        <v>60</v>
      </c>
      <c r="H820" s="122" t="s">
        <v>22</v>
      </c>
      <c r="I820" s="122" t="s">
        <v>728</v>
      </c>
      <c r="J820" s="122" t="s">
        <v>2270</v>
      </c>
      <c r="K820" s="123" t="s">
        <v>31</v>
      </c>
      <c r="L820" s="123" t="s">
        <v>739</v>
      </c>
      <c r="M820" s="240" t="s">
        <v>714</v>
      </c>
      <c r="N820" s="157">
        <v>27194.5</v>
      </c>
      <c r="O820" s="122" t="s">
        <v>18</v>
      </c>
      <c r="P820" s="172"/>
      <c r="Q820" s="210"/>
    </row>
    <row r="821" spans="1:17" hidden="1" x14ac:dyDescent="0.2">
      <c r="A821" s="155" t="s">
        <v>47</v>
      </c>
      <c r="B821" s="125">
        <v>2004095</v>
      </c>
      <c r="C821" s="125">
        <v>102642</v>
      </c>
      <c r="D821" s="125" t="s">
        <v>740</v>
      </c>
      <c r="E821" s="119">
        <v>65</v>
      </c>
      <c r="F821" s="119" t="str">
        <f>IF(E821&lt;=20,"0-19",
IF(E821&lt;=50,"20-49",
IF(E821&lt;=80,"50-79","80+")))</f>
        <v>50-79</v>
      </c>
      <c r="G821" s="125" t="s">
        <v>60</v>
      </c>
      <c r="H821" s="125" t="s">
        <v>22</v>
      </c>
      <c r="I821" s="125" t="s">
        <v>728</v>
      </c>
      <c r="J821" s="125" t="s">
        <v>2270</v>
      </c>
      <c r="K821" s="119" t="s">
        <v>108</v>
      </c>
      <c r="L821" s="119" t="s">
        <v>108</v>
      </c>
      <c r="M821" s="239" t="s">
        <v>714</v>
      </c>
      <c r="N821" s="165">
        <v>22091.11</v>
      </c>
      <c r="O821" s="125" t="s">
        <v>18</v>
      </c>
      <c r="P821" s="173"/>
      <c r="Q821" s="210"/>
    </row>
    <row r="822" spans="1:17" hidden="1" x14ac:dyDescent="0.2">
      <c r="A822" s="155" t="s">
        <v>47</v>
      </c>
      <c r="B822" s="122">
        <v>2004095</v>
      </c>
      <c r="C822" s="122">
        <v>102642</v>
      </c>
      <c r="D822" s="122" t="s">
        <v>740</v>
      </c>
      <c r="E822" s="123">
        <v>65</v>
      </c>
      <c r="F822" s="123" t="str">
        <f>IF(E822&lt;=20,"0-19",
IF(E822&lt;=50,"20-49",
IF(E822&lt;=80,"50-79","80+")))</f>
        <v>50-79</v>
      </c>
      <c r="G822" s="122" t="s">
        <v>60</v>
      </c>
      <c r="H822" s="122" t="s">
        <v>22</v>
      </c>
      <c r="I822" s="122" t="s">
        <v>728</v>
      </c>
      <c r="J822" s="122" t="s">
        <v>2270</v>
      </c>
      <c r="K822" s="123" t="s">
        <v>85</v>
      </c>
      <c r="L822" s="123" t="s">
        <v>85</v>
      </c>
      <c r="M822" s="240" t="s">
        <v>714</v>
      </c>
      <c r="N822" s="157">
        <v>23435.67</v>
      </c>
      <c r="O822" s="122" t="s">
        <v>18</v>
      </c>
      <c r="P822" s="172"/>
      <c r="Q822" s="210"/>
    </row>
    <row r="823" spans="1:17" hidden="1" x14ac:dyDescent="0.2">
      <c r="A823" s="177" t="s">
        <v>618</v>
      </c>
      <c r="B823" s="178">
        <v>2004095</v>
      </c>
      <c r="C823" s="178">
        <v>102642</v>
      </c>
      <c r="D823" s="178" t="s">
        <v>740</v>
      </c>
      <c r="E823" s="178">
        <v>65</v>
      </c>
      <c r="F823" s="178" t="str">
        <f>IF(E823&lt;=20,"0-19",
IF(E823&lt;=50,"20-49",
IF(E823&lt;=80,"50-79","80+")))</f>
        <v>50-79</v>
      </c>
      <c r="G823" s="179" t="s">
        <v>60</v>
      </c>
      <c r="H823" s="179" t="s">
        <v>22</v>
      </c>
      <c r="I823" s="179" t="s">
        <v>728</v>
      </c>
      <c r="J823" s="179" t="s">
        <v>2270</v>
      </c>
      <c r="K823" s="179" t="s">
        <v>289</v>
      </c>
      <c r="L823" s="178" t="s">
        <v>289</v>
      </c>
      <c r="M823" s="238" t="s">
        <v>714</v>
      </c>
      <c r="N823" s="158">
        <v>17673.64</v>
      </c>
      <c r="O823" s="122" t="s">
        <v>18</v>
      </c>
      <c r="P823" s="172"/>
      <c r="Q823" s="210"/>
    </row>
    <row r="824" spans="1:17" hidden="1" x14ac:dyDescent="0.2">
      <c r="A824" s="155" t="s">
        <v>1237</v>
      </c>
      <c r="B824" s="125">
        <v>2014720</v>
      </c>
      <c r="C824" s="125">
        <v>37099</v>
      </c>
      <c r="D824" s="125" t="s">
        <v>719</v>
      </c>
      <c r="E824" s="125">
        <v>67</v>
      </c>
      <c r="F824" s="125" t="str">
        <f>IF(E824&lt;=20,"0-19",
IF(E824&lt;=50,"20-49",
IF(E824&lt;=80,"50-79","80+")))</f>
        <v>50-79</v>
      </c>
      <c r="G824" s="125" t="s">
        <v>49</v>
      </c>
      <c r="H824" s="125" t="s">
        <v>15</v>
      </c>
      <c r="I824" s="119" t="s">
        <v>722</v>
      </c>
      <c r="J824" s="119" t="s">
        <v>2270</v>
      </c>
      <c r="K824" s="119" t="s">
        <v>71</v>
      </c>
      <c r="L824" s="125" t="s">
        <v>855</v>
      </c>
      <c r="M824" s="239" t="s">
        <v>714</v>
      </c>
      <c r="N824" s="162">
        <v>41219.040000000001</v>
      </c>
      <c r="O824" s="125" t="s">
        <v>832</v>
      </c>
      <c r="P824" s="172"/>
      <c r="Q824" s="210"/>
    </row>
    <row r="825" spans="1:17" hidden="1" x14ac:dyDescent="0.2">
      <c r="A825" s="156" t="s">
        <v>309</v>
      </c>
      <c r="B825" s="122">
        <v>2014720</v>
      </c>
      <c r="C825" s="122">
        <v>37099</v>
      </c>
      <c r="D825" s="122" t="s">
        <v>719</v>
      </c>
      <c r="E825" s="123">
        <v>67</v>
      </c>
      <c r="F825" s="123" t="str">
        <f>IF(E825&lt;=20,"0-19",
IF(E825&lt;=50,"20-49",
IF(E825&lt;=80,"50-79","80+")))</f>
        <v>50-79</v>
      </c>
      <c r="G825" s="122" t="s">
        <v>49</v>
      </c>
      <c r="H825" s="122" t="s">
        <v>15</v>
      </c>
      <c r="I825" s="122" t="s">
        <v>722</v>
      </c>
      <c r="J825" s="122" t="s">
        <v>2270</v>
      </c>
      <c r="K825" s="123" t="s">
        <v>95</v>
      </c>
      <c r="L825" s="123" t="s">
        <v>95</v>
      </c>
      <c r="M825" s="240" t="s">
        <v>714</v>
      </c>
      <c r="N825" s="157">
        <v>49029.56</v>
      </c>
      <c r="O825" s="122" t="s">
        <v>18</v>
      </c>
      <c r="P825" s="172"/>
      <c r="Q825" s="210"/>
    </row>
    <row r="826" spans="1:17" hidden="1" x14ac:dyDescent="0.2">
      <c r="A826" s="143" t="s">
        <v>1653</v>
      </c>
      <c r="B826" s="123">
        <v>2014720</v>
      </c>
      <c r="C826" s="122">
        <v>37099</v>
      </c>
      <c r="D826" s="123" t="s">
        <v>717</v>
      </c>
      <c r="E826" s="123">
        <v>67</v>
      </c>
      <c r="F826" s="123" t="str">
        <f>IF(E826&lt;=20,"0-19",
IF(E826&lt;=50,"20-49",
IF(E826&lt;=80,"50-79","80+")))</f>
        <v>50-79</v>
      </c>
      <c r="G826" s="121" t="s">
        <v>14</v>
      </c>
      <c r="H826" s="121" t="s">
        <v>706</v>
      </c>
      <c r="I826" s="123" t="s">
        <v>730</v>
      </c>
      <c r="J826" s="123" t="s">
        <v>2270</v>
      </c>
      <c r="K826" s="123" t="s">
        <v>1542</v>
      </c>
      <c r="L826" s="123" t="s">
        <v>1542</v>
      </c>
      <c r="M826" s="240" t="s">
        <v>714</v>
      </c>
      <c r="N826" s="128">
        <v>61042.82</v>
      </c>
      <c r="O826" s="128" t="s">
        <v>2254</v>
      </c>
      <c r="P826" s="147">
        <v>254715209779</v>
      </c>
      <c r="Q826" s="210"/>
    </row>
    <row r="827" spans="1:17" hidden="1" x14ac:dyDescent="0.2">
      <c r="A827" s="155" t="s">
        <v>522</v>
      </c>
      <c r="B827" s="197">
        <v>2013015</v>
      </c>
      <c r="C827" s="197">
        <v>18692</v>
      </c>
      <c r="D827" s="198" t="s">
        <v>759</v>
      </c>
      <c r="E827" s="197">
        <v>66</v>
      </c>
      <c r="F827" s="197" t="str">
        <f>IF(E827&lt;=20,"0-19",
IF(E827&lt;=50,"20-49",
IF(E827&lt;=80,"50-79","80+")))</f>
        <v>50-79</v>
      </c>
      <c r="G827" s="197" t="s">
        <v>49</v>
      </c>
      <c r="H827" s="197" t="s">
        <v>15</v>
      </c>
      <c r="I827" s="198" t="s">
        <v>730</v>
      </c>
      <c r="J827" s="198" t="s">
        <v>2270</v>
      </c>
      <c r="K827" s="198" t="s">
        <v>57</v>
      </c>
      <c r="L827" s="197" t="s">
        <v>57</v>
      </c>
      <c r="M827" s="238" t="s">
        <v>714</v>
      </c>
      <c r="N827" s="202">
        <v>102252.07</v>
      </c>
      <c r="O827" s="125" t="s">
        <v>18</v>
      </c>
      <c r="P827" s="173"/>
      <c r="Q827" s="210"/>
    </row>
    <row r="828" spans="1:17" hidden="1" x14ac:dyDescent="0.2">
      <c r="A828" s="142" t="s">
        <v>53</v>
      </c>
      <c r="B828" s="125">
        <v>2011016</v>
      </c>
      <c r="C828" s="125">
        <v>18256</v>
      </c>
      <c r="D828" s="125" t="s">
        <v>745</v>
      </c>
      <c r="E828" s="125">
        <v>65</v>
      </c>
      <c r="F828" s="125" t="str">
        <f>IF(E828&lt;=20,"0-19",
IF(E828&lt;=50,"20-49",
IF(E828&lt;=80,"50-79","80+")))</f>
        <v>50-79</v>
      </c>
      <c r="G828" s="125" t="s">
        <v>49</v>
      </c>
      <c r="H828" s="125" t="s">
        <v>15</v>
      </c>
      <c r="I828" s="119" t="s">
        <v>720</v>
      </c>
      <c r="J828" s="119" t="s">
        <v>2270</v>
      </c>
      <c r="K828" s="125" t="s">
        <v>1543</v>
      </c>
      <c r="L828" s="125" t="s">
        <v>1543</v>
      </c>
      <c r="M828" s="239" t="s">
        <v>714</v>
      </c>
      <c r="N828" s="126">
        <v>133497.69</v>
      </c>
      <c r="O828" s="126" t="s">
        <v>2254</v>
      </c>
      <c r="P828" s="146">
        <v>254724779335</v>
      </c>
      <c r="Q828" s="210"/>
    </row>
    <row r="829" spans="1:17" hidden="1" x14ac:dyDescent="0.2">
      <c r="A829" s="142" t="s">
        <v>1653</v>
      </c>
      <c r="B829" s="125">
        <v>2014720</v>
      </c>
      <c r="C829" s="125">
        <v>37099</v>
      </c>
      <c r="D829" s="125" t="s">
        <v>719</v>
      </c>
      <c r="E829" s="125">
        <v>67</v>
      </c>
      <c r="F829" s="125" t="str">
        <f>IF(E829&lt;=20,"0-19",
IF(E829&lt;=50,"20-49",
IF(E829&lt;=80,"50-79","80+")))</f>
        <v>50-79</v>
      </c>
      <c r="G829" s="125" t="s">
        <v>14</v>
      </c>
      <c r="H829" s="125" t="s">
        <v>15</v>
      </c>
      <c r="I829" s="119" t="s">
        <v>720</v>
      </c>
      <c r="J829" s="119" t="s">
        <v>2270</v>
      </c>
      <c r="K829" s="125" t="s">
        <v>1543</v>
      </c>
      <c r="L829" s="125" t="s">
        <v>1543</v>
      </c>
      <c r="M829" s="239" t="s">
        <v>714</v>
      </c>
      <c r="N829" s="126">
        <v>57905.31</v>
      </c>
      <c r="O829" s="126" t="s">
        <v>2254</v>
      </c>
      <c r="P829" s="146">
        <v>254798188015</v>
      </c>
      <c r="Q829" s="210"/>
    </row>
    <row r="830" spans="1:17" hidden="1" x14ac:dyDescent="0.2">
      <c r="A830" s="143" t="s">
        <v>1708</v>
      </c>
      <c r="B830" s="122">
        <v>2013015</v>
      </c>
      <c r="C830" s="122">
        <v>18692</v>
      </c>
      <c r="D830" s="122" t="s">
        <v>759</v>
      </c>
      <c r="E830" s="122">
        <v>67</v>
      </c>
      <c r="F830" s="122" t="str">
        <f>IF(E830&lt;=20,"0-19",
IF(E830&lt;=50,"20-49",
IF(E830&lt;=80,"50-79","80+")))</f>
        <v>50-79</v>
      </c>
      <c r="G830" s="122" t="s">
        <v>49</v>
      </c>
      <c r="H830" s="122" t="s">
        <v>15</v>
      </c>
      <c r="I830" s="123" t="s">
        <v>720</v>
      </c>
      <c r="J830" s="123" t="s">
        <v>2270</v>
      </c>
      <c r="K830" s="122" t="s">
        <v>1567</v>
      </c>
      <c r="L830" s="122" t="s">
        <v>1567</v>
      </c>
      <c r="M830" s="240" t="s">
        <v>714</v>
      </c>
      <c r="N830" s="124">
        <v>93792.61</v>
      </c>
      <c r="O830" s="124" t="s">
        <v>2254</v>
      </c>
      <c r="P830" s="147">
        <v>254722282030</v>
      </c>
      <c r="Q830" s="210"/>
    </row>
    <row r="831" spans="1:17" hidden="1" x14ac:dyDescent="0.2">
      <c r="A831" s="156" t="s">
        <v>309</v>
      </c>
      <c r="B831" s="197">
        <v>2014720</v>
      </c>
      <c r="C831" s="197">
        <v>37099</v>
      </c>
      <c r="D831" s="198" t="s">
        <v>719</v>
      </c>
      <c r="E831" s="197">
        <v>67</v>
      </c>
      <c r="F831" s="197" t="str">
        <f>IF(E831&lt;=20,"0-19",
IF(E831&lt;=50,"20-49",
IF(E831&lt;=80,"50-79","80+")))</f>
        <v>50-79</v>
      </c>
      <c r="G831" s="197" t="s">
        <v>49</v>
      </c>
      <c r="H831" s="197" t="s">
        <v>15</v>
      </c>
      <c r="I831" s="198" t="s">
        <v>720</v>
      </c>
      <c r="J831" s="198" t="s">
        <v>2270</v>
      </c>
      <c r="K831" s="198" t="s">
        <v>42</v>
      </c>
      <c r="L831" s="197" t="s">
        <v>42</v>
      </c>
      <c r="M831" s="238" t="s">
        <v>714</v>
      </c>
      <c r="N831" s="202">
        <v>37583.53</v>
      </c>
      <c r="O831" s="122" t="s">
        <v>18</v>
      </c>
      <c r="P831" s="172"/>
      <c r="Q831" s="210"/>
    </row>
    <row r="832" spans="1:17" hidden="1" x14ac:dyDescent="0.2">
      <c r="A832" s="155" t="s">
        <v>53</v>
      </c>
      <c r="B832" s="125">
        <v>2011016</v>
      </c>
      <c r="C832" s="125">
        <v>18256</v>
      </c>
      <c r="D832" s="125" t="s">
        <v>745</v>
      </c>
      <c r="E832" s="125">
        <v>65</v>
      </c>
      <c r="F832" s="125" t="str">
        <f>IF(E832&lt;=20,"0-19",
IF(E832&lt;=50,"20-49",
IF(E832&lt;=80,"50-79","80+")))</f>
        <v>50-79</v>
      </c>
      <c r="G832" s="125" t="s">
        <v>49</v>
      </c>
      <c r="H832" s="125" t="s">
        <v>15</v>
      </c>
      <c r="I832" s="119" t="s">
        <v>730</v>
      </c>
      <c r="J832" s="119" t="s">
        <v>2270</v>
      </c>
      <c r="K832" s="119" t="s">
        <v>1238</v>
      </c>
      <c r="L832" s="119" t="s">
        <v>1238</v>
      </c>
      <c r="M832" s="239" t="s">
        <v>714</v>
      </c>
      <c r="N832" s="162">
        <v>133540</v>
      </c>
      <c r="O832" s="125" t="s">
        <v>832</v>
      </c>
      <c r="P832" s="172"/>
      <c r="Q832" s="210"/>
    </row>
    <row r="833" spans="1:17" hidden="1" x14ac:dyDescent="0.2">
      <c r="A833" s="155" t="s">
        <v>1237</v>
      </c>
      <c r="B833" s="119">
        <v>2014720</v>
      </c>
      <c r="C833" s="125">
        <v>37099</v>
      </c>
      <c r="D833" s="125" t="s">
        <v>719</v>
      </c>
      <c r="E833" s="119">
        <v>67</v>
      </c>
      <c r="F833" s="119" t="str">
        <f>IF(E833&lt;=20,"0-19",
IF(E833&lt;=50,"20-49",
IF(E833&lt;=80,"50-79","80+")))</f>
        <v>50-79</v>
      </c>
      <c r="G833" s="119" t="s">
        <v>49</v>
      </c>
      <c r="H833" s="119" t="s">
        <v>15</v>
      </c>
      <c r="I833" s="119" t="s">
        <v>720</v>
      </c>
      <c r="J833" s="119" t="s">
        <v>2270</v>
      </c>
      <c r="K833" s="119" t="s">
        <v>1238</v>
      </c>
      <c r="L833" s="119" t="s">
        <v>1238</v>
      </c>
      <c r="M833" s="239" t="s">
        <v>714</v>
      </c>
      <c r="N833" s="165">
        <v>35752.35</v>
      </c>
      <c r="O833" s="125" t="s">
        <v>832</v>
      </c>
      <c r="P833" s="173"/>
      <c r="Q833" s="210"/>
    </row>
    <row r="834" spans="1:17" hidden="1" x14ac:dyDescent="0.2">
      <c r="A834" s="155" t="s">
        <v>726</v>
      </c>
      <c r="B834" s="125">
        <v>2007072</v>
      </c>
      <c r="C834" s="125">
        <v>20611</v>
      </c>
      <c r="D834" s="125" t="s">
        <v>729</v>
      </c>
      <c r="E834" s="119">
        <v>66</v>
      </c>
      <c r="F834" s="119" t="str">
        <f>IF(E834&lt;=20,"0-19",
IF(E834&lt;=50,"20-49",
IF(E834&lt;=80,"50-79","80+")))</f>
        <v>50-79</v>
      </c>
      <c r="G834" s="125" t="s">
        <v>49</v>
      </c>
      <c r="H834" s="125" t="s">
        <v>15</v>
      </c>
      <c r="I834" s="125" t="s">
        <v>730</v>
      </c>
      <c r="J834" s="125" t="s">
        <v>2270</v>
      </c>
      <c r="K834" s="119" t="s">
        <v>94</v>
      </c>
      <c r="L834" s="119" t="s">
        <v>94</v>
      </c>
      <c r="M834" s="239" t="s">
        <v>714</v>
      </c>
      <c r="N834" s="165">
        <v>65600</v>
      </c>
      <c r="O834" s="125" t="s">
        <v>18</v>
      </c>
      <c r="P834" s="173"/>
      <c r="Q834" s="210"/>
    </row>
    <row r="835" spans="1:17" hidden="1" x14ac:dyDescent="0.2">
      <c r="A835" s="155" t="s">
        <v>522</v>
      </c>
      <c r="B835" s="125">
        <v>2013015</v>
      </c>
      <c r="C835" s="125">
        <v>18692</v>
      </c>
      <c r="D835" s="125" t="s">
        <v>760</v>
      </c>
      <c r="E835" s="125">
        <v>66</v>
      </c>
      <c r="F835" s="125" t="str">
        <f>IF(E835&lt;=20,"0-19",
IF(E835&lt;=50,"20-49",
IF(E835&lt;=80,"50-79","80+")))</f>
        <v>50-79</v>
      </c>
      <c r="G835" s="125" t="s">
        <v>49</v>
      </c>
      <c r="H835" s="125" t="s">
        <v>15</v>
      </c>
      <c r="I835" s="119" t="s">
        <v>720</v>
      </c>
      <c r="J835" s="119" t="s">
        <v>2270</v>
      </c>
      <c r="K835" s="119" t="s">
        <v>1241</v>
      </c>
      <c r="L835" s="119" t="s">
        <v>1241</v>
      </c>
      <c r="M835" s="239" t="s">
        <v>714</v>
      </c>
      <c r="N835" s="162">
        <v>92637</v>
      </c>
      <c r="O835" s="125" t="s">
        <v>832</v>
      </c>
      <c r="P835" s="173"/>
      <c r="Q835" s="210"/>
    </row>
    <row r="836" spans="1:17" hidden="1" x14ac:dyDescent="0.2">
      <c r="A836" s="142" t="s">
        <v>1653</v>
      </c>
      <c r="B836" s="125">
        <v>2014720</v>
      </c>
      <c r="C836" s="125">
        <v>37099</v>
      </c>
      <c r="D836" s="125" t="s">
        <v>719</v>
      </c>
      <c r="E836" s="125">
        <v>67</v>
      </c>
      <c r="F836" s="125" t="str">
        <f>IF(E836&lt;=20,"0-19",
IF(E836&lt;=50,"20-49",
IF(E836&lt;=80,"50-79","80+")))</f>
        <v>50-79</v>
      </c>
      <c r="G836" s="125" t="s">
        <v>2011</v>
      </c>
      <c r="H836" s="125" t="s">
        <v>15</v>
      </c>
      <c r="I836" s="125" t="s">
        <v>720</v>
      </c>
      <c r="J836" s="125" t="s">
        <v>2270</v>
      </c>
      <c r="K836" s="119" t="s">
        <v>1928</v>
      </c>
      <c r="L836" s="125" t="s">
        <v>1928</v>
      </c>
      <c r="M836" s="239" t="s">
        <v>714</v>
      </c>
      <c r="N836" s="126">
        <v>50371</v>
      </c>
      <c r="O836" s="126" t="s">
        <v>2254</v>
      </c>
      <c r="P836" s="146">
        <v>791800248</v>
      </c>
      <c r="Q836" s="210"/>
    </row>
    <row r="837" spans="1:17" hidden="1" x14ac:dyDescent="0.2">
      <c r="A837" s="143" t="s">
        <v>53</v>
      </c>
      <c r="B837" s="123">
        <v>2021273</v>
      </c>
      <c r="C837" s="122">
        <v>56896</v>
      </c>
      <c r="D837" s="123" t="s">
        <v>1613</v>
      </c>
      <c r="E837" s="123">
        <v>59</v>
      </c>
      <c r="F837" s="123" t="str">
        <f>IF(E837&lt;=20,"0-19",
IF(E837&lt;=50,"20-49",
IF(E837&lt;=80,"50-79","80+")))</f>
        <v>50-79</v>
      </c>
      <c r="G837" s="123" t="s">
        <v>49</v>
      </c>
      <c r="H837" s="123" t="s">
        <v>15</v>
      </c>
      <c r="I837" s="123" t="s">
        <v>730</v>
      </c>
      <c r="J837" s="123" t="s">
        <v>2270</v>
      </c>
      <c r="K837" s="123" t="s">
        <v>1923</v>
      </c>
      <c r="L837" s="121" t="s">
        <v>1923</v>
      </c>
      <c r="M837" s="240" t="s">
        <v>714</v>
      </c>
      <c r="N837" s="128">
        <v>60000</v>
      </c>
      <c r="O837" s="128" t="s">
        <v>2254</v>
      </c>
      <c r="P837" s="147">
        <v>254726386129</v>
      </c>
      <c r="Q837" s="210"/>
    </row>
    <row r="838" spans="1:17" hidden="1" x14ac:dyDescent="0.2">
      <c r="A838" s="156" t="s">
        <v>309</v>
      </c>
      <c r="B838" s="125">
        <v>2014720</v>
      </c>
      <c r="C838" s="125">
        <v>37099</v>
      </c>
      <c r="D838" s="125" t="s">
        <v>719</v>
      </c>
      <c r="E838" s="119">
        <v>67</v>
      </c>
      <c r="F838" s="119" t="str">
        <f>IF(E838&lt;=20,"0-19",
IF(E838&lt;=50,"20-49",
IF(E838&lt;=80,"50-79","80+")))</f>
        <v>50-79</v>
      </c>
      <c r="G838" s="125" t="s">
        <v>49</v>
      </c>
      <c r="H838" s="125" t="s">
        <v>15</v>
      </c>
      <c r="I838" s="125" t="s">
        <v>720</v>
      </c>
      <c r="J838" s="125" t="s">
        <v>2270</v>
      </c>
      <c r="K838" s="119" t="s">
        <v>85</v>
      </c>
      <c r="L838" s="119" t="s">
        <v>85</v>
      </c>
      <c r="M838" s="239" t="s">
        <v>714</v>
      </c>
      <c r="N838" s="165">
        <v>37347.040000000001</v>
      </c>
      <c r="O838" s="125" t="s">
        <v>18</v>
      </c>
      <c r="P838" s="173"/>
      <c r="Q838" s="210"/>
    </row>
    <row r="839" spans="1:17" hidden="1" x14ac:dyDescent="0.2">
      <c r="A839" s="155" t="s">
        <v>53</v>
      </c>
      <c r="B839" s="125">
        <v>2011016</v>
      </c>
      <c r="C839" s="125">
        <v>18256</v>
      </c>
      <c r="D839" s="125" t="s">
        <v>745</v>
      </c>
      <c r="E839" s="119">
        <v>65</v>
      </c>
      <c r="F839" s="119" t="str">
        <f>IF(E839&lt;=20,"0-19",
IF(E839&lt;=50,"20-49",
IF(E839&lt;=80,"50-79","80+")))</f>
        <v>50-79</v>
      </c>
      <c r="G839" s="125" t="s">
        <v>746</v>
      </c>
      <c r="H839" s="125" t="s">
        <v>22</v>
      </c>
      <c r="I839" s="125" t="s">
        <v>720</v>
      </c>
      <c r="J839" s="125" t="s">
        <v>2270</v>
      </c>
      <c r="K839" s="119" t="s">
        <v>193</v>
      </c>
      <c r="L839" s="119" t="s">
        <v>193</v>
      </c>
      <c r="M839" s="239" t="s">
        <v>714</v>
      </c>
      <c r="N839" s="165">
        <v>5481</v>
      </c>
      <c r="O839" s="125" t="s">
        <v>18</v>
      </c>
      <c r="P839" s="173"/>
      <c r="Q839" s="210"/>
    </row>
    <row r="840" spans="1:17" hidden="1" x14ac:dyDescent="0.2">
      <c r="A840" s="155" t="s">
        <v>522</v>
      </c>
      <c r="B840" s="122">
        <v>2013015</v>
      </c>
      <c r="C840" s="122">
        <v>18692</v>
      </c>
      <c r="D840" s="122" t="s">
        <v>760</v>
      </c>
      <c r="E840" s="123">
        <v>66</v>
      </c>
      <c r="F840" s="123" t="str">
        <f>IF(E840&lt;=20,"0-19",
IF(E840&lt;=50,"20-49",
IF(E840&lt;=80,"50-79","80+")))</f>
        <v>50-79</v>
      </c>
      <c r="G840" s="122" t="s">
        <v>49</v>
      </c>
      <c r="H840" s="122" t="s">
        <v>15</v>
      </c>
      <c r="I840" s="122" t="s">
        <v>720</v>
      </c>
      <c r="J840" s="122" t="s">
        <v>2270</v>
      </c>
      <c r="K840" s="123" t="s">
        <v>31</v>
      </c>
      <c r="L840" s="123" t="s">
        <v>193</v>
      </c>
      <c r="M840" s="240" t="s">
        <v>714</v>
      </c>
      <c r="N840" s="157">
        <v>103402.84</v>
      </c>
      <c r="O840" s="122" t="s">
        <v>18</v>
      </c>
      <c r="P840" s="172"/>
      <c r="Q840" s="210"/>
    </row>
    <row r="841" spans="1:17" hidden="1" x14ac:dyDescent="0.2">
      <c r="A841" s="182" t="s">
        <v>534</v>
      </c>
      <c r="B841" s="178">
        <v>2021273</v>
      </c>
      <c r="C841" s="178">
        <v>56896</v>
      </c>
      <c r="D841" s="178" t="s">
        <v>782</v>
      </c>
      <c r="E841" s="178">
        <v>56</v>
      </c>
      <c r="F841" s="178" t="str">
        <f>IF(E841&lt;=20,"0-19",
IF(E841&lt;=50,"20-49",
IF(E841&lt;=80,"50-79","80+")))</f>
        <v>50-79</v>
      </c>
      <c r="G841" s="178" t="s">
        <v>49</v>
      </c>
      <c r="H841" s="178" t="s">
        <v>15</v>
      </c>
      <c r="I841" s="178" t="s">
        <v>720</v>
      </c>
      <c r="J841" s="178" t="s">
        <v>2270</v>
      </c>
      <c r="K841" s="178" t="s">
        <v>190</v>
      </c>
      <c r="L841" s="178" t="s">
        <v>190</v>
      </c>
      <c r="M841" s="242" t="s">
        <v>714</v>
      </c>
      <c r="N841" s="158">
        <v>55000</v>
      </c>
      <c r="O841" s="122" t="s">
        <v>18</v>
      </c>
      <c r="P841" s="172"/>
      <c r="Q841" s="210"/>
    </row>
    <row r="842" spans="1:17" hidden="1" x14ac:dyDescent="0.2">
      <c r="A842" s="155" t="s">
        <v>923</v>
      </c>
      <c r="B842" s="125">
        <v>2004761</v>
      </c>
      <c r="C842" s="125">
        <v>31664</v>
      </c>
      <c r="D842" s="125" t="s">
        <v>1246</v>
      </c>
      <c r="E842" s="125">
        <v>64</v>
      </c>
      <c r="F842" s="125" t="str">
        <f>IF(E842&lt;=20,"0-19",
IF(E842&lt;=50,"20-49",
IF(E842&lt;=80,"50-79","80+")))</f>
        <v>50-79</v>
      </c>
      <c r="G842" s="125" t="s">
        <v>49</v>
      </c>
      <c r="H842" s="125" t="s">
        <v>15</v>
      </c>
      <c r="I842" s="125" t="s">
        <v>1247</v>
      </c>
      <c r="J842" s="125" t="s">
        <v>2270</v>
      </c>
      <c r="K842" s="125" t="s">
        <v>1248</v>
      </c>
      <c r="L842" s="125" t="s">
        <v>1249</v>
      </c>
      <c r="M842" s="239" t="s">
        <v>714</v>
      </c>
      <c r="N842" s="162">
        <v>25650</v>
      </c>
      <c r="O842" s="125" t="s">
        <v>832</v>
      </c>
      <c r="P842" s="173"/>
      <c r="Q842" s="210"/>
    </row>
    <row r="843" spans="1:17" hidden="1" x14ac:dyDescent="0.2">
      <c r="A843" s="143" t="s">
        <v>53</v>
      </c>
      <c r="B843" s="122">
        <v>2013525</v>
      </c>
      <c r="C843" s="122">
        <v>10031</v>
      </c>
      <c r="D843" s="122" t="s">
        <v>1582</v>
      </c>
      <c r="E843" s="122">
        <v>66</v>
      </c>
      <c r="F843" s="122" t="str">
        <f>IF(E843&lt;=20,"0-19",
IF(E843&lt;=50,"20-49",
IF(E843&lt;=80,"50-79","80+")))</f>
        <v>50-79</v>
      </c>
      <c r="G843" s="122" t="s">
        <v>49</v>
      </c>
      <c r="H843" s="122" t="s">
        <v>15</v>
      </c>
      <c r="I843" s="123" t="s">
        <v>1270</v>
      </c>
      <c r="J843" s="123" t="s">
        <v>2270</v>
      </c>
      <c r="K843" s="122" t="s">
        <v>1664</v>
      </c>
      <c r="L843" s="122" t="s">
        <v>1589</v>
      </c>
      <c r="M843" s="240" t="s">
        <v>714</v>
      </c>
      <c r="N843" s="124">
        <v>62100</v>
      </c>
      <c r="O843" s="124" t="s">
        <v>2254</v>
      </c>
      <c r="P843" s="147">
        <v>254722636922</v>
      </c>
      <c r="Q843" s="210"/>
    </row>
    <row r="844" spans="1:17" hidden="1" x14ac:dyDescent="0.2">
      <c r="A844" s="142" t="s">
        <v>354</v>
      </c>
      <c r="B844" s="125">
        <v>2013525</v>
      </c>
      <c r="C844" s="125">
        <v>10031</v>
      </c>
      <c r="D844" s="125" t="s">
        <v>1582</v>
      </c>
      <c r="E844" s="125">
        <v>66</v>
      </c>
      <c r="F844" s="125" t="str">
        <f>IF(E844&lt;=20,"0-19",
IF(E844&lt;=50,"20-49",
IF(E844&lt;=80,"50-79","80+")))</f>
        <v>50-79</v>
      </c>
      <c r="G844" s="125" t="s">
        <v>49</v>
      </c>
      <c r="H844" s="125" t="s">
        <v>15</v>
      </c>
      <c r="I844" s="119" t="s">
        <v>1270</v>
      </c>
      <c r="J844" s="119" t="s">
        <v>2270</v>
      </c>
      <c r="K844" s="125" t="s">
        <v>1567</v>
      </c>
      <c r="L844" s="125" t="s">
        <v>1567</v>
      </c>
      <c r="M844" s="239" t="s">
        <v>714</v>
      </c>
      <c r="N844" s="126">
        <v>15125.29</v>
      </c>
      <c r="O844" s="126" t="s">
        <v>2254</v>
      </c>
      <c r="P844" s="146">
        <v>254720552242</v>
      </c>
      <c r="Q844" s="210"/>
    </row>
    <row r="845" spans="1:17" hidden="1" x14ac:dyDescent="0.2">
      <c r="A845" s="142" t="s">
        <v>354</v>
      </c>
      <c r="B845" s="125">
        <v>2013525</v>
      </c>
      <c r="C845" s="125">
        <v>10031</v>
      </c>
      <c r="D845" s="125" t="s">
        <v>1582</v>
      </c>
      <c r="E845" s="125">
        <v>65</v>
      </c>
      <c r="F845" s="125" t="str">
        <f>IF(E845&lt;=20,"0-19",
IF(E845&lt;=50,"20-49",
IF(E845&lt;=80,"50-79","80+")))</f>
        <v>50-79</v>
      </c>
      <c r="G845" s="125" t="s">
        <v>960</v>
      </c>
      <c r="H845" s="125" t="s">
        <v>15</v>
      </c>
      <c r="I845" s="125" t="s">
        <v>1270</v>
      </c>
      <c r="J845" s="125" t="s">
        <v>2270</v>
      </c>
      <c r="K845" s="119" t="s">
        <v>1928</v>
      </c>
      <c r="L845" s="125" t="s">
        <v>1928</v>
      </c>
      <c r="M845" s="239" t="s">
        <v>714</v>
      </c>
      <c r="N845" s="126">
        <v>12577.25</v>
      </c>
      <c r="O845" s="126" t="s">
        <v>2254</v>
      </c>
      <c r="P845" s="146">
        <v>254710627717</v>
      </c>
      <c r="Q845" s="210"/>
    </row>
    <row r="846" spans="1:17" hidden="1" x14ac:dyDescent="0.2">
      <c r="A846" s="144" t="s">
        <v>710</v>
      </c>
      <c r="B846" s="122">
        <v>2002469</v>
      </c>
      <c r="C846" s="122">
        <v>18127</v>
      </c>
      <c r="D846" s="122" t="s">
        <v>711</v>
      </c>
      <c r="E846" s="123">
        <v>22</v>
      </c>
      <c r="F846" s="123" t="str">
        <f>IF(E846&lt;=20,"0-19",
IF(E846&lt;=50,"20-49",
IF(E846&lt;=80,"50-79","80+")))</f>
        <v>20-49</v>
      </c>
      <c r="G846" s="122" t="s">
        <v>49</v>
      </c>
      <c r="H846" s="122" t="s">
        <v>22</v>
      </c>
      <c r="I846" s="122" t="s">
        <v>712</v>
      </c>
      <c r="J846" s="122" t="s">
        <v>2270</v>
      </c>
      <c r="K846" s="123" t="s">
        <v>713</v>
      </c>
      <c r="L846" s="123" t="s">
        <v>99</v>
      </c>
      <c r="M846" s="240" t="s">
        <v>714</v>
      </c>
      <c r="N846" s="157">
        <v>79150</v>
      </c>
      <c r="O846" s="122" t="s">
        <v>18</v>
      </c>
      <c r="P846" s="172"/>
      <c r="Q846" s="210"/>
    </row>
    <row r="847" spans="1:17" hidden="1" x14ac:dyDescent="0.2">
      <c r="A847" s="144" t="s">
        <v>75</v>
      </c>
      <c r="B847" s="122">
        <v>2011004</v>
      </c>
      <c r="C847" s="122">
        <v>101184</v>
      </c>
      <c r="D847" s="122" t="s">
        <v>261</v>
      </c>
      <c r="E847" s="123">
        <v>64</v>
      </c>
      <c r="F847" s="123" t="str">
        <f>IF(E847&lt;=20,"0-19",
IF(E847&lt;=50,"20-49",
IF(E847&lt;=80,"50-79","80+")))</f>
        <v>50-79</v>
      </c>
      <c r="G847" s="122" t="s">
        <v>14</v>
      </c>
      <c r="H847" s="122" t="s">
        <v>15</v>
      </c>
      <c r="I847" s="122" t="s">
        <v>712</v>
      </c>
      <c r="J847" s="122" t="s">
        <v>2270</v>
      </c>
      <c r="K847" s="123" t="s">
        <v>31</v>
      </c>
      <c r="L847" s="123" t="s">
        <v>31</v>
      </c>
      <c r="M847" s="240" t="s">
        <v>714</v>
      </c>
      <c r="N847" s="157">
        <v>11400</v>
      </c>
      <c r="O847" s="122" t="s">
        <v>18</v>
      </c>
      <c r="P847" s="172"/>
      <c r="Q847" s="210"/>
    </row>
    <row r="848" spans="1:17" ht="21" hidden="1" x14ac:dyDescent="0.2">
      <c r="A848" s="155" t="s">
        <v>726</v>
      </c>
      <c r="B848" s="118">
        <v>2009023</v>
      </c>
      <c r="C848" s="125">
        <v>18240</v>
      </c>
      <c r="D848" s="118" t="s">
        <v>1191</v>
      </c>
      <c r="E848" s="118">
        <v>42</v>
      </c>
      <c r="F848" s="118" t="str">
        <f>IF(E848&lt;=20,"0-19",
IF(E848&lt;=50,"20-49",
IF(E848&lt;=80,"50-79","80+")))</f>
        <v>20-49</v>
      </c>
      <c r="G848" s="118" t="s">
        <v>49</v>
      </c>
      <c r="H848" s="118" t="s">
        <v>15</v>
      </c>
      <c r="I848" s="118" t="s">
        <v>1270</v>
      </c>
      <c r="J848" s="118" t="s">
        <v>2270</v>
      </c>
      <c r="K848" s="118" t="s">
        <v>1271</v>
      </c>
      <c r="L848" s="118" t="s">
        <v>1254</v>
      </c>
      <c r="M848" s="239" t="s">
        <v>714</v>
      </c>
      <c r="N848" s="160">
        <v>114000</v>
      </c>
      <c r="O848" s="125" t="s">
        <v>832</v>
      </c>
      <c r="P848" s="172"/>
      <c r="Q848" s="210"/>
    </row>
    <row r="849" spans="1:17" hidden="1" x14ac:dyDescent="0.2">
      <c r="A849" s="155" t="s">
        <v>373</v>
      </c>
      <c r="B849" s="118">
        <v>2020043</v>
      </c>
      <c r="C849" s="125">
        <v>18791</v>
      </c>
      <c r="D849" s="118" t="s">
        <v>1198</v>
      </c>
      <c r="E849" s="118">
        <v>67</v>
      </c>
      <c r="F849" s="118" t="str">
        <f>IF(E849&lt;=20,"0-19",
IF(E849&lt;=50,"20-49",
IF(E849&lt;=80,"50-79","80+")))</f>
        <v>50-79</v>
      </c>
      <c r="G849" s="118" t="s">
        <v>49</v>
      </c>
      <c r="H849" s="118" t="s">
        <v>15</v>
      </c>
      <c r="I849" s="118" t="s">
        <v>1199</v>
      </c>
      <c r="J849" s="118" t="s">
        <v>2270</v>
      </c>
      <c r="K849" s="118" t="s">
        <v>835</v>
      </c>
      <c r="L849" s="118" t="s">
        <v>835</v>
      </c>
      <c r="M849" s="239" t="s">
        <v>714</v>
      </c>
      <c r="N849" s="160">
        <v>27800</v>
      </c>
      <c r="O849" s="125" t="s">
        <v>832</v>
      </c>
      <c r="P849" s="172"/>
      <c r="Q849" s="210"/>
    </row>
    <row r="850" spans="1:17" ht="21" hidden="1" x14ac:dyDescent="0.2">
      <c r="A850" s="155" t="s">
        <v>373</v>
      </c>
      <c r="B850" s="118">
        <v>2020043</v>
      </c>
      <c r="C850" s="125">
        <v>18791</v>
      </c>
      <c r="D850" s="118" t="s">
        <v>1200</v>
      </c>
      <c r="E850" s="118">
        <v>67</v>
      </c>
      <c r="F850" s="118" t="str">
        <f>IF(E850&lt;=20,"0-19",
IF(E850&lt;=50,"20-49",
IF(E850&lt;=80,"50-79","80+")))</f>
        <v>50-79</v>
      </c>
      <c r="G850" s="118" t="s">
        <v>49</v>
      </c>
      <c r="H850" s="118" t="s">
        <v>15</v>
      </c>
      <c r="I850" s="118" t="s">
        <v>1199</v>
      </c>
      <c r="J850" s="118" t="s">
        <v>2270</v>
      </c>
      <c r="K850" s="118" t="s">
        <v>1201</v>
      </c>
      <c r="L850" s="118" t="s">
        <v>843</v>
      </c>
      <c r="M850" s="239" t="s">
        <v>714</v>
      </c>
      <c r="N850" s="160">
        <v>70000</v>
      </c>
      <c r="O850" s="125" t="s">
        <v>832</v>
      </c>
      <c r="P850" s="172"/>
      <c r="Q850" s="210"/>
    </row>
    <row r="851" spans="1:17" ht="21" hidden="1" x14ac:dyDescent="0.2">
      <c r="A851" s="155" t="s">
        <v>373</v>
      </c>
      <c r="B851" s="125">
        <v>2020043</v>
      </c>
      <c r="C851" s="125">
        <v>18791</v>
      </c>
      <c r="D851" s="125" t="s">
        <v>1202</v>
      </c>
      <c r="E851" s="125">
        <v>67</v>
      </c>
      <c r="F851" s="125" t="str">
        <f>IF(E851&lt;=20,"0-19",
IF(E851&lt;=50,"20-49",
IF(E851&lt;=80,"50-79","80+")))</f>
        <v>50-79</v>
      </c>
      <c r="G851" s="125" t="s">
        <v>49</v>
      </c>
      <c r="H851" s="125" t="s">
        <v>706</v>
      </c>
      <c r="I851" s="125" t="s">
        <v>1203</v>
      </c>
      <c r="J851" s="125" t="s">
        <v>2270</v>
      </c>
      <c r="K851" s="119" t="s">
        <v>1204</v>
      </c>
      <c r="L851" s="119" t="s">
        <v>859</v>
      </c>
      <c r="M851" s="239" t="s">
        <v>714</v>
      </c>
      <c r="N851" s="162">
        <v>100000</v>
      </c>
      <c r="O851" s="125" t="s">
        <v>832</v>
      </c>
      <c r="P851" s="172"/>
      <c r="Q851" s="210"/>
    </row>
    <row r="852" spans="1:17" hidden="1" x14ac:dyDescent="0.2">
      <c r="A852" s="155" t="s">
        <v>726</v>
      </c>
      <c r="B852" s="125">
        <v>2002668</v>
      </c>
      <c r="C852" s="125">
        <v>17920</v>
      </c>
      <c r="D852" s="125" t="s">
        <v>1265</v>
      </c>
      <c r="E852" s="125">
        <v>66</v>
      </c>
      <c r="F852" s="125" t="str">
        <f>IF(E852&lt;=20,"0-19",
IF(E852&lt;=50,"20-49",
IF(E852&lt;=80,"50-79","80+")))</f>
        <v>50-79</v>
      </c>
      <c r="G852" s="125" t="s">
        <v>60</v>
      </c>
      <c r="H852" s="125" t="s">
        <v>22</v>
      </c>
      <c r="I852" s="125" t="s">
        <v>1199</v>
      </c>
      <c r="J852" s="125" t="s">
        <v>2270</v>
      </c>
      <c r="K852" s="125" t="s">
        <v>1236</v>
      </c>
      <c r="L852" s="125" t="s">
        <v>1236</v>
      </c>
      <c r="M852" s="239" t="s">
        <v>714</v>
      </c>
      <c r="N852" s="162">
        <v>70475</v>
      </c>
      <c r="O852" s="125" t="s">
        <v>832</v>
      </c>
      <c r="P852" s="173"/>
      <c r="Q852" s="210"/>
    </row>
    <row r="853" spans="1:17" ht="21" hidden="1" x14ac:dyDescent="0.2">
      <c r="A853" s="155" t="s">
        <v>726</v>
      </c>
      <c r="B853" s="125">
        <v>2012481</v>
      </c>
      <c r="C853" s="125">
        <v>10103</v>
      </c>
      <c r="D853" s="125" t="s">
        <v>1267</v>
      </c>
      <c r="E853" s="125">
        <v>63</v>
      </c>
      <c r="F853" s="125" t="str">
        <f>IF(E853&lt;=20,"0-19",
IF(E853&lt;=50,"20-49",
IF(E853&lt;=80,"50-79","80+")))</f>
        <v>50-79</v>
      </c>
      <c r="G853" s="125" t="s">
        <v>60</v>
      </c>
      <c r="H853" s="125" t="s">
        <v>22</v>
      </c>
      <c r="I853" s="119" t="s">
        <v>1199</v>
      </c>
      <c r="J853" s="119" t="s">
        <v>2270</v>
      </c>
      <c r="K853" s="119" t="s">
        <v>1268</v>
      </c>
      <c r="L853" s="119" t="s">
        <v>1242</v>
      </c>
      <c r="M853" s="239" t="s">
        <v>714</v>
      </c>
      <c r="N853" s="162">
        <v>16975</v>
      </c>
      <c r="O853" s="125" t="s">
        <v>832</v>
      </c>
      <c r="P853" s="173"/>
      <c r="Q853" s="210"/>
    </row>
    <row r="854" spans="1:17" ht="31.5" hidden="1" x14ac:dyDescent="0.2">
      <c r="A854" s="155" t="s">
        <v>373</v>
      </c>
      <c r="B854" s="118">
        <v>2020043</v>
      </c>
      <c r="C854" s="125">
        <v>18791</v>
      </c>
      <c r="D854" s="118" t="s">
        <v>1200</v>
      </c>
      <c r="E854" s="118">
        <v>66</v>
      </c>
      <c r="F854" s="118" t="str">
        <f>IF(E854&lt;=20,"0-19",
IF(E854&lt;=50,"20-49",
IF(E854&lt;=80,"50-79","80+")))</f>
        <v>50-79</v>
      </c>
      <c r="G854" s="118" t="s">
        <v>49</v>
      </c>
      <c r="H854" s="118" t="s">
        <v>15</v>
      </c>
      <c r="I854" s="118" t="s">
        <v>1203</v>
      </c>
      <c r="J854" s="118" t="s">
        <v>2270</v>
      </c>
      <c r="K854" s="118" t="s">
        <v>1481</v>
      </c>
      <c r="L854" s="118" t="s">
        <v>1264</v>
      </c>
      <c r="M854" s="239" t="s">
        <v>714</v>
      </c>
      <c r="N854" s="160">
        <v>50000</v>
      </c>
      <c r="O854" s="125" t="s">
        <v>832</v>
      </c>
      <c r="P854" s="172"/>
      <c r="Q854" s="210"/>
    </row>
    <row r="855" spans="1:17" ht="21" hidden="1" x14ac:dyDescent="0.2">
      <c r="A855" s="143" t="s">
        <v>53</v>
      </c>
      <c r="B855" s="122">
        <v>2012481</v>
      </c>
      <c r="C855" s="122">
        <v>10103</v>
      </c>
      <c r="D855" s="122" t="s">
        <v>1267</v>
      </c>
      <c r="E855" s="122">
        <v>65</v>
      </c>
      <c r="F855" s="122" t="str">
        <f>IF(E855&lt;=20,"0-19",
IF(E855&lt;=50,"20-49",
IF(E855&lt;=80,"50-79","80+")))</f>
        <v>50-79</v>
      </c>
      <c r="G855" s="122" t="s">
        <v>60</v>
      </c>
      <c r="H855" s="122" t="s">
        <v>22</v>
      </c>
      <c r="I855" s="122" t="s">
        <v>2153</v>
      </c>
      <c r="J855" s="122" t="s">
        <v>2270</v>
      </c>
      <c r="K855" s="123" t="s">
        <v>2154</v>
      </c>
      <c r="L855" s="122" t="s">
        <v>1913</v>
      </c>
      <c r="M855" s="240" t="s">
        <v>714</v>
      </c>
      <c r="N855" s="124">
        <v>167380</v>
      </c>
      <c r="O855" s="124" t="s">
        <v>2254</v>
      </c>
      <c r="P855" s="147">
        <v>254714417008</v>
      </c>
      <c r="Q855" s="210"/>
    </row>
    <row r="856" spans="1:17" ht="31.5" hidden="1" x14ac:dyDescent="0.2">
      <c r="A856" s="140" t="s">
        <v>534</v>
      </c>
      <c r="B856" s="118">
        <v>2018734</v>
      </c>
      <c r="C856" s="118">
        <v>64401</v>
      </c>
      <c r="D856" s="118" t="s">
        <v>779</v>
      </c>
      <c r="E856" s="118">
        <v>61</v>
      </c>
      <c r="F856" s="118" t="str">
        <f>IF(E856&lt;=20,"0-19",
IF(E856&lt;=50,"20-49",
IF(E856&lt;=80,"50-79","80+")))</f>
        <v>50-79</v>
      </c>
      <c r="G856" s="118" t="s">
        <v>60</v>
      </c>
      <c r="H856" s="118" t="s">
        <v>22</v>
      </c>
      <c r="I856" s="118" t="s">
        <v>780</v>
      </c>
      <c r="J856" s="118" t="s">
        <v>2270</v>
      </c>
      <c r="K856" s="118" t="s">
        <v>781</v>
      </c>
      <c r="L856" s="118" t="s">
        <v>289</v>
      </c>
      <c r="M856" s="241" t="s">
        <v>714</v>
      </c>
      <c r="N856" s="160">
        <v>105000</v>
      </c>
      <c r="O856" s="125" t="s">
        <v>18</v>
      </c>
      <c r="P856" s="173"/>
      <c r="Q856" s="210"/>
    </row>
    <row r="857" spans="1:17" hidden="1" x14ac:dyDescent="0.2">
      <c r="A857" s="155" t="s">
        <v>53</v>
      </c>
      <c r="B857" s="122">
        <v>2502192</v>
      </c>
      <c r="C857" s="122">
        <v>104817</v>
      </c>
      <c r="D857" s="122" t="s">
        <v>753</v>
      </c>
      <c r="E857" s="123">
        <v>60</v>
      </c>
      <c r="F857" s="123" t="str">
        <f>IF(E857&lt;=20,"0-19",
IF(E857&lt;=50,"20-49",
IF(E857&lt;=80,"50-79","80+")))</f>
        <v>50-79</v>
      </c>
      <c r="G857" s="122" t="s">
        <v>60</v>
      </c>
      <c r="H857" s="122" t="s">
        <v>22</v>
      </c>
      <c r="I857" s="122" t="s">
        <v>754</v>
      </c>
      <c r="J857" s="122" t="s">
        <v>2270</v>
      </c>
      <c r="K857" s="123" t="s">
        <v>95</v>
      </c>
      <c r="L857" s="123" t="s">
        <v>95</v>
      </c>
      <c r="M857" s="240" t="s">
        <v>714</v>
      </c>
      <c r="N857" s="157">
        <v>46142.57</v>
      </c>
      <c r="O857" s="122" t="s">
        <v>18</v>
      </c>
      <c r="P857" s="172"/>
      <c r="Q857" s="210"/>
    </row>
    <row r="858" spans="1:17" hidden="1" x14ac:dyDescent="0.2">
      <c r="A858" s="155" t="s">
        <v>53</v>
      </c>
      <c r="B858" s="118">
        <v>2006996</v>
      </c>
      <c r="C858" s="125">
        <v>14842</v>
      </c>
      <c r="D858" s="118" t="s">
        <v>757</v>
      </c>
      <c r="E858" s="118">
        <v>64</v>
      </c>
      <c r="F858" s="118" t="str">
        <f>IF(E858&lt;=20,"0-19",
IF(E858&lt;=50,"20-49",
IF(E858&lt;=80,"50-79","80+")))</f>
        <v>50-79</v>
      </c>
      <c r="G858" s="118" t="s">
        <v>49</v>
      </c>
      <c r="H858" s="118" t="s">
        <v>15</v>
      </c>
      <c r="I858" s="118" t="s">
        <v>1367</v>
      </c>
      <c r="J858" s="118" t="s">
        <v>2270</v>
      </c>
      <c r="K858" s="118" t="s">
        <v>1232</v>
      </c>
      <c r="L858" s="118" t="s">
        <v>1232</v>
      </c>
      <c r="M858" s="239" t="s">
        <v>714</v>
      </c>
      <c r="N858" s="160">
        <v>28179.599999999999</v>
      </c>
      <c r="O858" s="125" t="s">
        <v>832</v>
      </c>
      <c r="P858" s="172"/>
      <c r="Q858" s="210"/>
    </row>
    <row r="859" spans="1:17" hidden="1" x14ac:dyDescent="0.2">
      <c r="A859" s="155" t="s">
        <v>53</v>
      </c>
      <c r="B859" s="122">
        <v>2006969</v>
      </c>
      <c r="C859" s="122">
        <v>14842</v>
      </c>
      <c r="D859" s="122" t="s">
        <v>757</v>
      </c>
      <c r="E859" s="123">
        <v>64</v>
      </c>
      <c r="F859" s="123" t="str">
        <f>IF(E859&lt;=20,"0-19",
IF(E859&lt;=50,"20-49",
IF(E859&lt;=80,"50-79","80+")))</f>
        <v>50-79</v>
      </c>
      <c r="G859" s="122" t="s">
        <v>60</v>
      </c>
      <c r="H859" s="122" t="s">
        <v>15</v>
      </c>
      <c r="I859" s="122" t="s">
        <v>758</v>
      </c>
      <c r="J859" s="122" t="s">
        <v>2270</v>
      </c>
      <c r="K859" s="123" t="s">
        <v>85</v>
      </c>
      <c r="L859" s="123" t="s">
        <v>85</v>
      </c>
      <c r="M859" s="240" t="s">
        <v>714</v>
      </c>
      <c r="N859" s="157">
        <v>28051.8</v>
      </c>
      <c r="O859" s="122" t="s">
        <v>18</v>
      </c>
      <c r="P859" s="172"/>
      <c r="Q859" s="210"/>
    </row>
    <row r="860" spans="1:17" hidden="1" x14ac:dyDescent="0.2">
      <c r="A860" s="142" t="s">
        <v>1033</v>
      </c>
      <c r="B860" s="125">
        <v>2505080</v>
      </c>
      <c r="C860" s="125">
        <v>100854</v>
      </c>
      <c r="D860" s="125" t="s">
        <v>1676</v>
      </c>
      <c r="E860" s="125">
        <v>69</v>
      </c>
      <c r="F860" s="125" t="str">
        <f>IF(E860&lt;=20,"0-19",
IF(E860&lt;=50,"20-49",
IF(E860&lt;=80,"50-79","80+")))</f>
        <v>50-79</v>
      </c>
      <c r="G860" s="125" t="s">
        <v>60</v>
      </c>
      <c r="H860" s="125" t="s">
        <v>22</v>
      </c>
      <c r="I860" s="119" t="s">
        <v>1677</v>
      </c>
      <c r="J860" s="119" t="s">
        <v>2270</v>
      </c>
      <c r="K860" s="125" t="s">
        <v>1678</v>
      </c>
      <c r="L860" s="125" t="s">
        <v>1549</v>
      </c>
      <c r="M860" s="239" t="s">
        <v>714</v>
      </c>
      <c r="N860" s="126">
        <v>65800</v>
      </c>
      <c r="O860" s="126" t="s">
        <v>2254</v>
      </c>
      <c r="P860" s="146">
        <v>254726869962</v>
      </c>
      <c r="Q860" s="210"/>
    </row>
    <row r="861" spans="1:17" hidden="1" x14ac:dyDescent="0.2">
      <c r="A861" s="155" t="s">
        <v>856</v>
      </c>
      <c r="B861" s="118">
        <v>2018734</v>
      </c>
      <c r="C861" s="125">
        <v>64401</v>
      </c>
      <c r="D861" s="118" t="s">
        <v>1343</v>
      </c>
      <c r="E861" s="118">
        <v>61</v>
      </c>
      <c r="F861" s="118" t="str">
        <f>IF(E861&lt;=20,"0-19",
IF(E861&lt;=50,"20-49",
IF(E861&lt;=80,"50-79","80+")))</f>
        <v>50-79</v>
      </c>
      <c r="G861" s="118" t="s">
        <v>60</v>
      </c>
      <c r="H861" s="118" t="s">
        <v>22</v>
      </c>
      <c r="I861" s="118" t="s">
        <v>1344</v>
      </c>
      <c r="J861" s="118" t="s">
        <v>2270</v>
      </c>
      <c r="K861" s="118" t="s">
        <v>1260</v>
      </c>
      <c r="L861" s="118" t="s">
        <v>1260</v>
      </c>
      <c r="M861" s="239" t="s">
        <v>714</v>
      </c>
      <c r="N861" s="160">
        <v>90000</v>
      </c>
      <c r="O861" s="125" t="s">
        <v>832</v>
      </c>
      <c r="P861" s="173"/>
      <c r="Q861" s="210"/>
    </row>
    <row r="862" spans="1:17" hidden="1" x14ac:dyDescent="0.2">
      <c r="A862" s="143" t="s">
        <v>53</v>
      </c>
      <c r="B862" s="122">
        <v>2004365</v>
      </c>
      <c r="C862" s="122">
        <v>11679</v>
      </c>
      <c r="D862" s="122" t="s">
        <v>1679</v>
      </c>
      <c r="E862" s="122">
        <v>67</v>
      </c>
      <c r="F862" s="122" t="str">
        <f>IF(E862&lt;=20,"0-19",
IF(E862&lt;=50,"20-49",
IF(E862&lt;=80,"50-79","80+")))</f>
        <v>50-79</v>
      </c>
      <c r="G862" s="122" t="s">
        <v>60</v>
      </c>
      <c r="H862" s="122" t="s">
        <v>22</v>
      </c>
      <c r="I862" s="123" t="s">
        <v>1680</v>
      </c>
      <c r="J862" s="123" t="s">
        <v>2270</v>
      </c>
      <c r="K862" s="122" t="s">
        <v>1551</v>
      </c>
      <c r="L862" s="122" t="s">
        <v>1551</v>
      </c>
      <c r="M862" s="240" t="s">
        <v>714</v>
      </c>
      <c r="N862" s="124">
        <v>70000</v>
      </c>
      <c r="O862" s="124" t="s">
        <v>2254</v>
      </c>
      <c r="P862" s="147">
        <v>254727416341</v>
      </c>
      <c r="Q862" s="210"/>
    </row>
    <row r="863" spans="1:17" hidden="1" x14ac:dyDescent="0.2">
      <c r="A863" s="155" t="s">
        <v>38</v>
      </c>
      <c r="B863" s="125">
        <v>2002006</v>
      </c>
      <c r="C863" s="125">
        <v>14768</v>
      </c>
      <c r="D863" s="125" t="s">
        <v>735</v>
      </c>
      <c r="E863" s="125">
        <v>68</v>
      </c>
      <c r="F863" s="125" t="str">
        <f>IF(E863&lt;=20,"0-19",
IF(E863&lt;=50,"20-49",
IF(E863&lt;=80,"50-79","80+")))</f>
        <v>50-79</v>
      </c>
      <c r="G863" s="125" t="s">
        <v>60</v>
      </c>
      <c r="H863" s="125" t="s">
        <v>22</v>
      </c>
      <c r="I863" s="119" t="s">
        <v>1298</v>
      </c>
      <c r="J863" s="119" t="s">
        <v>2270</v>
      </c>
      <c r="K863" s="119" t="s">
        <v>1242</v>
      </c>
      <c r="L863" s="119" t="s">
        <v>1242</v>
      </c>
      <c r="M863" s="239" t="s">
        <v>714</v>
      </c>
      <c r="N863" s="162">
        <v>131319</v>
      </c>
      <c r="O863" s="125" t="s">
        <v>832</v>
      </c>
      <c r="P863" s="173"/>
      <c r="Q863" s="210"/>
    </row>
    <row r="864" spans="1:17" hidden="1" x14ac:dyDescent="0.2">
      <c r="A864" s="155" t="s">
        <v>373</v>
      </c>
      <c r="B864" s="125">
        <v>2001653</v>
      </c>
      <c r="C864" s="125">
        <v>14695</v>
      </c>
      <c r="D864" s="125" t="s">
        <v>1184</v>
      </c>
      <c r="E864" s="125">
        <v>74</v>
      </c>
      <c r="F864" s="125" t="str">
        <f>IF(E864&lt;=20,"0-19",
IF(E864&lt;=50,"20-49",
IF(E864&lt;=80,"50-79","80+")))</f>
        <v>50-79</v>
      </c>
      <c r="G864" s="125" t="s">
        <v>60</v>
      </c>
      <c r="H864" s="125" t="s">
        <v>22</v>
      </c>
      <c r="I864" s="119" t="s">
        <v>445</v>
      </c>
      <c r="J864" s="119" t="s">
        <v>2270</v>
      </c>
      <c r="K864" s="119" t="s">
        <v>834</v>
      </c>
      <c r="L864" s="125" t="s">
        <v>834</v>
      </c>
      <c r="M864" s="239" t="s">
        <v>714</v>
      </c>
      <c r="N864" s="162">
        <v>114997.64</v>
      </c>
      <c r="O864" s="125" t="s">
        <v>832</v>
      </c>
      <c r="P864" s="173"/>
      <c r="Q864" s="210"/>
    </row>
    <row r="865" spans="1:17" hidden="1" x14ac:dyDescent="0.2">
      <c r="A865" s="155" t="s">
        <v>1237</v>
      </c>
      <c r="B865" s="125">
        <v>2410079</v>
      </c>
      <c r="C865" s="125">
        <v>53742</v>
      </c>
      <c r="D865" s="125" t="s">
        <v>721</v>
      </c>
      <c r="E865" s="125">
        <v>64</v>
      </c>
      <c r="F865" s="125" t="str">
        <f>IF(E865&lt;=20,"0-19",
IF(E865&lt;=50,"20-49",
IF(E865&lt;=80,"50-79","80+")))</f>
        <v>50-79</v>
      </c>
      <c r="G865" s="125" t="s">
        <v>60</v>
      </c>
      <c r="H865" s="125" t="s">
        <v>22</v>
      </c>
      <c r="I865" s="119" t="s">
        <v>445</v>
      </c>
      <c r="J865" s="92" t="s">
        <v>2270</v>
      </c>
      <c r="K865" s="119" t="s">
        <v>834</v>
      </c>
      <c r="L865" s="125" t="s">
        <v>834</v>
      </c>
      <c r="M865" s="239" t="s">
        <v>714</v>
      </c>
      <c r="N865" s="162">
        <v>48162.92</v>
      </c>
      <c r="O865" s="125" t="s">
        <v>832</v>
      </c>
      <c r="P865" s="173"/>
      <c r="Q865" s="210"/>
    </row>
    <row r="866" spans="1:17" hidden="1" x14ac:dyDescent="0.2">
      <c r="A866" s="155" t="s">
        <v>726</v>
      </c>
      <c r="B866" s="125">
        <v>2018773</v>
      </c>
      <c r="C866" s="125">
        <v>21046</v>
      </c>
      <c r="D866" s="125" t="s">
        <v>1197</v>
      </c>
      <c r="E866" s="125">
        <v>58</v>
      </c>
      <c r="F866" s="125" t="str">
        <f>IF(E866&lt;=20,"0-19",
IF(E866&lt;=50,"20-49",
IF(E866&lt;=80,"50-79","80+")))</f>
        <v>50-79</v>
      </c>
      <c r="G866" s="125" t="s">
        <v>126</v>
      </c>
      <c r="H866" s="125" t="s">
        <v>22</v>
      </c>
      <c r="I866" s="119" t="s">
        <v>445</v>
      </c>
      <c r="J866" s="92" t="s">
        <v>2270</v>
      </c>
      <c r="K866" s="119" t="s">
        <v>831</v>
      </c>
      <c r="L866" s="125" t="s">
        <v>831</v>
      </c>
      <c r="M866" s="239" t="s">
        <v>714</v>
      </c>
      <c r="N866" s="162">
        <v>63416</v>
      </c>
      <c r="O866" s="125" t="s">
        <v>832</v>
      </c>
      <c r="P866" s="173"/>
      <c r="Q866" s="210"/>
    </row>
    <row r="867" spans="1:17" hidden="1" x14ac:dyDescent="0.2">
      <c r="A867" s="142" t="s">
        <v>726</v>
      </c>
      <c r="B867" s="125">
        <v>2010446</v>
      </c>
      <c r="C867" s="125">
        <v>100598</v>
      </c>
      <c r="D867" s="125" t="s">
        <v>1611</v>
      </c>
      <c r="E867" s="125">
        <v>69</v>
      </c>
      <c r="F867" s="125" t="str">
        <f>IF(E867&lt;=20,"0-19",
IF(E867&lt;=50,"20-49",
IF(E867&lt;=80,"50-79","80+")))</f>
        <v>50-79</v>
      </c>
      <c r="G867" s="125" t="s">
        <v>60</v>
      </c>
      <c r="H867" s="125" t="s">
        <v>22</v>
      </c>
      <c r="I867" s="119" t="s">
        <v>445</v>
      </c>
      <c r="J867" s="92" t="s">
        <v>2270</v>
      </c>
      <c r="K867" s="125" t="s">
        <v>1549</v>
      </c>
      <c r="L867" s="125" t="s">
        <v>1549</v>
      </c>
      <c r="M867" s="239" t="s">
        <v>714</v>
      </c>
      <c r="N867" s="126">
        <v>31133</v>
      </c>
      <c r="O867" s="126" t="s">
        <v>2254</v>
      </c>
      <c r="P867" s="146">
        <v>254722341101</v>
      </c>
      <c r="Q867" s="210"/>
    </row>
    <row r="868" spans="1:17" hidden="1" x14ac:dyDescent="0.2">
      <c r="A868" s="143" t="s">
        <v>72</v>
      </c>
      <c r="B868" s="197">
        <v>2001028</v>
      </c>
      <c r="C868" s="197">
        <v>18492</v>
      </c>
      <c r="D868" s="198" t="s">
        <v>767</v>
      </c>
      <c r="E868" s="197">
        <v>64</v>
      </c>
      <c r="F868" s="197" t="str">
        <f>IF(E868&lt;=20,"0-19",
IF(E868&lt;=50,"20-49",
IF(E868&lt;=80,"50-79","80+")))</f>
        <v>50-79</v>
      </c>
      <c r="G868" s="197" t="s">
        <v>60</v>
      </c>
      <c r="H868" s="197" t="s">
        <v>22</v>
      </c>
      <c r="I868" s="198" t="s">
        <v>445</v>
      </c>
      <c r="J868" s="114" t="s">
        <v>2270</v>
      </c>
      <c r="K868" s="198" t="s">
        <v>25</v>
      </c>
      <c r="L868" s="197" t="s">
        <v>25</v>
      </c>
      <c r="M868" s="238" t="s">
        <v>714</v>
      </c>
      <c r="N868" s="202">
        <v>68283</v>
      </c>
      <c r="O868" s="122" t="s">
        <v>18</v>
      </c>
      <c r="P868" s="172"/>
      <c r="Q868" s="210"/>
    </row>
    <row r="869" spans="1:17" ht="21" hidden="1" x14ac:dyDescent="0.2">
      <c r="A869" s="155" t="s">
        <v>86</v>
      </c>
      <c r="B869" s="197">
        <v>2022237</v>
      </c>
      <c r="C869" s="197">
        <v>56585</v>
      </c>
      <c r="D869" s="198" t="s">
        <v>715</v>
      </c>
      <c r="E869" s="197">
        <v>62</v>
      </c>
      <c r="F869" s="197" t="str">
        <f>IF(E869&lt;=20,"0-19",
IF(E869&lt;=50,"20-49",
IF(E869&lt;=80,"50-79","80+")))</f>
        <v>50-79</v>
      </c>
      <c r="G869" s="197" t="s">
        <v>126</v>
      </c>
      <c r="H869" s="197" t="s">
        <v>22</v>
      </c>
      <c r="I869" s="198" t="s">
        <v>445</v>
      </c>
      <c r="J869" s="114" t="s">
        <v>2270</v>
      </c>
      <c r="K869" s="198" t="s">
        <v>25</v>
      </c>
      <c r="L869" s="197" t="s">
        <v>25</v>
      </c>
      <c r="M869" s="238" t="s">
        <v>714</v>
      </c>
      <c r="N869" s="202">
        <v>77419.8</v>
      </c>
      <c r="O869" s="125" t="s">
        <v>18</v>
      </c>
      <c r="P869" s="173"/>
      <c r="Q869" s="210"/>
    </row>
    <row r="870" spans="1:17" ht="21" hidden="1" x14ac:dyDescent="0.2">
      <c r="A870" s="155" t="s">
        <v>63</v>
      </c>
      <c r="B870" s="197">
        <v>2001843</v>
      </c>
      <c r="C870" s="197">
        <v>14127</v>
      </c>
      <c r="D870" s="198" t="s">
        <v>761</v>
      </c>
      <c r="E870" s="197">
        <v>66</v>
      </c>
      <c r="F870" s="197" t="str">
        <f>IF(E870&lt;=20,"0-19",
IF(E870&lt;=50,"20-49",
IF(E870&lt;=80,"50-79","80+")))</f>
        <v>50-79</v>
      </c>
      <c r="G870" s="197" t="s">
        <v>60</v>
      </c>
      <c r="H870" s="197" t="s">
        <v>22</v>
      </c>
      <c r="I870" s="198" t="s">
        <v>445</v>
      </c>
      <c r="J870" s="114" t="s">
        <v>2270</v>
      </c>
      <c r="K870" s="198" t="s">
        <v>762</v>
      </c>
      <c r="L870" s="197" t="s">
        <v>57</v>
      </c>
      <c r="M870" s="238" t="s">
        <v>714</v>
      </c>
      <c r="N870" s="202">
        <v>89210</v>
      </c>
      <c r="O870" s="125" t="s">
        <v>18</v>
      </c>
      <c r="P870" s="173"/>
      <c r="Q870" s="210"/>
    </row>
    <row r="871" spans="1:17" hidden="1" x14ac:dyDescent="0.2">
      <c r="A871" s="155" t="s">
        <v>53</v>
      </c>
      <c r="B871" s="125">
        <v>2015348</v>
      </c>
      <c r="C871" s="125">
        <v>103549</v>
      </c>
      <c r="D871" s="125" t="s">
        <v>1196</v>
      </c>
      <c r="E871" s="125">
        <v>64</v>
      </c>
      <c r="F871" s="125" t="str">
        <f>IF(E871&lt;=20,"0-19",
IF(E871&lt;=50,"20-49",
IF(E871&lt;=80,"50-79","80+")))</f>
        <v>50-79</v>
      </c>
      <c r="G871" s="125" t="s">
        <v>60</v>
      </c>
      <c r="H871" s="125" t="s">
        <v>22</v>
      </c>
      <c r="I871" s="119" t="s">
        <v>445</v>
      </c>
      <c r="J871" s="92" t="s">
        <v>2270</v>
      </c>
      <c r="K871" s="119" t="s">
        <v>901</v>
      </c>
      <c r="L871" s="125" t="s">
        <v>901</v>
      </c>
      <c r="M871" s="239" t="s">
        <v>714</v>
      </c>
      <c r="N871" s="162">
        <v>45308.23</v>
      </c>
      <c r="O871" s="125" t="s">
        <v>832</v>
      </c>
      <c r="P871" s="173"/>
      <c r="Q871" s="210"/>
    </row>
    <row r="872" spans="1:17" hidden="1" x14ac:dyDescent="0.2">
      <c r="A872" s="155" t="s">
        <v>373</v>
      </c>
      <c r="B872" s="125">
        <v>2019637</v>
      </c>
      <c r="C872" s="125">
        <v>10170</v>
      </c>
      <c r="D872" s="125" t="s">
        <v>774</v>
      </c>
      <c r="E872" s="125">
        <v>64</v>
      </c>
      <c r="F872" s="125" t="str">
        <f>IF(E872&lt;=20,"0-19",
IF(E872&lt;=50,"20-49",
IF(E872&lt;=80,"50-79","80+")))</f>
        <v>50-79</v>
      </c>
      <c r="G872" s="125" t="s">
        <v>60</v>
      </c>
      <c r="H872" s="125" t="s">
        <v>22</v>
      </c>
      <c r="I872" s="119" t="s">
        <v>737</v>
      </c>
      <c r="J872" s="92" t="s">
        <v>2270</v>
      </c>
      <c r="K872" s="119" t="s">
        <v>851</v>
      </c>
      <c r="L872" s="125" t="s">
        <v>851</v>
      </c>
      <c r="M872" s="239" t="s">
        <v>714</v>
      </c>
      <c r="N872" s="162">
        <v>6900</v>
      </c>
      <c r="O872" s="125" t="s">
        <v>832</v>
      </c>
      <c r="P872" s="173"/>
      <c r="Q872" s="210"/>
    </row>
    <row r="873" spans="1:17" hidden="1" x14ac:dyDescent="0.2">
      <c r="A873" s="155" t="s">
        <v>847</v>
      </c>
      <c r="B873" s="125">
        <v>2002401</v>
      </c>
      <c r="C873" s="125">
        <v>15577</v>
      </c>
      <c r="D873" s="125" t="s">
        <v>1186</v>
      </c>
      <c r="E873" s="125">
        <v>66</v>
      </c>
      <c r="F873" s="125" t="str">
        <f>IF(E873&lt;=20,"0-19",
IF(E873&lt;=50,"20-49",
IF(E873&lt;=80,"50-79","80+")))</f>
        <v>50-79</v>
      </c>
      <c r="G873" s="125" t="s">
        <v>60</v>
      </c>
      <c r="H873" s="125" t="s">
        <v>22</v>
      </c>
      <c r="I873" s="119" t="s">
        <v>445</v>
      </c>
      <c r="J873" s="92" t="s">
        <v>2270</v>
      </c>
      <c r="K873" s="119" t="s">
        <v>851</v>
      </c>
      <c r="L873" s="125" t="s">
        <v>851</v>
      </c>
      <c r="M873" s="239" t="s">
        <v>714</v>
      </c>
      <c r="N873" s="162">
        <v>119774</v>
      </c>
      <c r="O873" s="125" t="s">
        <v>832</v>
      </c>
      <c r="P873" s="172"/>
      <c r="Q873" s="210"/>
    </row>
    <row r="874" spans="1:17" hidden="1" x14ac:dyDescent="0.2">
      <c r="A874" s="143" t="s">
        <v>19</v>
      </c>
      <c r="B874" s="122">
        <v>2001971</v>
      </c>
      <c r="C874" s="122">
        <v>12324</v>
      </c>
      <c r="D874" s="122" t="s">
        <v>20</v>
      </c>
      <c r="E874" s="122">
        <v>65</v>
      </c>
      <c r="F874" s="122" t="str">
        <f>IF(E874&lt;=20,"0-19",
IF(E874&lt;=50,"20-49",
IF(E874&lt;=80,"50-79","80+")))</f>
        <v>50-79</v>
      </c>
      <c r="G874" s="122" t="s">
        <v>60</v>
      </c>
      <c r="H874" s="122" t="s">
        <v>22</v>
      </c>
      <c r="I874" s="123" t="s">
        <v>737</v>
      </c>
      <c r="J874" s="86" t="s">
        <v>2270</v>
      </c>
      <c r="K874" s="122" t="s">
        <v>1543</v>
      </c>
      <c r="L874" s="122" t="s">
        <v>1543</v>
      </c>
      <c r="M874" s="240" t="s">
        <v>714</v>
      </c>
      <c r="N874" s="124">
        <v>96439</v>
      </c>
      <c r="O874" s="124" t="s">
        <v>2254</v>
      </c>
      <c r="P874" s="147">
        <v>254726350459</v>
      </c>
      <c r="Q874" s="210"/>
    </row>
    <row r="875" spans="1:17" hidden="1" x14ac:dyDescent="0.2">
      <c r="A875" s="143" t="s">
        <v>274</v>
      </c>
      <c r="B875" s="122">
        <v>2003970</v>
      </c>
      <c r="C875" s="122">
        <v>20764</v>
      </c>
      <c r="D875" s="122" t="s">
        <v>1612</v>
      </c>
      <c r="E875" s="122">
        <v>68</v>
      </c>
      <c r="F875" s="122" t="str">
        <f>IF(E875&lt;=20,"0-19",
IF(E875&lt;=50,"20-49",
IF(E875&lt;=80,"50-79","80+")))</f>
        <v>50-79</v>
      </c>
      <c r="G875" s="122" t="s">
        <v>60</v>
      </c>
      <c r="H875" s="122" t="s">
        <v>22</v>
      </c>
      <c r="I875" s="123" t="s">
        <v>445</v>
      </c>
      <c r="J875" s="86" t="s">
        <v>2270</v>
      </c>
      <c r="K875" s="122" t="s">
        <v>1543</v>
      </c>
      <c r="L875" s="122" t="s">
        <v>1543</v>
      </c>
      <c r="M875" s="240" t="s">
        <v>714</v>
      </c>
      <c r="N875" s="124">
        <v>31893</v>
      </c>
      <c r="O875" s="124" t="s">
        <v>2254</v>
      </c>
      <c r="P875" s="147">
        <v>254722341101</v>
      </c>
      <c r="Q875" s="210"/>
    </row>
    <row r="876" spans="1:17" hidden="1" x14ac:dyDescent="0.2">
      <c r="A876" s="155" t="s">
        <v>38</v>
      </c>
      <c r="B876" s="197">
        <v>2003647</v>
      </c>
      <c r="C876" s="197">
        <v>14902</v>
      </c>
      <c r="D876" s="198" t="s">
        <v>736</v>
      </c>
      <c r="E876" s="197">
        <v>65</v>
      </c>
      <c r="F876" s="197" t="str">
        <f>IF(E876&lt;=20,"0-19",
IF(E876&lt;=50,"20-49",
IF(E876&lt;=80,"50-79","80+")))</f>
        <v>50-79</v>
      </c>
      <c r="G876" s="197" t="s">
        <v>60</v>
      </c>
      <c r="H876" s="197" t="s">
        <v>22</v>
      </c>
      <c r="I876" s="198" t="s">
        <v>737</v>
      </c>
      <c r="J876" s="114" t="s">
        <v>2270</v>
      </c>
      <c r="K876" s="198" t="s">
        <v>36</v>
      </c>
      <c r="L876" s="197" t="s">
        <v>36</v>
      </c>
      <c r="M876" s="238" t="s">
        <v>714</v>
      </c>
      <c r="N876" s="202">
        <v>90856</v>
      </c>
      <c r="O876" s="125" t="s">
        <v>18</v>
      </c>
      <c r="P876" s="173"/>
      <c r="Q876" s="210"/>
    </row>
    <row r="877" spans="1:17" hidden="1" x14ac:dyDescent="0.2">
      <c r="A877" s="142" t="s">
        <v>1690</v>
      </c>
      <c r="B877" s="125">
        <v>2022237</v>
      </c>
      <c r="C877" s="125">
        <v>56585</v>
      </c>
      <c r="D877" s="125" t="s">
        <v>1205</v>
      </c>
      <c r="E877" s="125">
        <v>62</v>
      </c>
      <c r="F877" s="125" t="str">
        <f>IF(E877&lt;=20,"0-19",
IF(E877&lt;=50,"20-49",
IF(E877&lt;=80,"50-79","80+")))</f>
        <v>50-79</v>
      </c>
      <c r="G877" s="125" t="s">
        <v>60</v>
      </c>
      <c r="H877" s="125" t="s">
        <v>22</v>
      </c>
      <c r="I877" s="119" t="s">
        <v>737</v>
      </c>
      <c r="J877" s="92" t="s">
        <v>2270</v>
      </c>
      <c r="K877" s="125" t="s">
        <v>1567</v>
      </c>
      <c r="L877" s="125" t="s">
        <v>1567</v>
      </c>
      <c r="M877" s="239" t="s">
        <v>714</v>
      </c>
      <c r="N877" s="126">
        <v>102862</v>
      </c>
      <c r="O877" s="126" t="s">
        <v>2254</v>
      </c>
      <c r="P877" s="146">
        <v>254720223134</v>
      </c>
      <c r="Q877" s="210"/>
    </row>
    <row r="878" spans="1:17" hidden="1" x14ac:dyDescent="0.2">
      <c r="A878" s="156" t="s">
        <v>309</v>
      </c>
      <c r="B878" s="197">
        <v>2410079</v>
      </c>
      <c r="C878" s="197">
        <v>53742</v>
      </c>
      <c r="D878" s="198" t="s">
        <v>721</v>
      </c>
      <c r="E878" s="197">
        <v>64</v>
      </c>
      <c r="F878" s="197" t="str">
        <f>IF(E878&lt;=20,"0-19",
IF(E878&lt;=50,"20-49",
IF(E878&lt;=80,"50-79","80+")))</f>
        <v>50-79</v>
      </c>
      <c r="G878" s="197" t="s">
        <v>60</v>
      </c>
      <c r="H878" s="197" t="s">
        <v>22</v>
      </c>
      <c r="I878" s="198" t="s">
        <v>445</v>
      </c>
      <c r="J878" s="114" t="s">
        <v>2270</v>
      </c>
      <c r="K878" s="198" t="s">
        <v>37</v>
      </c>
      <c r="L878" s="197" t="s">
        <v>37</v>
      </c>
      <c r="M878" s="238" t="s">
        <v>714</v>
      </c>
      <c r="N878" s="202">
        <v>81382.73</v>
      </c>
      <c r="O878" s="125" t="s">
        <v>18</v>
      </c>
      <c r="P878" s="173"/>
      <c r="Q878" s="210"/>
    </row>
    <row r="879" spans="1:17" ht="21" hidden="1" x14ac:dyDescent="0.2">
      <c r="A879" s="144" t="s">
        <v>75</v>
      </c>
      <c r="B879" s="197">
        <v>2003295</v>
      </c>
      <c r="C879" s="197">
        <v>101391</v>
      </c>
      <c r="D879" s="198" t="s">
        <v>806</v>
      </c>
      <c r="E879" s="197">
        <v>59</v>
      </c>
      <c r="F879" s="197" t="str">
        <f>IF(E879&lt;=20,"0-19",
IF(E879&lt;=50,"20-49",
IF(E879&lt;=80,"50-79","80+")))</f>
        <v>50-79</v>
      </c>
      <c r="G879" s="197" t="s">
        <v>60</v>
      </c>
      <c r="H879" s="197" t="s">
        <v>22</v>
      </c>
      <c r="I879" s="198" t="s">
        <v>445</v>
      </c>
      <c r="J879" s="114" t="s">
        <v>2270</v>
      </c>
      <c r="K879" s="198" t="s">
        <v>807</v>
      </c>
      <c r="L879" s="197" t="s">
        <v>37</v>
      </c>
      <c r="M879" s="238" t="s">
        <v>714</v>
      </c>
      <c r="N879" s="202">
        <v>68901</v>
      </c>
      <c r="O879" s="122" t="s">
        <v>18</v>
      </c>
      <c r="P879" s="172"/>
      <c r="Q879" s="210"/>
    </row>
    <row r="880" spans="1:17" hidden="1" x14ac:dyDescent="0.2">
      <c r="A880" s="143" t="s">
        <v>72</v>
      </c>
      <c r="B880" s="122">
        <v>2503065</v>
      </c>
      <c r="C880" s="122">
        <v>59127</v>
      </c>
      <c r="D880" s="122" t="s">
        <v>1746</v>
      </c>
      <c r="E880" s="122">
        <v>59</v>
      </c>
      <c r="F880" s="122" t="str">
        <f>IF(E880&lt;=20,"0-19",
IF(E880&lt;=50,"20-49",
IF(E880&lt;=80,"50-79","80+")))</f>
        <v>50-79</v>
      </c>
      <c r="G880" s="122" t="s">
        <v>60</v>
      </c>
      <c r="H880" s="122" t="s">
        <v>22</v>
      </c>
      <c r="I880" s="123" t="s">
        <v>737</v>
      </c>
      <c r="J880" s="86" t="s">
        <v>2270</v>
      </c>
      <c r="K880" s="122" t="s">
        <v>1551</v>
      </c>
      <c r="L880" s="122" t="s">
        <v>1551</v>
      </c>
      <c r="M880" s="240" t="s">
        <v>714</v>
      </c>
      <c r="N880" s="124">
        <v>137313</v>
      </c>
      <c r="O880" s="124" t="s">
        <v>2254</v>
      </c>
      <c r="P880" s="147">
        <v>254724779335</v>
      </c>
      <c r="Q880" s="210"/>
    </row>
    <row r="881" spans="1:17" hidden="1" x14ac:dyDescent="0.2">
      <c r="A881" s="155" t="s">
        <v>726</v>
      </c>
      <c r="B881" s="122">
        <v>2018773</v>
      </c>
      <c r="C881" s="122">
        <v>21046</v>
      </c>
      <c r="D881" s="122" t="s">
        <v>731</v>
      </c>
      <c r="E881" s="123">
        <v>58</v>
      </c>
      <c r="F881" s="123" t="str">
        <f>IF(E881&lt;=20,"0-19",
IF(E881&lt;=50,"20-49",
IF(E881&lt;=80,"50-79","80+")))</f>
        <v>50-79</v>
      </c>
      <c r="G881" s="122" t="s">
        <v>60</v>
      </c>
      <c r="H881" s="122" t="s">
        <v>22</v>
      </c>
      <c r="I881" s="122" t="s">
        <v>445</v>
      </c>
      <c r="J881" s="87" t="s">
        <v>2270</v>
      </c>
      <c r="K881" s="123" t="s">
        <v>79</v>
      </c>
      <c r="L881" s="123" t="s">
        <v>79</v>
      </c>
      <c r="M881" s="240" t="s">
        <v>714</v>
      </c>
      <c r="N881" s="157">
        <v>52177</v>
      </c>
      <c r="O881" s="122" t="s">
        <v>18</v>
      </c>
      <c r="P881" s="172"/>
      <c r="Q881" s="210"/>
    </row>
    <row r="882" spans="1:17" hidden="1" x14ac:dyDescent="0.2">
      <c r="A882" s="155" t="s">
        <v>373</v>
      </c>
      <c r="B882" s="125">
        <v>2000181</v>
      </c>
      <c r="C882" s="125">
        <v>18032</v>
      </c>
      <c r="D882" s="125" t="s">
        <v>769</v>
      </c>
      <c r="E882" s="125">
        <v>69</v>
      </c>
      <c r="F882" s="125" t="str">
        <f>IF(E882&lt;=20,"0-19",
IF(E882&lt;=50,"20-49",
IF(E882&lt;=80,"50-79","80+")))</f>
        <v>50-79</v>
      </c>
      <c r="G882" s="125" t="s">
        <v>60</v>
      </c>
      <c r="H882" s="125" t="s">
        <v>22</v>
      </c>
      <c r="I882" s="125" t="s">
        <v>445</v>
      </c>
      <c r="J882" s="82" t="s">
        <v>2270</v>
      </c>
      <c r="K882" s="125" t="s">
        <v>1470</v>
      </c>
      <c r="L882" s="125" t="s">
        <v>1236</v>
      </c>
      <c r="M882" s="239" t="s">
        <v>714</v>
      </c>
      <c r="N882" s="162">
        <v>68133</v>
      </c>
      <c r="O882" s="125" t="s">
        <v>832</v>
      </c>
      <c r="P882" s="172"/>
      <c r="Q882" s="210"/>
    </row>
    <row r="883" spans="1:17" hidden="1" x14ac:dyDescent="0.2">
      <c r="A883" s="155" t="s">
        <v>19</v>
      </c>
      <c r="B883" s="125">
        <v>2001971</v>
      </c>
      <c r="C883" s="125">
        <v>12324</v>
      </c>
      <c r="D883" s="125" t="s">
        <v>20</v>
      </c>
      <c r="E883" s="125">
        <v>65</v>
      </c>
      <c r="F883" s="125" t="str">
        <f>IF(E883&lt;=20,"0-19",
IF(E883&lt;=50,"20-49",
IF(E883&lt;=80,"50-79","80+")))</f>
        <v>50-79</v>
      </c>
      <c r="G883" s="125" t="s">
        <v>60</v>
      </c>
      <c r="H883" s="125" t="s">
        <v>22</v>
      </c>
      <c r="I883" s="119" t="s">
        <v>445</v>
      </c>
      <c r="J883" s="92" t="s">
        <v>2270</v>
      </c>
      <c r="K883" s="119" t="s">
        <v>1238</v>
      </c>
      <c r="L883" s="119" t="s">
        <v>1238</v>
      </c>
      <c r="M883" s="239" t="s">
        <v>714</v>
      </c>
      <c r="N883" s="162">
        <v>128079.9</v>
      </c>
      <c r="O883" s="125" t="s">
        <v>832</v>
      </c>
      <c r="P883" s="172"/>
      <c r="Q883" s="210"/>
    </row>
    <row r="884" spans="1:17" hidden="1" x14ac:dyDescent="0.2">
      <c r="A884" s="155" t="s">
        <v>1503</v>
      </c>
      <c r="B884" s="125">
        <v>20160001</v>
      </c>
      <c r="C884" s="125">
        <v>14119</v>
      </c>
      <c r="D884" s="125" t="s">
        <v>1527</v>
      </c>
      <c r="E884" s="125">
        <v>64</v>
      </c>
      <c r="F884" s="125" t="str">
        <f>IF(E884&lt;=20,"0-19",
IF(E884&lt;=50,"20-49",
IF(E884&lt;=80,"50-79","80+")))</f>
        <v>50-79</v>
      </c>
      <c r="G884" s="125" t="s">
        <v>60</v>
      </c>
      <c r="H884" s="125" t="s">
        <v>22</v>
      </c>
      <c r="I884" s="119" t="s">
        <v>445</v>
      </c>
      <c r="J884" s="92" t="s">
        <v>2270</v>
      </c>
      <c r="K884" s="119" t="s">
        <v>1238</v>
      </c>
      <c r="L884" s="119" t="s">
        <v>1238</v>
      </c>
      <c r="M884" s="239" t="s">
        <v>714</v>
      </c>
      <c r="N884" s="162">
        <v>130692</v>
      </c>
      <c r="O884" s="125" t="s">
        <v>832</v>
      </c>
      <c r="P884" s="173"/>
      <c r="Q884" s="210"/>
    </row>
    <row r="885" spans="1:17" ht="21" hidden="1" x14ac:dyDescent="0.2">
      <c r="A885" s="143" t="s">
        <v>373</v>
      </c>
      <c r="B885" s="122">
        <v>2000181</v>
      </c>
      <c r="C885" s="122">
        <v>18032</v>
      </c>
      <c r="D885" s="122" t="s">
        <v>769</v>
      </c>
      <c r="E885" s="122">
        <v>67</v>
      </c>
      <c r="F885" s="122" t="str">
        <f>IF(E885&lt;=20,"0-19",
IF(E885&lt;=50,"20-49",
IF(E885&lt;=80,"50-79","80+")))</f>
        <v>50-79</v>
      </c>
      <c r="G885" s="122" t="s">
        <v>60</v>
      </c>
      <c r="H885" s="122" t="s">
        <v>22</v>
      </c>
      <c r="I885" s="122" t="s">
        <v>737</v>
      </c>
      <c r="J885" s="87" t="s">
        <v>2270</v>
      </c>
      <c r="K885" s="123" t="s">
        <v>2006</v>
      </c>
      <c r="L885" s="122" t="s">
        <v>1895</v>
      </c>
      <c r="M885" s="240" t="s">
        <v>714</v>
      </c>
      <c r="N885" s="124">
        <v>45841.2</v>
      </c>
      <c r="O885" s="124" t="s">
        <v>2254</v>
      </c>
      <c r="P885" s="147">
        <v>254723227442</v>
      </c>
      <c r="Q885" s="210"/>
    </row>
    <row r="886" spans="1:17" ht="31.5" hidden="1" x14ac:dyDescent="0.2">
      <c r="A886" s="155" t="s">
        <v>373</v>
      </c>
      <c r="B886" s="125">
        <v>2019637</v>
      </c>
      <c r="C886" s="125">
        <v>10170</v>
      </c>
      <c r="D886" s="125" t="s">
        <v>774</v>
      </c>
      <c r="E886" s="119">
        <v>64</v>
      </c>
      <c r="F886" s="119" t="str">
        <f>IF(E886&lt;=20,"0-19",
IF(E886&lt;=50,"20-49",
IF(E886&lt;=80,"50-79","80+")))</f>
        <v>50-79</v>
      </c>
      <c r="G886" s="125" t="s">
        <v>60</v>
      </c>
      <c r="H886" s="125" t="s">
        <v>22</v>
      </c>
      <c r="I886" s="125" t="s">
        <v>445</v>
      </c>
      <c r="J886" s="82" t="s">
        <v>2270</v>
      </c>
      <c r="K886" s="119" t="s">
        <v>775</v>
      </c>
      <c r="L886" s="119" t="s">
        <v>94</v>
      </c>
      <c r="M886" s="239" t="s">
        <v>714</v>
      </c>
      <c r="N886" s="165">
        <v>72100</v>
      </c>
      <c r="O886" s="125" t="s">
        <v>18</v>
      </c>
      <c r="P886" s="173"/>
      <c r="Q886" s="210"/>
    </row>
    <row r="887" spans="1:17" hidden="1" x14ac:dyDescent="0.2">
      <c r="A887" s="155" t="s">
        <v>38</v>
      </c>
      <c r="B887" s="122">
        <v>2002006</v>
      </c>
      <c r="C887" s="122">
        <v>14768</v>
      </c>
      <c r="D887" s="122" t="s">
        <v>735</v>
      </c>
      <c r="E887" s="123">
        <v>68</v>
      </c>
      <c r="F887" s="123" t="str">
        <f>IF(E887&lt;=20,"0-19",
IF(E887&lt;=50,"20-49",
IF(E887&lt;=80,"50-79","80+")))</f>
        <v>50-79</v>
      </c>
      <c r="G887" s="122" t="s">
        <v>60</v>
      </c>
      <c r="H887" s="122" t="s">
        <v>22</v>
      </c>
      <c r="I887" s="122" t="s">
        <v>445</v>
      </c>
      <c r="J887" s="87" t="s">
        <v>2270</v>
      </c>
      <c r="K887" s="123" t="s">
        <v>94</v>
      </c>
      <c r="L887" s="123" t="s">
        <v>94</v>
      </c>
      <c r="M887" s="240" t="s">
        <v>714</v>
      </c>
      <c r="N887" s="157">
        <v>97857</v>
      </c>
      <c r="O887" s="122" t="s">
        <v>18</v>
      </c>
      <c r="P887" s="172"/>
      <c r="Q887" s="210"/>
    </row>
    <row r="888" spans="1:17" hidden="1" x14ac:dyDescent="0.2">
      <c r="A888" s="155" t="s">
        <v>373</v>
      </c>
      <c r="B888" s="125">
        <v>2002838</v>
      </c>
      <c r="C888" s="125">
        <v>101225</v>
      </c>
      <c r="D888" s="125" t="s">
        <v>771</v>
      </c>
      <c r="E888" s="119">
        <v>69</v>
      </c>
      <c r="F888" s="119" t="str">
        <f>IF(E888&lt;=20,"0-19",
IF(E888&lt;=50,"20-49",
IF(E888&lt;=80,"50-79","80+")))</f>
        <v>50-79</v>
      </c>
      <c r="G888" s="125" t="s">
        <v>60</v>
      </c>
      <c r="H888" s="125" t="s">
        <v>22</v>
      </c>
      <c r="I888" s="125" t="s">
        <v>445</v>
      </c>
      <c r="J888" s="82" t="s">
        <v>2270</v>
      </c>
      <c r="K888" s="119" t="s">
        <v>94</v>
      </c>
      <c r="L888" s="119" t="s">
        <v>94</v>
      </c>
      <c r="M888" s="239" t="s">
        <v>714</v>
      </c>
      <c r="N888" s="165">
        <v>89728</v>
      </c>
      <c r="O888" s="125" t="s">
        <v>18</v>
      </c>
      <c r="P888" s="173"/>
      <c r="Q888" s="210"/>
    </row>
    <row r="889" spans="1:17" hidden="1" x14ac:dyDescent="0.2">
      <c r="A889" s="143" t="s">
        <v>422</v>
      </c>
      <c r="B889" s="122">
        <v>2002424</v>
      </c>
      <c r="C889" s="122">
        <v>11091</v>
      </c>
      <c r="D889" s="122" t="s">
        <v>2163</v>
      </c>
      <c r="E889" s="122">
        <v>69</v>
      </c>
      <c r="F889" s="122" t="str">
        <f>IF(E889&lt;=20,"0-19",
IF(E889&lt;=50,"20-49",
IF(E889&lt;=80,"50-79","80+")))</f>
        <v>50-79</v>
      </c>
      <c r="G889" s="122" t="s">
        <v>2164</v>
      </c>
      <c r="H889" s="122" t="s">
        <v>22</v>
      </c>
      <c r="I889" s="122" t="s">
        <v>737</v>
      </c>
      <c r="J889" s="87" t="s">
        <v>2270</v>
      </c>
      <c r="K889" s="123" t="s">
        <v>1928</v>
      </c>
      <c r="L889" s="122" t="s">
        <v>1928</v>
      </c>
      <c r="M889" s="240" t="s">
        <v>714</v>
      </c>
      <c r="N889" s="124">
        <v>179591</v>
      </c>
      <c r="O889" s="124" t="s">
        <v>2254</v>
      </c>
      <c r="P889" s="147">
        <v>254712372982</v>
      </c>
      <c r="Q889" s="210"/>
    </row>
    <row r="890" spans="1:17" hidden="1" x14ac:dyDescent="0.2">
      <c r="A890" s="155" t="s">
        <v>38</v>
      </c>
      <c r="B890" s="125">
        <v>2003647</v>
      </c>
      <c r="C890" s="125">
        <v>14902</v>
      </c>
      <c r="D890" s="125" t="s">
        <v>736</v>
      </c>
      <c r="E890" s="125">
        <v>66</v>
      </c>
      <c r="F890" s="125" t="str">
        <f>IF(E890&lt;=20,"0-19",
IF(E890&lt;=50,"20-49",
IF(E890&lt;=80,"50-79","80+")))</f>
        <v>50-79</v>
      </c>
      <c r="G890" s="125" t="s">
        <v>60</v>
      </c>
      <c r="H890" s="125" t="s">
        <v>22</v>
      </c>
      <c r="I890" s="125" t="s">
        <v>445</v>
      </c>
      <c r="J890" s="82" t="s">
        <v>2270</v>
      </c>
      <c r="K890" s="125" t="s">
        <v>1231</v>
      </c>
      <c r="L890" s="125" t="s">
        <v>1231</v>
      </c>
      <c r="M890" s="239" t="s">
        <v>714</v>
      </c>
      <c r="N890" s="162">
        <v>57540</v>
      </c>
      <c r="O890" s="125" t="s">
        <v>832</v>
      </c>
      <c r="P890" s="172"/>
      <c r="Q890" s="210"/>
    </row>
    <row r="891" spans="1:17" hidden="1" x14ac:dyDescent="0.2">
      <c r="A891" s="143" t="s">
        <v>53</v>
      </c>
      <c r="B891" s="123">
        <v>2506022</v>
      </c>
      <c r="C891" s="122">
        <v>58697</v>
      </c>
      <c r="D891" s="123" t="s">
        <v>2023</v>
      </c>
      <c r="E891" s="123">
        <v>60</v>
      </c>
      <c r="F891" s="123" t="str">
        <f>IF(E891&lt;=20,"0-19",
IF(E891&lt;=50,"20-49",
IF(E891&lt;=80,"50-79","80+")))</f>
        <v>50-79</v>
      </c>
      <c r="G891" s="123" t="s">
        <v>60</v>
      </c>
      <c r="H891" s="123" t="s">
        <v>22</v>
      </c>
      <c r="I891" s="123" t="s">
        <v>737</v>
      </c>
      <c r="J891" s="86" t="s">
        <v>2270</v>
      </c>
      <c r="K891" s="123" t="s">
        <v>1923</v>
      </c>
      <c r="L891" s="121" t="s">
        <v>1923</v>
      </c>
      <c r="M891" s="240" t="s">
        <v>714</v>
      </c>
      <c r="N891" s="128">
        <v>54000</v>
      </c>
      <c r="O891" s="128" t="s">
        <v>2254</v>
      </c>
      <c r="P891" s="147">
        <v>254728323604</v>
      </c>
      <c r="Q891" s="210"/>
    </row>
    <row r="892" spans="1:17" hidden="1" x14ac:dyDescent="0.2">
      <c r="A892" s="155" t="s">
        <v>1237</v>
      </c>
      <c r="B892" s="125">
        <v>2410079</v>
      </c>
      <c r="C892" s="125">
        <v>53742</v>
      </c>
      <c r="D892" s="125" t="s">
        <v>721</v>
      </c>
      <c r="E892" s="125">
        <v>64</v>
      </c>
      <c r="F892" s="125" t="str">
        <f>IF(E892&lt;=20,"0-19",
IF(E892&lt;=50,"20-49",
IF(E892&lt;=80,"50-79","80+")))</f>
        <v>50-79</v>
      </c>
      <c r="G892" s="125" t="s">
        <v>60</v>
      </c>
      <c r="H892" s="125" t="s">
        <v>22</v>
      </c>
      <c r="I892" s="119" t="s">
        <v>445</v>
      </c>
      <c r="J892" s="92" t="s">
        <v>2270</v>
      </c>
      <c r="K892" s="119" t="s">
        <v>1242</v>
      </c>
      <c r="L892" s="119" t="s">
        <v>1242</v>
      </c>
      <c r="M892" s="239" t="s">
        <v>714</v>
      </c>
      <c r="N892" s="162">
        <v>50512.85</v>
      </c>
      <c r="O892" s="125" t="s">
        <v>832</v>
      </c>
      <c r="P892" s="173"/>
      <c r="Q892" s="210"/>
    </row>
    <row r="893" spans="1:17" hidden="1" x14ac:dyDescent="0.2">
      <c r="A893" s="143" t="s">
        <v>1768</v>
      </c>
      <c r="B893" s="123">
        <v>201102</v>
      </c>
      <c r="C893" s="122">
        <v>636</v>
      </c>
      <c r="D893" s="123" t="s">
        <v>1968</v>
      </c>
      <c r="E893" s="123">
        <v>62</v>
      </c>
      <c r="F893" s="123" t="str">
        <f>IF(E893&lt;=20,"0-19",
IF(E893&lt;=50,"20-49",
IF(E893&lt;=80,"50-79","80+")))</f>
        <v>50-79</v>
      </c>
      <c r="G893" s="121" t="s">
        <v>126</v>
      </c>
      <c r="H893" s="121" t="s">
        <v>22</v>
      </c>
      <c r="I893" s="123" t="s">
        <v>445</v>
      </c>
      <c r="J893" s="86" t="s">
        <v>2270</v>
      </c>
      <c r="K893" s="121" t="s">
        <v>1918</v>
      </c>
      <c r="L893" s="121" t="s">
        <v>1918</v>
      </c>
      <c r="M893" s="240" t="s">
        <v>714</v>
      </c>
      <c r="N893" s="127">
        <v>31290</v>
      </c>
      <c r="O893" s="127" t="s">
        <v>2254</v>
      </c>
      <c r="P893" s="147">
        <v>254721565523</v>
      </c>
      <c r="Q893" s="210"/>
    </row>
    <row r="894" spans="1:17" hidden="1" x14ac:dyDescent="0.2">
      <c r="A894" s="142" t="s">
        <v>72</v>
      </c>
      <c r="B894" s="119">
        <v>2015079</v>
      </c>
      <c r="C894" s="125">
        <v>14150</v>
      </c>
      <c r="D894" s="119" t="s">
        <v>2190</v>
      </c>
      <c r="E894" s="119">
        <v>68</v>
      </c>
      <c r="F894" s="119" t="str">
        <f>IF(E894&lt;=20,"0-19",
IF(E894&lt;=50,"20-49",
IF(E894&lt;=80,"50-79","80+")))</f>
        <v>50-79</v>
      </c>
      <c r="G894" s="118" t="s">
        <v>126</v>
      </c>
      <c r="H894" s="118" t="s">
        <v>22</v>
      </c>
      <c r="I894" s="119" t="s">
        <v>445</v>
      </c>
      <c r="J894" s="92" t="s">
        <v>2270</v>
      </c>
      <c r="K894" s="118" t="s">
        <v>1918</v>
      </c>
      <c r="L894" s="118" t="s">
        <v>1918</v>
      </c>
      <c r="M894" s="239" t="s">
        <v>714</v>
      </c>
      <c r="N894" s="120">
        <v>224296</v>
      </c>
      <c r="O894" s="120" t="s">
        <v>2254</v>
      </c>
      <c r="P894" s="146">
        <v>254722946435</v>
      </c>
      <c r="Q894" s="210"/>
    </row>
    <row r="895" spans="1:17" hidden="1" x14ac:dyDescent="0.2">
      <c r="A895" s="143" t="s">
        <v>373</v>
      </c>
      <c r="B895" s="123">
        <v>2002838</v>
      </c>
      <c r="C895" s="122">
        <v>101225</v>
      </c>
      <c r="D895" s="123" t="s">
        <v>2098</v>
      </c>
      <c r="E895" s="123">
        <v>70</v>
      </c>
      <c r="F895" s="123" t="str">
        <f>IF(E895&lt;=20,"0-19",
IF(E895&lt;=50,"20-49",
IF(E895&lt;=80,"50-79","80+")))</f>
        <v>50-79</v>
      </c>
      <c r="G895" s="121" t="s">
        <v>126</v>
      </c>
      <c r="H895" s="121" t="s">
        <v>22</v>
      </c>
      <c r="I895" s="123" t="s">
        <v>445</v>
      </c>
      <c r="J895" s="86" t="s">
        <v>2270</v>
      </c>
      <c r="K895" s="121" t="s">
        <v>1918</v>
      </c>
      <c r="L895" s="121" t="s">
        <v>1918</v>
      </c>
      <c r="M895" s="240" t="s">
        <v>714</v>
      </c>
      <c r="N895" s="127">
        <v>89751</v>
      </c>
      <c r="O895" s="127" t="s">
        <v>2254</v>
      </c>
      <c r="P895" s="147">
        <v>254711301243</v>
      </c>
      <c r="Q895" s="210"/>
    </row>
    <row r="896" spans="1:17" hidden="1" x14ac:dyDescent="0.2">
      <c r="A896" s="155" t="s">
        <v>836</v>
      </c>
      <c r="B896" s="118">
        <v>2001028</v>
      </c>
      <c r="C896" s="125">
        <v>18492</v>
      </c>
      <c r="D896" s="118" t="s">
        <v>1448</v>
      </c>
      <c r="E896" s="118">
        <v>64</v>
      </c>
      <c r="F896" s="118" t="str">
        <f>IF(E896&lt;=20,"0-19",
IF(E896&lt;=50,"20-49",
IF(E896&lt;=80,"50-79","80+")))</f>
        <v>50-79</v>
      </c>
      <c r="G896" s="118" t="s">
        <v>60</v>
      </c>
      <c r="H896" s="118" t="s">
        <v>22</v>
      </c>
      <c r="I896" s="118" t="s">
        <v>445</v>
      </c>
      <c r="J896" s="93" t="s">
        <v>2270</v>
      </c>
      <c r="K896" s="118" t="s">
        <v>1232</v>
      </c>
      <c r="L896" s="118" t="s">
        <v>1232</v>
      </c>
      <c r="M896" s="239" t="s">
        <v>714</v>
      </c>
      <c r="N896" s="160">
        <v>105000</v>
      </c>
      <c r="O896" s="125" t="s">
        <v>832</v>
      </c>
      <c r="P896" s="173"/>
      <c r="Q896" s="210"/>
    </row>
    <row r="897" spans="1:17" hidden="1" x14ac:dyDescent="0.2">
      <c r="A897" s="155" t="s">
        <v>86</v>
      </c>
      <c r="B897" s="122">
        <v>2001788</v>
      </c>
      <c r="C897" s="122">
        <v>18367</v>
      </c>
      <c r="D897" s="122" t="s">
        <v>716</v>
      </c>
      <c r="E897" s="123">
        <v>66</v>
      </c>
      <c r="F897" s="123" t="str">
        <f>IF(E897&lt;=20,"0-19",
IF(E897&lt;=50,"20-49",
IF(E897&lt;=80,"50-79","80+")))</f>
        <v>50-79</v>
      </c>
      <c r="G897" s="122" t="s">
        <v>60</v>
      </c>
      <c r="H897" s="122" t="s">
        <v>22</v>
      </c>
      <c r="I897" s="122" t="s">
        <v>445</v>
      </c>
      <c r="J897" s="87" t="s">
        <v>2270</v>
      </c>
      <c r="K897" s="123" t="s">
        <v>31</v>
      </c>
      <c r="L897" s="123" t="s">
        <v>31</v>
      </c>
      <c r="M897" s="240" t="s">
        <v>714</v>
      </c>
      <c r="N897" s="157">
        <v>231101</v>
      </c>
      <c r="O897" s="122" t="s">
        <v>18</v>
      </c>
      <c r="P897" s="172"/>
      <c r="Q897" s="210"/>
    </row>
    <row r="898" spans="1:17" hidden="1" x14ac:dyDescent="0.2">
      <c r="A898" s="155" t="s">
        <v>373</v>
      </c>
      <c r="B898" s="125">
        <v>2019637</v>
      </c>
      <c r="C898" s="125">
        <v>10170</v>
      </c>
      <c r="D898" s="125" t="s">
        <v>1476</v>
      </c>
      <c r="E898" s="125">
        <v>64</v>
      </c>
      <c r="F898" s="125" t="str">
        <f>IF(E898&lt;=20,"0-19",
IF(E898&lt;=50,"20-49",
IF(E898&lt;=80,"50-79","80+")))</f>
        <v>50-79</v>
      </c>
      <c r="G898" s="125" t="s">
        <v>22</v>
      </c>
      <c r="H898" s="125" t="s">
        <v>22</v>
      </c>
      <c r="I898" s="125" t="s">
        <v>445</v>
      </c>
      <c r="J898" s="82" t="s">
        <v>2270</v>
      </c>
      <c r="K898" s="125" t="s">
        <v>1477</v>
      </c>
      <c r="L898" s="125" t="s">
        <v>1225</v>
      </c>
      <c r="M898" s="239" t="s">
        <v>714</v>
      </c>
      <c r="N898" s="162">
        <v>46200</v>
      </c>
      <c r="O898" s="125" t="s">
        <v>832</v>
      </c>
      <c r="P898" s="173"/>
      <c r="Q898" s="210"/>
    </row>
    <row r="899" spans="1:17" hidden="1" x14ac:dyDescent="0.2">
      <c r="A899" s="155" t="s">
        <v>726</v>
      </c>
      <c r="B899" s="118">
        <v>2000236</v>
      </c>
      <c r="C899" s="125">
        <v>20756</v>
      </c>
      <c r="D899" s="118" t="s">
        <v>1269</v>
      </c>
      <c r="E899" s="118">
        <v>69</v>
      </c>
      <c r="F899" s="118" t="str">
        <f>IF(E899&lt;=20,"0-19",
IF(E899&lt;=50,"20-49",
IF(E899&lt;=80,"50-79","80+")))</f>
        <v>50-79</v>
      </c>
      <c r="G899" s="118" t="s">
        <v>60</v>
      </c>
      <c r="H899" s="118" t="s">
        <v>22</v>
      </c>
      <c r="I899" s="118" t="s">
        <v>445</v>
      </c>
      <c r="J899" s="93" t="s">
        <v>2270</v>
      </c>
      <c r="K899" s="118" t="s">
        <v>1264</v>
      </c>
      <c r="L899" s="118" t="s">
        <v>1264</v>
      </c>
      <c r="M899" s="239" t="s">
        <v>714</v>
      </c>
      <c r="N899" s="160">
        <v>43033</v>
      </c>
      <c r="O899" s="125" t="s">
        <v>832</v>
      </c>
      <c r="P899" s="173"/>
      <c r="Q899" s="210"/>
    </row>
    <row r="900" spans="1:17" hidden="1" x14ac:dyDescent="0.2">
      <c r="A900" s="155" t="s">
        <v>726</v>
      </c>
      <c r="B900" s="118">
        <v>2018773</v>
      </c>
      <c r="C900" s="125">
        <v>21046</v>
      </c>
      <c r="D900" s="118" t="s">
        <v>731</v>
      </c>
      <c r="E900" s="118">
        <v>59</v>
      </c>
      <c r="F900" s="118" t="str">
        <f>IF(E900&lt;=20,"0-19",
IF(E900&lt;=50,"20-49",
IF(E900&lt;=80,"50-79","80+")))</f>
        <v>50-79</v>
      </c>
      <c r="G900" s="118" t="s">
        <v>60</v>
      </c>
      <c r="H900" s="118" t="s">
        <v>22</v>
      </c>
      <c r="I900" s="118" t="s">
        <v>445</v>
      </c>
      <c r="J900" s="93" t="s">
        <v>2270</v>
      </c>
      <c r="K900" s="118" t="s">
        <v>1264</v>
      </c>
      <c r="L900" s="118" t="s">
        <v>1264</v>
      </c>
      <c r="M900" s="239" t="s">
        <v>714</v>
      </c>
      <c r="N900" s="160">
        <v>49477</v>
      </c>
      <c r="O900" s="125" t="s">
        <v>832</v>
      </c>
      <c r="P900" s="172"/>
      <c r="Q900" s="210"/>
    </row>
    <row r="901" spans="1:17" hidden="1" x14ac:dyDescent="0.2">
      <c r="A901" s="155" t="s">
        <v>212</v>
      </c>
      <c r="B901" s="119">
        <v>2504092</v>
      </c>
      <c r="C901" s="125">
        <v>62534</v>
      </c>
      <c r="D901" s="119" t="s">
        <v>1281</v>
      </c>
      <c r="E901" s="119">
        <v>58</v>
      </c>
      <c r="F901" s="119" t="str">
        <f>IF(E901&lt;=20,"0-19",
IF(E901&lt;=50,"20-49",
IF(E901&lt;=80,"50-79","80+")))</f>
        <v>50-79</v>
      </c>
      <c r="G901" s="119" t="s">
        <v>60</v>
      </c>
      <c r="H901" s="119" t="s">
        <v>22</v>
      </c>
      <c r="I901" s="119" t="s">
        <v>445</v>
      </c>
      <c r="J901" s="92" t="s">
        <v>2270</v>
      </c>
      <c r="K901" s="119" t="s">
        <v>1264</v>
      </c>
      <c r="L901" s="119" t="s">
        <v>1264</v>
      </c>
      <c r="M901" s="239" t="s">
        <v>714</v>
      </c>
      <c r="N901" s="165">
        <v>51486</v>
      </c>
      <c r="O901" s="125" t="s">
        <v>832</v>
      </c>
      <c r="P901" s="172"/>
      <c r="Q901" s="210"/>
    </row>
    <row r="902" spans="1:17" hidden="1" x14ac:dyDescent="0.2">
      <c r="A902" s="143" t="s">
        <v>63</v>
      </c>
      <c r="B902" s="122">
        <v>2017389</v>
      </c>
      <c r="C902" s="122">
        <v>31860</v>
      </c>
      <c r="D902" s="122" t="s">
        <v>1993</v>
      </c>
      <c r="E902" s="122"/>
      <c r="F902" s="122" t="str">
        <f>IF(E902&lt;=20,"0-19",
IF(E902&lt;=50,"20-49",
IF(E902&lt;=80,"50-79","80+")))</f>
        <v>0-19</v>
      </c>
      <c r="G902" s="122" t="s">
        <v>60</v>
      </c>
      <c r="H902" s="122" t="s">
        <v>22</v>
      </c>
      <c r="I902" s="122" t="s">
        <v>737</v>
      </c>
      <c r="J902" s="87" t="s">
        <v>2270</v>
      </c>
      <c r="K902" s="123" t="s">
        <v>1921</v>
      </c>
      <c r="L902" s="122" t="s">
        <v>1921</v>
      </c>
      <c r="M902" s="240" t="s">
        <v>714</v>
      </c>
      <c r="N902" s="124">
        <v>41690</v>
      </c>
      <c r="O902" s="124" t="s">
        <v>2254</v>
      </c>
      <c r="P902" s="147">
        <v>254724016624</v>
      </c>
      <c r="Q902" s="210"/>
    </row>
    <row r="903" spans="1:17" hidden="1" x14ac:dyDescent="0.2">
      <c r="A903" s="155" t="s">
        <v>19</v>
      </c>
      <c r="B903" s="125">
        <v>2001971</v>
      </c>
      <c r="C903" s="125">
        <v>12324</v>
      </c>
      <c r="D903" s="125" t="s">
        <v>725</v>
      </c>
      <c r="E903" s="119"/>
      <c r="F903" s="119" t="str">
        <f>IF(E903&lt;=20,"0-19",
IF(E903&lt;=50,"20-49",
IF(E903&lt;=80,"50-79","80+")))</f>
        <v>0-19</v>
      </c>
      <c r="G903" s="125" t="s">
        <v>60</v>
      </c>
      <c r="H903" s="125" t="s">
        <v>22</v>
      </c>
      <c r="I903" s="125" t="s">
        <v>445</v>
      </c>
      <c r="J903" s="82" t="s">
        <v>2270</v>
      </c>
      <c r="K903" s="119" t="s">
        <v>85</v>
      </c>
      <c r="L903" s="119" t="s">
        <v>85</v>
      </c>
      <c r="M903" s="239" t="s">
        <v>714</v>
      </c>
      <c r="N903" s="165">
        <v>93029.3</v>
      </c>
      <c r="O903" s="125" t="s">
        <v>18</v>
      </c>
      <c r="P903" s="173"/>
      <c r="Q903" s="210"/>
    </row>
    <row r="904" spans="1:17" ht="21" hidden="1" x14ac:dyDescent="0.2">
      <c r="A904" s="145" t="s">
        <v>732</v>
      </c>
      <c r="B904" s="125">
        <v>2001247</v>
      </c>
      <c r="C904" s="125">
        <v>102797</v>
      </c>
      <c r="D904" s="125" t="s">
        <v>733</v>
      </c>
      <c r="E904" s="119">
        <v>66</v>
      </c>
      <c r="F904" s="119" t="str">
        <f>IF(E904&lt;=20,"0-19",
IF(E904&lt;=50,"20-49",
IF(E904&lt;=80,"50-79","80+")))</f>
        <v>50-79</v>
      </c>
      <c r="G904" s="125" t="s">
        <v>60</v>
      </c>
      <c r="H904" s="125" t="s">
        <v>22</v>
      </c>
      <c r="I904" s="125" t="s">
        <v>445</v>
      </c>
      <c r="J904" s="82" t="s">
        <v>2270</v>
      </c>
      <c r="K904" s="119" t="s">
        <v>734</v>
      </c>
      <c r="L904" s="119" t="s">
        <v>85</v>
      </c>
      <c r="M904" s="239" t="s">
        <v>714</v>
      </c>
      <c r="N904" s="165">
        <v>37000</v>
      </c>
      <c r="O904" s="125" t="s">
        <v>18</v>
      </c>
      <c r="P904" s="173"/>
      <c r="Q904" s="210"/>
    </row>
    <row r="905" spans="1:17" hidden="1" x14ac:dyDescent="0.2">
      <c r="A905" s="143" t="s">
        <v>1768</v>
      </c>
      <c r="B905" s="122">
        <v>2003647</v>
      </c>
      <c r="C905" s="122">
        <v>14902</v>
      </c>
      <c r="D905" s="122" t="s">
        <v>2032</v>
      </c>
      <c r="E905" s="122">
        <v>65</v>
      </c>
      <c r="F905" s="122" t="str">
        <f>IF(E905&lt;=20,"0-19",
IF(E905&lt;=50,"20-49",
IF(E905&lt;=80,"50-79","80+")))</f>
        <v>50-79</v>
      </c>
      <c r="G905" s="122" t="s">
        <v>60</v>
      </c>
      <c r="H905" s="122" t="s">
        <v>22</v>
      </c>
      <c r="I905" s="122" t="s">
        <v>445</v>
      </c>
      <c r="J905" s="87" t="s">
        <v>2270</v>
      </c>
      <c r="K905" s="123" t="s">
        <v>2016</v>
      </c>
      <c r="L905" s="122" t="s">
        <v>2016</v>
      </c>
      <c r="M905" s="240" t="s">
        <v>714</v>
      </c>
      <c r="N905" s="124">
        <v>57390</v>
      </c>
      <c r="O905" s="124" t="s">
        <v>2254</v>
      </c>
      <c r="P905" s="147">
        <v>254722691221</v>
      </c>
      <c r="Q905" s="210"/>
    </row>
    <row r="906" spans="1:17" hidden="1" x14ac:dyDescent="0.2">
      <c r="A906" s="174" t="s">
        <v>777</v>
      </c>
      <c r="B906" s="175">
        <v>2001102</v>
      </c>
      <c r="C906" s="175">
        <v>636</v>
      </c>
      <c r="D906" s="175" t="s">
        <v>778</v>
      </c>
      <c r="E906" s="175">
        <v>81</v>
      </c>
      <c r="F906" s="175" t="str">
        <f>IF(E906&lt;=20,"0-19",
IF(E906&lt;=50,"20-49",
IF(E906&lt;=80,"50-79","80+")))</f>
        <v>80+</v>
      </c>
      <c r="G906" s="175" t="s">
        <v>60</v>
      </c>
      <c r="H906" s="175" t="s">
        <v>22</v>
      </c>
      <c r="I906" s="175" t="s">
        <v>737</v>
      </c>
      <c r="J906" s="189" t="s">
        <v>2270</v>
      </c>
      <c r="K906" s="175" t="s">
        <v>289</v>
      </c>
      <c r="L906" s="176" t="s">
        <v>289</v>
      </c>
      <c r="M906" s="243" t="s">
        <v>714</v>
      </c>
      <c r="N906" s="167">
        <v>70150</v>
      </c>
      <c r="O906" s="125" t="s">
        <v>18</v>
      </c>
      <c r="P906" s="173"/>
      <c r="Q906" s="210"/>
    </row>
    <row r="907" spans="1:17" hidden="1" x14ac:dyDescent="0.2">
      <c r="A907" s="142" t="s">
        <v>63</v>
      </c>
      <c r="B907" s="125">
        <v>2001843</v>
      </c>
      <c r="C907" s="125">
        <v>14127</v>
      </c>
      <c r="D907" s="125" t="s">
        <v>761</v>
      </c>
      <c r="E907" s="125">
        <v>66</v>
      </c>
      <c r="F907" s="125" t="str">
        <f>IF(E907&lt;=20,"0-19",
IF(E907&lt;=50,"20-49",
IF(E907&lt;=80,"50-79","80+")))</f>
        <v>50-79</v>
      </c>
      <c r="G907" s="125" t="s">
        <v>2099</v>
      </c>
      <c r="H907" s="125" t="s">
        <v>22</v>
      </c>
      <c r="I907" s="125" t="s">
        <v>737</v>
      </c>
      <c r="J907" s="82" t="s">
        <v>2270</v>
      </c>
      <c r="K907" s="119" t="s">
        <v>1922</v>
      </c>
      <c r="L907" s="125" t="s">
        <v>1922</v>
      </c>
      <c r="M907" s="239" t="s">
        <v>714</v>
      </c>
      <c r="N907" s="126">
        <v>91370</v>
      </c>
      <c r="O907" s="126" t="s">
        <v>2254</v>
      </c>
      <c r="P907" s="146">
        <v>254720453324</v>
      </c>
      <c r="Q907" s="210"/>
    </row>
    <row r="908" spans="1:17" hidden="1" x14ac:dyDescent="0.2">
      <c r="A908" s="155" t="s">
        <v>1503</v>
      </c>
      <c r="B908" s="125">
        <v>2000086</v>
      </c>
      <c r="C908" s="125">
        <v>17770</v>
      </c>
      <c r="D908" s="125" t="s">
        <v>551</v>
      </c>
      <c r="E908" s="125">
        <v>72</v>
      </c>
      <c r="F908" s="125" t="str">
        <f>IF(E908&lt;=20,"0-19",
IF(E908&lt;=50,"20-49",
IF(E908&lt;=80,"50-79","80+")))</f>
        <v>50-79</v>
      </c>
      <c r="G908" s="125" t="s">
        <v>60</v>
      </c>
      <c r="H908" s="125" t="s">
        <v>22</v>
      </c>
      <c r="I908" s="119" t="s">
        <v>1528</v>
      </c>
      <c r="J908" s="92" t="s">
        <v>2270</v>
      </c>
      <c r="K908" s="119" t="s">
        <v>1238</v>
      </c>
      <c r="L908" s="119" t="s">
        <v>1238</v>
      </c>
      <c r="M908" s="239" t="s">
        <v>714</v>
      </c>
      <c r="N908" s="162">
        <v>120268</v>
      </c>
      <c r="O908" s="125" t="s">
        <v>832</v>
      </c>
      <c r="P908" s="172"/>
      <c r="Q908" s="210"/>
    </row>
    <row r="909" spans="1:17" ht="21" hidden="1" x14ac:dyDescent="0.2">
      <c r="A909" s="142" t="s">
        <v>354</v>
      </c>
      <c r="B909" s="125">
        <v>2506022</v>
      </c>
      <c r="C909" s="125">
        <v>58697</v>
      </c>
      <c r="D909" s="125" t="s">
        <v>1990</v>
      </c>
      <c r="E909" s="125">
        <v>60</v>
      </c>
      <c r="F909" s="125" t="str">
        <f>IF(E909&lt;=20,"0-19",
IF(E909&lt;=50,"20-49",
IF(E909&lt;=80,"50-79","80+")))</f>
        <v>50-79</v>
      </c>
      <c r="G909" s="125" t="s">
        <v>60</v>
      </c>
      <c r="H909" s="125" t="s">
        <v>22</v>
      </c>
      <c r="I909" s="125" t="s">
        <v>1991</v>
      </c>
      <c r="J909" s="82" t="s">
        <v>2270</v>
      </c>
      <c r="K909" s="119" t="s">
        <v>1992</v>
      </c>
      <c r="L909" s="125" t="s">
        <v>1922</v>
      </c>
      <c r="M909" s="239" t="s">
        <v>714</v>
      </c>
      <c r="N909" s="126">
        <v>37190</v>
      </c>
      <c r="O909" s="126" t="s">
        <v>2254</v>
      </c>
      <c r="P909" s="146">
        <v>254729861927</v>
      </c>
      <c r="Q909" s="210"/>
    </row>
    <row r="910" spans="1:17" ht="21" hidden="1" x14ac:dyDescent="0.2">
      <c r="A910" s="142" t="s">
        <v>354</v>
      </c>
      <c r="B910" s="125">
        <v>2001146</v>
      </c>
      <c r="C910" s="125">
        <v>100300</v>
      </c>
      <c r="D910" s="125" t="s">
        <v>2033</v>
      </c>
      <c r="E910" s="125">
        <v>74</v>
      </c>
      <c r="F910" s="125" t="str">
        <f>IF(E910&lt;=20,"0-19",
IF(E910&lt;=50,"20-49",
IF(E910&lt;=80,"50-79","80+")))</f>
        <v>50-79</v>
      </c>
      <c r="G910" s="125" t="s">
        <v>60</v>
      </c>
      <c r="H910" s="125" t="s">
        <v>22</v>
      </c>
      <c r="I910" s="125" t="s">
        <v>1991</v>
      </c>
      <c r="J910" s="82" t="s">
        <v>2270</v>
      </c>
      <c r="K910" s="119" t="s">
        <v>1992</v>
      </c>
      <c r="L910" s="125" t="s">
        <v>1922</v>
      </c>
      <c r="M910" s="239" t="s">
        <v>714</v>
      </c>
      <c r="N910" s="126">
        <v>57522.400000000001</v>
      </c>
      <c r="O910" s="126" t="s">
        <v>2254</v>
      </c>
      <c r="P910" s="146">
        <v>254726386129</v>
      </c>
      <c r="Q910" s="210"/>
    </row>
    <row r="911" spans="1:17" hidden="1" x14ac:dyDescent="0.2">
      <c r="A911" s="155" t="s">
        <v>373</v>
      </c>
      <c r="B911" s="122">
        <v>2000181</v>
      </c>
      <c r="C911" s="122">
        <v>18032</v>
      </c>
      <c r="D911" s="122" t="s">
        <v>769</v>
      </c>
      <c r="E911" s="123">
        <v>67</v>
      </c>
      <c r="F911" s="123" t="str">
        <f>IF(E911&lt;=20,"0-19",
IF(E911&lt;=50,"20-49",
IF(E911&lt;=80,"50-79","80+")))</f>
        <v>50-79</v>
      </c>
      <c r="G911" s="122" t="s">
        <v>60</v>
      </c>
      <c r="H911" s="122" t="s">
        <v>22</v>
      </c>
      <c r="I911" s="122" t="s">
        <v>770</v>
      </c>
      <c r="J911" s="87" t="s">
        <v>2270</v>
      </c>
      <c r="K911" s="123" t="s">
        <v>79</v>
      </c>
      <c r="L911" s="123" t="s">
        <v>79</v>
      </c>
      <c r="M911" s="240" t="s">
        <v>714</v>
      </c>
      <c r="N911" s="157">
        <v>48261</v>
      </c>
      <c r="O911" s="122" t="s">
        <v>18</v>
      </c>
      <c r="P911" s="172"/>
      <c r="Q911" s="210"/>
    </row>
    <row r="912" spans="1:17" hidden="1" x14ac:dyDescent="0.2">
      <c r="A912" s="155" t="s">
        <v>19</v>
      </c>
      <c r="B912" s="121">
        <v>2017825</v>
      </c>
      <c r="C912" s="122">
        <v>54844</v>
      </c>
      <c r="D912" s="121" t="s">
        <v>723</v>
      </c>
      <c r="E912" s="121">
        <v>66</v>
      </c>
      <c r="F912" s="121" t="str">
        <f>IF(E912&lt;=20,"0-19",
IF(E912&lt;=50,"20-49",
IF(E912&lt;=80,"50-79","80+")))</f>
        <v>50-79</v>
      </c>
      <c r="G912" s="121" t="s">
        <v>60</v>
      </c>
      <c r="H912" s="121" t="s">
        <v>22</v>
      </c>
      <c r="I912" s="121" t="s">
        <v>724</v>
      </c>
      <c r="J912" s="88" t="s">
        <v>2270</v>
      </c>
      <c r="K912" s="121" t="s">
        <v>78</v>
      </c>
      <c r="L912" s="121" t="s">
        <v>78</v>
      </c>
      <c r="M912" s="238" t="s">
        <v>714</v>
      </c>
      <c r="N912" s="191">
        <v>140578.70000000001</v>
      </c>
      <c r="O912" s="122" t="s">
        <v>18</v>
      </c>
      <c r="P912" s="172"/>
      <c r="Q912" s="210"/>
    </row>
    <row r="913" spans="1:17" hidden="1" x14ac:dyDescent="0.2">
      <c r="A913" s="155" t="s">
        <v>422</v>
      </c>
      <c r="B913" s="197">
        <v>2001006</v>
      </c>
      <c r="C913" s="197">
        <v>18347</v>
      </c>
      <c r="D913" s="198" t="s">
        <v>607</v>
      </c>
      <c r="E913" s="197">
        <v>69</v>
      </c>
      <c r="F913" s="197" t="str">
        <f>IF(E913&lt;=20,"0-19",
IF(E913&lt;=50,"20-49",
IF(E913&lt;=80,"50-79","80+")))</f>
        <v>50-79</v>
      </c>
      <c r="G913" s="197" t="s">
        <v>60</v>
      </c>
      <c r="H913" s="197" t="s">
        <v>22</v>
      </c>
      <c r="I913" s="198" t="s">
        <v>768</v>
      </c>
      <c r="J913" s="114" t="s">
        <v>2270</v>
      </c>
      <c r="K913" s="198" t="s">
        <v>37</v>
      </c>
      <c r="L913" s="197" t="s">
        <v>37</v>
      </c>
      <c r="M913" s="238" t="s">
        <v>714</v>
      </c>
      <c r="N913" s="202">
        <v>22000</v>
      </c>
      <c r="O913" s="125" t="s">
        <v>18</v>
      </c>
      <c r="P913" s="173"/>
      <c r="Q913" s="210"/>
    </row>
    <row r="914" spans="1:17" hidden="1" x14ac:dyDescent="0.2">
      <c r="A914" s="142" t="s">
        <v>53</v>
      </c>
      <c r="B914" s="119">
        <v>2006996</v>
      </c>
      <c r="C914" s="125">
        <v>14842</v>
      </c>
      <c r="D914" s="119" t="s">
        <v>1961</v>
      </c>
      <c r="E914" s="119">
        <v>62</v>
      </c>
      <c r="F914" s="119" t="str">
        <f>IF(E914&lt;=20,"0-19",
IF(E914&lt;=50,"20-49",
IF(E914&lt;=80,"50-79","80+")))</f>
        <v>50-79</v>
      </c>
      <c r="G914" s="119" t="s">
        <v>14</v>
      </c>
      <c r="H914" s="119" t="s">
        <v>15</v>
      </c>
      <c r="I914" s="119" t="s">
        <v>1962</v>
      </c>
      <c r="J914" s="92" t="s">
        <v>2270</v>
      </c>
      <c r="K914" s="118" t="s">
        <v>1898</v>
      </c>
      <c r="L914" s="118" t="s">
        <v>1898</v>
      </c>
      <c r="M914" s="243" t="s">
        <v>714</v>
      </c>
      <c r="N914" s="129">
        <v>28859.4</v>
      </c>
      <c r="O914" s="129" t="s">
        <v>2254</v>
      </c>
      <c r="P914" s="146">
        <v>254722961245</v>
      </c>
      <c r="Q914" s="210"/>
    </row>
    <row r="915" spans="1:17" hidden="1" x14ac:dyDescent="0.2">
      <c r="A915" s="142" t="s">
        <v>53</v>
      </c>
      <c r="B915" s="119">
        <v>2010960</v>
      </c>
      <c r="C915" s="125">
        <v>64149</v>
      </c>
      <c r="D915" s="119" t="s">
        <v>2024</v>
      </c>
      <c r="E915" s="119">
        <v>57</v>
      </c>
      <c r="F915" s="119" t="str">
        <f>IF(E915&lt;=20,"0-19",
IF(E915&lt;=50,"20-49",
IF(E915&lt;=80,"50-79","80+")))</f>
        <v>50-79</v>
      </c>
      <c r="G915" s="119" t="s">
        <v>49</v>
      </c>
      <c r="H915" s="119" t="s">
        <v>15</v>
      </c>
      <c r="I915" s="119" t="s">
        <v>2025</v>
      </c>
      <c r="J915" s="92" t="s">
        <v>2270</v>
      </c>
      <c r="K915" s="119" t="s">
        <v>1923</v>
      </c>
      <c r="L915" s="118" t="s">
        <v>1923</v>
      </c>
      <c r="M915" s="239" t="s">
        <v>714</v>
      </c>
      <c r="N915" s="129">
        <v>55000</v>
      </c>
      <c r="O915" s="129" t="s">
        <v>2254</v>
      </c>
      <c r="P915" s="146">
        <v>254728323604</v>
      </c>
      <c r="Q915" s="210"/>
    </row>
    <row r="916" spans="1:17" hidden="1" x14ac:dyDescent="0.2">
      <c r="A916" s="143" t="s">
        <v>373</v>
      </c>
      <c r="B916" s="122">
        <v>2012299</v>
      </c>
      <c r="C916" s="122">
        <v>16739</v>
      </c>
      <c r="D916" s="122" t="s">
        <v>2207</v>
      </c>
      <c r="E916" s="122">
        <v>65</v>
      </c>
      <c r="F916" s="122" t="str">
        <f>IF(E916&lt;=20,"0-19",
IF(E916&lt;=50,"20-49",
IF(E916&lt;=80,"50-79","80+")))</f>
        <v>50-79</v>
      </c>
      <c r="G916" s="122" t="s">
        <v>60</v>
      </c>
      <c r="H916" s="122" t="s">
        <v>22</v>
      </c>
      <c r="I916" s="122" t="s">
        <v>2208</v>
      </c>
      <c r="J916" s="87" t="s">
        <v>2270</v>
      </c>
      <c r="K916" s="123" t="s">
        <v>1913</v>
      </c>
      <c r="L916" s="122" t="s">
        <v>1913</v>
      </c>
      <c r="M916" s="240" t="s">
        <v>714</v>
      </c>
      <c r="N916" s="124">
        <v>300655.8</v>
      </c>
      <c r="O916" s="124" t="s">
        <v>2254</v>
      </c>
      <c r="P916" s="147">
        <v>254704150060</v>
      </c>
      <c r="Q916" s="210"/>
    </row>
    <row r="917" spans="1:17" hidden="1" x14ac:dyDescent="0.2">
      <c r="A917" s="142" t="s">
        <v>212</v>
      </c>
      <c r="B917" s="125">
        <v>2504092</v>
      </c>
      <c r="C917" s="125">
        <v>62534</v>
      </c>
      <c r="D917" s="125" t="s">
        <v>1281</v>
      </c>
      <c r="E917" s="125">
        <v>58</v>
      </c>
      <c r="F917" s="125" t="str">
        <f>IF(E917&lt;=20,"0-19",
IF(E917&lt;=50,"20-49",
IF(E917&lt;=80,"50-79","80+")))</f>
        <v>50-79</v>
      </c>
      <c r="G917" s="125" t="s">
        <v>1946</v>
      </c>
      <c r="H917" s="125" t="s">
        <v>22</v>
      </c>
      <c r="I917" s="125" t="s">
        <v>1947</v>
      </c>
      <c r="J917" s="82" t="s">
        <v>2270</v>
      </c>
      <c r="K917" s="119" t="s">
        <v>1916</v>
      </c>
      <c r="L917" s="125" t="s">
        <v>1916</v>
      </c>
      <c r="M917" s="239" t="s">
        <v>714</v>
      </c>
      <c r="N917" s="126">
        <v>22909</v>
      </c>
      <c r="O917" s="126" t="s">
        <v>2254</v>
      </c>
      <c r="P917" s="146">
        <v>254721715581</v>
      </c>
      <c r="Q917" s="210"/>
    </row>
    <row r="918" spans="1:17" hidden="1" x14ac:dyDescent="0.2">
      <c r="A918" s="155" t="s">
        <v>726</v>
      </c>
      <c r="B918" s="125">
        <v>2017384</v>
      </c>
      <c r="C918" s="125">
        <v>53142</v>
      </c>
      <c r="D918" s="125" t="s">
        <v>1147</v>
      </c>
      <c r="E918" s="125">
        <v>63</v>
      </c>
      <c r="F918" s="125" t="str">
        <f>IF(E918&lt;=20,"0-19",
IF(E918&lt;=50,"20-49",
IF(E918&lt;=80,"50-79","80+")))</f>
        <v>50-79</v>
      </c>
      <c r="G918" s="125" t="s">
        <v>60</v>
      </c>
      <c r="H918" s="125" t="s">
        <v>22</v>
      </c>
      <c r="I918" s="119" t="s">
        <v>1266</v>
      </c>
      <c r="J918" s="92" t="s">
        <v>2270</v>
      </c>
      <c r="K918" s="119" t="s">
        <v>1241</v>
      </c>
      <c r="L918" s="119" t="s">
        <v>1241</v>
      </c>
      <c r="M918" s="239" t="s">
        <v>714</v>
      </c>
      <c r="N918" s="162">
        <v>75850</v>
      </c>
      <c r="O918" s="125" t="s">
        <v>832</v>
      </c>
      <c r="P918" s="172"/>
      <c r="Q918" s="210"/>
    </row>
    <row r="919" spans="1:17" hidden="1" x14ac:dyDescent="0.2">
      <c r="A919" s="155" t="s">
        <v>53</v>
      </c>
      <c r="B919" s="197">
        <v>2008867</v>
      </c>
      <c r="C919" s="197">
        <v>101493</v>
      </c>
      <c r="D919" s="198" t="s">
        <v>743</v>
      </c>
      <c r="E919" s="197">
        <v>62</v>
      </c>
      <c r="F919" s="197" t="str">
        <f>IF(E919&lt;=20,"0-19",
IF(E919&lt;=50,"20-49",
IF(E919&lt;=80,"50-79","80+")))</f>
        <v>50-79</v>
      </c>
      <c r="G919" s="197" t="s">
        <v>49</v>
      </c>
      <c r="H919" s="197" t="s">
        <v>15</v>
      </c>
      <c r="I919" s="198" t="s">
        <v>744</v>
      </c>
      <c r="J919" s="114" t="s">
        <v>2270</v>
      </c>
      <c r="K919" s="198" t="s">
        <v>57</v>
      </c>
      <c r="L919" s="197" t="s">
        <v>57</v>
      </c>
      <c r="M919" s="238" t="s">
        <v>714</v>
      </c>
      <c r="N919" s="202">
        <v>364643</v>
      </c>
      <c r="O919" s="122" t="s">
        <v>18</v>
      </c>
      <c r="P919" s="172"/>
      <c r="Q919" s="210"/>
    </row>
    <row r="920" spans="1:17" hidden="1" x14ac:dyDescent="0.2">
      <c r="A920" s="155" t="s">
        <v>53</v>
      </c>
      <c r="B920" s="122">
        <v>2008867</v>
      </c>
      <c r="C920" s="122">
        <v>101493</v>
      </c>
      <c r="D920" s="122" t="s">
        <v>743</v>
      </c>
      <c r="E920" s="123">
        <v>62</v>
      </c>
      <c r="F920" s="123" t="str">
        <f>IF(E920&lt;=20,"0-19",
IF(E920&lt;=50,"20-49",
IF(E920&lt;=80,"50-79","80+")))</f>
        <v>50-79</v>
      </c>
      <c r="G920" s="122" t="s">
        <v>49</v>
      </c>
      <c r="H920" s="122" t="s">
        <v>15</v>
      </c>
      <c r="I920" s="122" t="s">
        <v>744</v>
      </c>
      <c r="J920" s="87" t="s">
        <v>2270</v>
      </c>
      <c r="K920" s="123" t="s">
        <v>193</v>
      </c>
      <c r="L920" s="123" t="s">
        <v>193</v>
      </c>
      <c r="M920" s="240" t="s">
        <v>714</v>
      </c>
      <c r="N920" s="157">
        <v>24526.6</v>
      </c>
      <c r="O920" s="122" t="s">
        <v>18</v>
      </c>
      <c r="P920" s="172"/>
      <c r="Q920" s="210"/>
    </row>
    <row r="921" spans="1:17" hidden="1" x14ac:dyDescent="0.2">
      <c r="A921" s="155" t="s">
        <v>373</v>
      </c>
      <c r="B921" s="125">
        <v>2012118</v>
      </c>
      <c r="C921" s="125">
        <v>18259</v>
      </c>
      <c r="D921" s="125" t="s">
        <v>619</v>
      </c>
      <c r="E921" s="125">
        <v>69</v>
      </c>
      <c r="F921" s="125" t="str">
        <f>IF(E921&lt;=20,"0-19",
IF(E921&lt;=50,"20-49",
IF(E921&lt;=80,"50-79","80+")))</f>
        <v>50-79</v>
      </c>
      <c r="G921" s="125" t="s">
        <v>49</v>
      </c>
      <c r="H921" s="125" t="s">
        <v>15</v>
      </c>
      <c r="I921" s="125" t="s">
        <v>1478</v>
      </c>
      <c r="J921" s="82" t="s">
        <v>2270</v>
      </c>
      <c r="K921" s="125" t="s">
        <v>1479</v>
      </c>
      <c r="L921" s="125" t="s">
        <v>1225</v>
      </c>
      <c r="M921" s="239" t="s">
        <v>714</v>
      </c>
      <c r="N921" s="162">
        <v>122</v>
      </c>
      <c r="O921" s="125" t="s">
        <v>832</v>
      </c>
      <c r="P921" s="172"/>
      <c r="Q921" s="210"/>
    </row>
    <row r="922" spans="1:17" hidden="1" x14ac:dyDescent="0.2">
      <c r="A922" s="155" t="s">
        <v>53</v>
      </c>
      <c r="B922" s="125">
        <v>2007795</v>
      </c>
      <c r="C922" s="125">
        <v>15404</v>
      </c>
      <c r="D922" s="125" t="s">
        <v>749</v>
      </c>
      <c r="E922" s="125">
        <v>63</v>
      </c>
      <c r="F922" s="125" t="str">
        <f>IF(E922&lt;=20,"0-19",
IF(E922&lt;=50,"20-49",
IF(E922&lt;=80,"50-79","80+")))</f>
        <v>50-79</v>
      </c>
      <c r="G922" s="125" t="s">
        <v>49</v>
      </c>
      <c r="H922" s="125" t="s">
        <v>15</v>
      </c>
      <c r="I922" s="119" t="s">
        <v>1190</v>
      </c>
      <c r="J922" s="92" t="s">
        <v>2270</v>
      </c>
      <c r="K922" s="119" t="s">
        <v>855</v>
      </c>
      <c r="L922" s="125" t="s">
        <v>855</v>
      </c>
      <c r="M922" s="239" t="s">
        <v>714</v>
      </c>
      <c r="N922" s="162">
        <v>471646.92</v>
      </c>
      <c r="O922" s="125" t="s">
        <v>832</v>
      </c>
      <c r="P922" s="172"/>
      <c r="Q922" s="210"/>
    </row>
    <row r="923" spans="1:17" hidden="1" x14ac:dyDescent="0.2">
      <c r="A923" s="142" t="s">
        <v>1690</v>
      </c>
      <c r="B923" s="125">
        <v>2002401</v>
      </c>
      <c r="C923" s="125">
        <v>15577</v>
      </c>
      <c r="D923" s="125" t="s">
        <v>1186</v>
      </c>
      <c r="E923" s="125">
        <v>66</v>
      </c>
      <c r="F923" s="125" t="str">
        <f>IF(E923&lt;=20,"0-19",
IF(E923&lt;=50,"20-49",
IF(E923&lt;=80,"50-79","80+")))</f>
        <v>50-79</v>
      </c>
      <c r="G923" s="125" t="s">
        <v>60</v>
      </c>
      <c r="H923" s="125" t="s">
        <v>22</v>
      </c>
      <c r="I923" s="119" t="s">
        <v>1691</v>
      </c>
      <c r="J923" s="92" t="s">
        <v>2270</v>
      </c>
      <c r="K923" s="125" t="s">
        <v>1589</v>
      </c>
      <c r="L923" s="125" t="s">
        <v>1589</v>
      </c>
      <c r="M923" s="239" t="s">
        <v>714</v>
      </c>
      <c r="N923" s="126">
        <v>80490</v>
      </c>
      <c r="O923" s="126" t="s">
        <v>2254</v>
      </c>
      <c r="P923" s="146">
        <v>254722874333</v>
      </c>
      <c r="Q923" s="210"/>
    </row>
    <row r="924" spans="1:17" hidden="1" x14ac:dyDescent="0.2">
      <c r="A924" s="142" t="s">
        <v>1619</v>
      </c>
      <c r="B924" s="125">
        <v>2001244</v>
      </c>
      <c r="C924" s="125">
        <v>3692</v>
      </c>
      <c r="D924" s="125" t="s">
        <v>1620</v>
      </c>
      <c r="E924" s="125">
        <v>77</v>
      </c>
      <c r="F924" s="125" t="str">
        <f>IF(E924&lt;=20,"0-19",
IF(E924&lt;=50,"20-49",
IF(E924&lt;=80,"50-79","80+")))</f>
        <v>50-79</v>
      </c>
      <c r="G924" s="125" t="s">
        <v>60</v>
      </c>
      <c r="H924" s="125" t="s">
        <v>22</v>
      </c>
      <c r="I924" s="119" t="s">
        <v>1621</v>
      </c>
      <c r="J924" s="92" t="s">
        <v>2270</v>
      </c>
      <c r="K924" s="125" t="s">
        <v>1566</v>
      </c>
      <c r="L924" s="125" t="s">
        <v>1567</v>
      </c>
      <c r="M924" s="239" t="s">
        <v>714</v>
      </c>
      <c r="N924" s="126">
        <v>35954</v>
      </c>
      <c r="O924" s="126" t="s">
        <v>2254</v>
      </c>
      <c r="P924" s="146">
        <v>254722694758</v>
      </c>
      <c r="Q924" s="210"/>
    </row>
    <row r="925" spans="1:17" hidden="1" x14ac:dyDescent="0.2">
      <c r="A925" s="155" t="s">
        <v>63</v>
      </c>
      <c r="B925" s="125">
        <v>2001843</v>
      </c>
      <c r="C925" s="125">
        <v>14127</v>
      </c>
      <c r="D925" s="125" t="s">
        <v>761</v>
      </c>
      <c r="E925" s="125">
        <v>68</v>
      </c>
      <c r="F925" s="125" t="str">
        <f>IF(E925&lt;=20,"0-19",
IF(E925&lt;=50,"20-49",
IF(E925&lt;=80,"50-79","80+")))</f>
        <v>50-79</v>
      </c>
      <c r="G925" s="125" t="s">
        <v>60</v>
      </c>
      <c r="H925" s="125" t="s">
        <v>22</v>
      </c>
      <c r="I925" s="119" t="s">
        <v>1185</v>
      </c>
      <c r="J925" s="119" t="s">
        <v>2270</v>
      </c>
      <c r="K925" s="119" t="s">
        <v>851</v>
      </c>
      <c r="L925" s="125" t="s">
        <v>851</v>
      </c>
      <c r="M925" s="239" t="s">
        <v>714</v>
      </c>
      <c r="N925" s="162">
        <v>46620</v>
      </c>
      <c r="O925" s="125" t="s">
        <v>832</v>
      </c>
      <c r="P925" s="173"/>
      <c r="Q925" s="210"/>
    </row>
    <row r="926" spans="1:17" hidden="1" x14ac:dyDescent="0.2">
      <c r="A926" s="143" t="s">
        <v>373</v>
      </c>
      <c r="B926" s="122">
        <v>2015319</v>
      </c>
      <c r="C926" s="122">
        <v>18635</v>
      </c>
      <c r="D926" s="122" t="s">
        <v>2126</v>
      </c>
      <c r="E926" s="122">
        <v>63</v>
      </c>
      <c r="F926" s="122" t="str">
        <f>IF(E926&lt;=20,"0-19",
IF(E926&lt;=50,"20-49",
IF(E926&lt;=80,"50-79","80+")))</f>
        <v>50-79</v>
      </c>
      <c r="G926" s="122" t="s">
        <v>60</v>
      </c>
      <c r="H926" s="122" t="s">
        <v>22</v>
      </c>
      <c r="I926" s="122" t="s">
        <v>2127</v>
      </c>
      <c r="J926" s="122" t="s">
        <v>2270</v>
      </c>
      <c r="K926" s="123" t="s">
        <v>1895</v>
      </c>
      <c r="L926" s="122" t="s">
        <v>1895</v>
      </c>
      <c r="M926" s="240" t="s">
        <v>714</v>
      </c>
      <c r="N926" s="124">
        <v>122824.43</v>
      </c>
      <c r="O926" s="124" t="s">
        <v>2254</v>
      </c>
      <c r="P926" s="147">
        <v>254707475757</v>
      </c>
      <c r="Q926" s="210"/>
    </row>
    <row r="927" spans="1:17" hidden="1" x14ac:dyDescent="0.2">
      <c r="A927" s="155" t="s">
        <v>373</v>
      </c>
      <c r="B927" s="122">
        <v>2011874</v>
      </c>
      <c r="C927" s="122">
        <v>18209</v>
      </c>
      <c r="D927" s="122" t="s">
        <v>772</v>
      </c>
      <c r="E927" s="123">
        <v>59</v>
      </c>
      <c r="F927" s="123" t="str">
        <f>IF(E927&lt;=20,"0-19",
IF(E927&lt;=50,"20-49",
IF(E927&lt;=80,"50-79","80+")))</f>
        <v>50-79</v>
      </c>
      <c r="G927" s="122" t="s">
        <v>49</v>
      </c>
      <c r="H927" s="122" t="s">
        <v>15</v>
      </c>
      <c r="I927" s="122" t="s">
        <v>773</v>
      </c>
      <c r="J927" s="122" t="s">
        <v>2270</v>
      </c>
      <c r="K927" s="123" t="s">
        <v>95</v>
      </c>
      <c r="L927" s="123" t="s">
        <v>95</v>
      </c>
      <c r="M927" s="240" t="s">
        <v>714</v>
      </c>
      <c r="N927" s="157">
        <v>55825</v>
      </c>
      <c r="O927" s="122" t="s">
        <v>18</v>
      </c>
      <c r="P927" s="172"/>
      <c r="Q927" s="210"/>
    </row>
    <row r="928" spans="1:17" ht="21" hidden="1" x14ac:dyDescent="0.2">
      <c r="A928" s="143" t="s">
        <v>373</v>
      </c>
      <c r="B928" s="122">
        <v>2012118</v>
      </c>
      <c r="C928" s="122">
        <v>18259</v>
      </c>
      <c r="D928" s="122" t="s">
        <v>1924</v>
      </c>
      <c r="E928" s="122">
        <v>63</v>
      </c>
      <c r="F928" s="122" t="str">
        <f>IF(E928&lt;=20,"0-19",
IF(E928&lt;=50,"20-49",
IF(E928&lt;=80,"50-79","80+")))</f>
        <v>50-79</v>
      </c>
      <c r="G928" s="122" t="s">
        <v>1925</v>
      </c>
      <c r="H928" s="122" t="s">
        <v>15</v>
      </c>
      <c r="I928" s="122" t="s">
        <v>1926</v>
      </c>
      <c r="J928" s="122" t="s">
        <v>2270</v>
      </c>
      <c r="K928" s="123" t="s">
        <v>1927</v>
      </c>
      <c r="L928" s="122" t="s">
        <v>1928</v>
      </c>
      <c r="M928" s="240" t="s">
        <v>714</v>
      </c>
      <c r="N928" s="124">
        <v>12000</v>
      </c>
      <c r="O928" s="124" t="s">
        <v>2254</v>
      </c>
      <c r="P928" s="147">
        <v>254721743748</v>
      </c>
      <c r="Q928" s="210"/>
    </row>
    <row r="929" spans="1:17" hidden="1" x14ac:dyDescent="0.2">
      <c r="A929" s="155" t="s">
        <v>373</v>
      </c>
      <c r="B929" s="118">
        <v>2012118</v>
      </c>
      <c r="C929" s="125">
        <v>18259</v>
      </c>
      <c r="D929" s="118" t="s">
        <v>619</v>
      </c>
      <c r="E929" s="118">
        <v>63</v>
      </c>
      <c r="F929" s="118" t="str">
        <f>IF(E929&lt;=20,"0-19",
IF(E929&lt;=50,"20-49",
IF(E929&lt;=80,"50-79","80+")))</f>
        <v>50-79</v>
      </c>
      <c r="G929" s="118" t="s">
        <v>49</v>
      </c>
      <c r="H929" s="118" t="s">
        <v>15</v>
      </c>
      <c r="I929" s="118" t="s">
        <v>1480</v>
      </c>
      <c r="J929" s="118" t="s">
        <v>2270</v>
      </c>
      <c r="K929" s="118" t="s">
        <v>1264</v>
      </c>
      <c r="L929" s="118" t="s">
        <v>1264</v>
      </c>
      <c r="M929" s="239" t="s">
        <v>714</v>
      </c>
      <c r="N929" s="160">
        <v>51566</v>
      </c>
      <c r="O929" s="125" t="s">
        <v>832</v>
      </c>
      <c r="P929" s="173"/>
      <c r="Q929" s="210"/>
    </row>
    <row r="930" spans="1:17" hidden="1" x14ac:dyDescent="0.2">
      <c r="A930" s="155" t="s">
        <v>373</v>
      </c>
      <c r="B930" s="197">
        <v>2012118</v>
      </c>
      <c r="C930" s="197">
        <v>18259</v>
      </c>
      <c r="D930" s="198" t="s">
        <v>619</v>
      </c>
      <c r="E930" s="197">
        <v>63</v>
      </c>
      <c r="F930" s="197" t="str">
        <f>IF(E930&lt;=20,"0-19",
IF(E930&lt;=50,"20-49",
IF(E930&lt;=80,"50-79","80+")))</f>
        <v>50-79</v>
      </c>
      <c r="G930" s="197" t="s">
        <v>49</v>
      </c>
      <c r="H930" s="197" t="s">
        <v>15</v>
      </c>
      <c r="I930" s="198" t="s">
        <v>776</v>
      </c>
      <c r="J930" s="198" t="s">
        <v>2270</v>
      </c>
      <c r="K930" s="198" t="s">
        <v>57</v>
      </c>
      <c r="L930" s="197" t="s">
        <v>57</v>
      </c>
      <c r="M930" s="238" t="s">
        <v>714</v>
      </c>
      <c r="N930" s="202">
        <v>12000</v>
      </c>
      <c r="O930" s="122" t="s">
        <v>18</v>
      </c>
      <c r="P930" s="172"/>
      <c r="Q930" s="210"/>
    </row>
    <row r="931" spans="1:17" ht="21" hidden="1" x14ac:dyDescent="0.2">
      <c r="A931" s="142" t="s">
        <v>726</v>
      </c>
      <c r="B931" s="119">
        <v>2010446</v>
      </c>
      <c r="C931" s="125">
        <v>100598</v>
      </c>
      <c r="D931" s="119" t="s">
        <v>2007</v>
      </c>
      <c r="E931" s="119">
        <v>68</v>
      </c>
      <c r="F931" s="119" t="str">
        <f>IF(E931&lt;=20,"0-19",
IF(E931&lt;=50,"20-49",
IF(E931&lt;=80,"50-79","80+")))</f>
        <v>50-79</v>
      </c>
      <c r="G931" s="118" t="s">
        <v>60</v>
      </c>
      <c r="H931" s="118" t="s">
        <v>22</v>
      </c>
      <c r="I931" s="119" t="s">
        <v>2008</v>
      </c>
      <c r="J931" s="119" t="s">
        <v>2270</v>
      </c>
      <c r="K931" s="119" t="s">
        <v>2264</v>
      </c>
      <c r="L931" s="119" t="s">
        <v>1911</v>
      </c>
      <c r="M931" s="239" t="s">
        <v>714</v>
      </c>
      <c r="N931" s="129">
        <v>46600</v>
      </c>
      <c r="O931" s="129" t="s">
        <v>2254</v>
      </c>
      <c r="P931" s="146">
        <v>254722432463</v>
      </c>
      <c r="Q931" s="210"/>
    </row>
    <row r="932" spans="1:17" hidden="1" x14ac:dyDescent="0.2">
      <c r="A932" s="143" t="s">
        <v>72</v>
      </c>
      <c r="B932" s="122">
        <v>2001028</v>
      </c>
      <c r="C932" s="122">
        <v>18492</v>
      </c>
      <c r="D932" s="122" t="s">
        <v>763</v>
      </c>
      <c r="E932" s="123">
        <v>64</v>
      </c>
      <c r="F932" s="123" t="str">
        <f>IF(E932&lt;=20,"0-19",
IF(E932&lt;=50,"20-49",
IF(E932&lt;=80,"50-79","80+")))</f>
        <v>50-79</v>
      </c>
      <c r="G932" s="122" t="s">
        <v>126</v>
      </c>
      <c r="H932" s="122" t="s">
        <v>664</v>
      </c>
      <c r="I932" s="122" t="s">
        <v>764</v>
      </c>
      <c r="J932" s="122" t="s">
        <v>2270</v>
      </c>
      <c r="K932" s="123" t="s">
        <v>95</v>
      </c>
      <c r="L932" s="123" t="s">
        <v>95</v>
      </c>
      <c r="M932" s="240" t="s">
        <v>714</v>
      </c>
      <c r="N932" s="157">
        <v>150000</v>
      </c>
      <c r="O932" s="122" t="s">
        <v>18</v>
      </c>
      <c r="P932" s="172"/>
      <c r="Q932" s="210"/>
    </row>
    <row r="933" spans="1:17" ht="21" hidden="1" x14ac:dyDescent="0.2">
      <c r="A933" s="155" t="s">
        <v>1482</v>
      </c>
      <c r="B933" s="125">
        <v>2003191</v>
      </c>
      <c r="C933" s="125">
        <v>54549</v>
      </c>
      <c r="D933" s="125" t="s">
        <v>994</v>
      </c>
      <c r="E933" s="125">
        <v>65</v>
      </c>
      <c r="F933" s="125" t="str">
        <f>IF(E933&lt;=20,"0-19",
IF(E933&lt;=50,"20-49",
IF(E933&lt;=80,"50-79","80+")))</f>
        <v>50-79</v>
      </c>
      <c r="G933" s="125" t="s">
        <v>60</v>
      </c>
      <c r="H933" s="125" t="s">
        <v>22</v>
      </c>
      <c r="I933" s="119" t="s">
        <v>1187</v>
      </c>
      <c r="J933" s="119" t="s">
        <v>2270</v>
      </c>
      <c r="K933" s="119" t="s">
        <v>1188</v>
      </c>
      <c r="L933" s="125" t="s">
        <v>834</v>
      </c>
      <c r="M933" s="239" t="s">
        <v>714</v>
      </c>
      <c r="N933" s="162">
        <v>139182.6</v>
      </c>
      <c r="O933" s="125" t="s">
        <v>832</v>
      </c>
      <c r="P933" s="173"/>
      <c r="Q933" s="210"/>
    </row>
    <row r="934" spans="1:17" hidden="1" x14ac:dyDescent="0.2">
      <c r="A934" s="145" t="s">
        <v>75</v>
      </c>
      <c r="B934" s="125">
        <v>2018374</v>
      </c>
      <c r="C934" s="125">
        <v>64248</v>
      </c>
      <c r="D934" s="125" t="s">
        <v>811</v>
      </c>
      <c r="E934" s="119">
        <v>55</v>
      </c>
      <c r="F934" s="119" t="str">
        <f>IF(E934&lt;=20,"0-19",
IF(E934&lt;=50,"20-49",
IF(E934&lt;=80,"50-79","80+")))</f>
        <v>50-79</v>
      </c>
      <c r="G934" s="125" t="s">
        <v>49</v>
      </c>
      <c r="H934" s="125" t="s">
        <v>15</v>
      </c>
      <c r="I934" s="125" t="s">
        <v>812</v>
      </c>
      <c r="J934" s="125" t="s">
        <v>2270</v>
      </c>
      <c r="K934" s="119" t="s">
        <v>66</v>
      </c>
      <c r="L934" s="119" t="s">
        <v>66</v>
      </c>
      <c r="M934" s="239" t="s">
        <v>714</v>
      </c>
      <c r="N934" s="165">
        <v>40416.43</v>
      </c>
      <c r="O934" s="125" t="s">
        <v>18</v>
      </c>
      <c r="P934" s="173"/>
      <c r="Q934" s="210"/>
    </row>
    <row r="935" spans="1:17" hidden="1" x14ac:dyDescent="0.2">
      <c r="A935" s="155" t="s">
        <v>53</v>
      </c>
      <c r="B935" s="125">
        <v>2007795</v>
      </c>
      <c r="C935" s="125">
        <v>15404</v>
      </c>
      <c r="D935" s="125" t="s">
        <v>749</v>
      </c>
      <c r="E935" s="119">
        <v>63</v>
      </c>
      <c r="F935" s="119" t="str">
        <f>IF(E935&lt;=20,"0-19",
IF(E935&lt;=50,"20-49",
IF(E935&lt;=80,"50-79","80+")))</f>
        <v>50-79</v>
      </c>
      <c r="G935" s="125" t="s">
        <v>49</v>
      </c>
      <c r="H935" s="125" t="s">
        <v>15</v>
      </c>
      <c r="I935" s="125" t="s">
        <v>750</v>
      </c>
      <c r="J935" s="125" t="s">
        <v>2270</v>
      </c>
      <c r="K935" s="119" t="s">
        <v>95</v>
      </c>
      <c r="L935" s="119" t="s">
        <v>95</v>
      </c>
      <c r="M935" s="239" t="s">
        <v>714</v>
      </c>
      <c r="N935" s="165">
        <v>486113.12</v>
      </c>
      <c r="O935" s="125" t="s">
        <v>18</v>
      </c>
      <c r="P935" s="173"/>
      <c r="Q935" s="210"/>
    </row>
    <row r="936" spans="1:17" hidden="1" x14ac:dyDescent="0.2">
      <c r="A936" s="155" t="s">
        <v>726</v>
      </c>
      <c r="B936" s="125">
        <v>2009023</v>
      </c>
      <c r="C936" s="125">
        <v>18240</v>
      </c>
      <c r="D936" s="125" t="s">
        <v>1191</v>
      </c>
      <c r="E936" s="125">
        <v>42</v>
      </c>
      <c r="F936" s="125" t="str">
        <f>IF(E936&lt;=20,"0-19",
IF(E936&lt;=50,"20-49",
IF(E936&lt;=80,"50-79","80+")))</f>
        <v>20-49</v>
      </c>
      <c r="G936" s="125" t="s">
        <v>49</v>
      </c>
      <c r="H936" s="125" t="s">
        <v>15</v>
      </c>
      <c r="I936" s="119" t="s">
        <v>1192</v>
      </c>
      <c r="J936" s="119" t="s">
        <v>2270</v>
      </c>
      <c r="K936" s="119" t="s">
        <v>855</v>
      </c>
      <c r="L936" s="125" t="s">
        <v>855</v>
      </c>
      <c r="M936" s="239" t="s">
        <v>714</v>
      </c>
      <c r="N936" s="162">
        <v>75850</v>
      </c>
      <c r="O936" s="125" t="s">
        <v>832</v>
      </c>
      <c r="P936" s="172"/>
      <c r="Q936" s="210"/>
    </row>
    <row r="937" spans="1:17" hidden="1" x14ac:dyDescent="0.2">
      <c r="A937" s="156" t="s">
        <v>309</v>
      </c>
      <c r="B937" s="196">
        <v>2014720</v>
      </c>
      <c r="C937" s="196">
        <v>37099</v>
      </c>
      <c r="D937" s="196" t="s">
        <v>717</v>
      </c>
      <c r="E937" s="196">
        <v>67</v>
      </c>
      <c r="F937" s="196" t="str">
        <f>IF(E937&lt;=20,"0-19",
IF(E937&lt;=50,"20-49",
IF(E937&lt;=80,"50-79","80+")))</f>
        <v>50-79</v>
      </c>
      <c r="G937" s="196" t="s">
        <v>14</v>
      </c>
      <c r="H937" s="196" t="s">
        <v>15</v>
      </c>
      <c r="I937" s="196" t="s">
        <v>718</v>
      </c>
      <c r="J937" s="196" t="s">
        <v>2270</v>
      </c>
      <c r="K937" s="196" t="s">
        <v>121</v>
      </c>
      <c r="L937" s="196" t="s">
        <v>121</v>
      </c>
      <c r="M937" s="238" t="s">
        <v>714</v>
      </c>
      <c r="N937" s="201">
        <v>50527.98</v>
      </c>
      <c r="O937" s="125" t="s">
        <v>18</v>
      </c>
      <c r="P937" s="173"/>
      <c r="Q937" s="210"/>
    </row>
    <row r="938" spans="1:17" hidden="1" x14ac:dyDescent="0.2">
      <c r="A938" s="143" t="s">
        <v>726</v>
      </c>
      <c r="B938" s="123">
        <v>2009023</v>
      </c>
      <c r="C938" s="122">
        <v>18240</v>
      </c>
      <c r="D938" s="123" t="s">
        <v>1191</v>
      </c>
      <c r="E938" s="123">
        <v>42</v>
      </c>
      <c r="F938" s="123" t="str">
        <f>IF(E938&lt;=20,"0-19",
IF(E938&lt;=50,"20-49",
IF(E938&lt;=80,"50-79","80+")))</f>
        <v>20-49</v>
      </c>
      <c r="G938" s="123" t="s">
        <v>14</v>
      </c>
      <c r="H938" s="123" t="s">
        <v>15</v>
      </c>
      <c r="I938" s="123" t="s">
        <v>2137</v>
      </c>
      <c r="J938" s="196" t="s">
        <v>2270</v>
      </c>
      <c r="K938" s="123" t="s">
        <v>1911</v>
      </c>
      <c r="L938" s="123" t="s">
        <v>1911</v>
      </c>
      <c r="M938" s="240" t="s">
        <v>714</v>
      </c>
      <c r="N938" s="127">
        <v>154500</v>
      </c>
      <c r="O938" s="127" t="s">
        <v>2254</v>
      </c>
      <c r="P938" s="147">
        <v>254724074168</v>
      </c>
      <c r="Q938" s="210"/>
    </row>
    <row r="939" spans="1:17" ht="21" hidden="1" x14ac:dyDescent="0.2">
      <c r="A939" s="155" t="s">
        <v>1033</v>
      </c>
      <c r="B939" s="125">
        <v>2016144</v>
      </c>
      <c r="C939" s="125">
        <v>57112</v>
      </c>
      <c r="D939" s="125" t="s">
        <v>1299</v>
      </c>
      <c r="E939" s="125">
        <v>58</v>
      </c>
      <c r="F939" s="125" t="str">
        <f>IF(E939&lt;=20,"0-19",
IF(E939&lt;=50,"20-49",
IF(E939&lt;=80,"50-79","80+")))</f>
        <v>50-79</v>
      </c>
      <c r="G939" s="125" t="s">
        <v>14</v>
      </c>
      <c r="H939" s="125" t="s">
        <v>706</v>
      </c>
      <c r="I939" s="119" t="s">
        <v>1300</v>
      </c>
      <c r="J939" s="196" t="s">
        <v>2270</v>
      </c>
      <c r="K939" s="119" t="s">
        <v>1301</v>
      </c>
      <c r="L939" s="119" t="s">
        <v>1238</v>
      </c>
      <c r="M939" s="239" t="s">
        <v>714</v>
      </c>
      <c r="N939" s="162">
        <v>68500</v>
      </c>
      <c r="O939" s="125" t="s">
        <v>832</v>
      </c>
      <c r="P939" s="172"/>
      <c r="Q939" s="210"/>
    </row>
    <row r="940" spans="1:17" hidden="1" x14ac:dyDescent="0.2">
      <c r="A940" s="155" t="s">
        <v>53</v>
      </c>
      <c r="B940" s="198">
        <v>2502192</v>
      </c>
      <c r="C940" s="197">
        <v>104817</v>
      </c>
      <c r="D940" s="198" t="s">
        <v>751</v>
      </c>
      <c r="E940" s="198">
        <v>60</v>
      </c>
      <c r="F940" s="198" t="str">
        <f>IF(E940&lt;=20,"0-19",
IF(E940&lt;=50,"20-49",
IF(E940&lt;=80,"50-79","80+")))</f>
        <v>50-79</v>
      </c>
      <c r="G940" s="198" t="s">
        <v>60</v>
      </c>
      <c r="H940" s="198" t="s">
        <v>22</v>
      </c>
      <c r="I940" s="198" t="s">
        <v>752</v>
      </c>
      <c r="J940" s="196" t="s">
        <v>2270</v>
      </c>
      <c r="K940" s="196" t="s">
        <v>24</v>
      </c>
      <c r="L940" s="196" t="s">
        <v>24</v>
      </c>
      <c r="M940" s="238" t="s">
        <v>714</v>
      </c>
      <c r="N940" s="203">
        <v>47992</v>
      </c>
      <c r="O940" s="125" t="s">
        <v>18</v>
      </c>
      <c r="P940" s="173"/>
      <c r="Q940" s="210"/>
    </row>
    <row r="941" spans="1:17" hidden="1" x14ac:dyDescent="0.2">
      <c r="A941" s="142" t="s">
        <v>53</v>
      </c>
      <c r="B941" s="119">
        <v>2018734</v>
      </c>
      <c r="C941" s="125">
        <v>64401</v>
      </c>
      <c r="D941" s="119" t="s">
        <v>1595</v>
      </c>
      <c r="E941" s="119">
        <v>61</v>
      </c>
      <c r="F941" s="119" t="str">
        <f>IF(E941&lt;=20,"0-19",
IF(E941&lt;=50,"20-49",
IF(E941&lt;=80,"50-79","80+")))</f>
        <v>50-79</v>
      </c>
      <c r="G941" s="119" t="s">
        <v>126</v>
      </c>
      <c r="H941" s="119" t="s">
        <v>22</v>
      </c>
      <c r="I941" s="119" t="s">
        <v>1596</v>
      </c>
      <c r="J941" s="196" t="s">
        <v>2270</v>
      </c>
      <c r="K941" s="119" t="s">
        <v>1562</v>
      </c>
      <c r="L941" s="119" t="s">
        <v>1562</v>
      </c>
      <c r="M941" s="239" t="s">
        <v>714</v>
      </c>
      <c r="N941" s="120">
        <v>27000</v>
      </c>
      <c r="O941" s="120" t="s">
        <v>2254</v>
      </c>
      <c r="P941" s="146">
        <v>254718134262</v>
      </c>
      <c r="Q941" s="210"/>
    </row>
    <row r="942" spans="1:17" hidden="1" x14ac:dyDescent="0.2">
      <c r="A942" s="155" t="s">
        <v>836</v>
      </c>
      <c r="B942" s="118">
        <v>2015079</v>
      </c>
      <c r="C942" s="125">
        <v>14150</v>
      </c>
      <c r="D942" s="118" t="s">
        <v>1194</v>
      </c>
      <c r="E942" s="118">
        <v>68</v>
      </c>
      <c r="F942" s="118" t="str">
        <f>IF(E942&lt;=20,"0-19",
IF(E942&lt;=50,"20-49",
IF(E942&lt;=80,"50-79","80+")))</f>
        <v>50-79</v>
      </c>
      <c r="G942" s="118" t="s">
        <v>60</v>
      </c>
      <c r="H942" s="118" t="s">
        <v>22</v>
      </c>
      <c r="I942" s="118" t="s">
        <v>1195</v>
      </c>
      <c r="J942" s="196" t="s">
        <v>2270</v>
      </c>
      <c r="K942" s="118" t="s">
        <v>835</v>
      </c>
      <c r="L942" s="118" t="s">
        <v>835</v>
      </c>
      <c r="M942" s="239" t="s">
        <v>714</v>
      </c>
      <c r="N942" s="160">
        <v>161463</v>
      </c>
      <c r="O942" s="125" t="s">
        <v>832</v>
      </c>
      <c r="P942" s="172"/>
      <c r="Q942" s="210"/>
    </row>
    <row r="943" spans="1:17" hidden="1" x14ac:dyDescent="0.2">
      <c r="A943" s="143" t="s">
        <v>726</v>
      </c>
      <c r="B943" s="122">
        <v>2000038</v>
      </c>
      <c r="C943" s="122">
        <v>20565</v>
      </c>
      <c r="D943" s="122" t="s">
        <v>1692</v>
      </c>
      <c r="E943" s="122">
        <v>71</v>
      </c>
      <c r="F943" s="122" t="str">
        <f>IF(E943&lt;=20,"0-19",
IF(E943&lt;=50,"20-49",
IF(E943&lt;=80,"50-79","80+")))</f>
        <v>50-79</v>
      </c>
      <c r="G943" s="122" t="s">
        <v>126</v>
      </c>
      <c r="H943" s="122" t="s">
        <v>664</v>
      </c>
      <c r="I943" s="123" t="s">
        <v>1693</v>
      </c>
      <c r="J943" s="196" t="s">
        <v>2270</v>
      </c>
      <c r="K943" s="122" t="s">
        <v>1556</v>
      </c>
      <c r="L943" s="122" t="s">
        <v>1556</v>
      </c>
      <c r="M943" s="240" t="s">
        <v>714</v>
      </c>
      <c r="N943" s="124">
        <v>80625</v>
      </c>
      <c r="O943" s="124" t="s">
        <v>2254</v>
      </c>
      <c r="P943" s="147">
        <v>254722525808</v>
      </c>
      <c r="Q943" s="210"/>
    </row>
    <row r="944" spans="1:17" ht="31.5" hidden="1" x14ac:dyDescent="0.2">
      <c r="A944" s="155" t="s">
        <v>53</v>
      </c>
      <c r="B944" s="125">
        <v>2506022</v>
      </c>
      <c r="C944" s="125">
        <v>58697</v>
      </c>
      <c r="D944" s="125" t="s">
        <v>1212</v>
      </c>
      <c r="E944" s="125">
        <v>60</v>
      </c>
      <c r="F944" s="125" t="str">
        <f>IF(E944&lt;=20,"0-19",
IF(E944&lt;=50,"20-49",
IF(E944&lt;=80,"50-79","80+")))</f>
        <v>50-79</v>
      </c>
      <c r="G944" s="125" t="s">
        <v>60</v>
      </c>
      <c r="H944" s="125" t="s">
        <v>22</v>
      </c>
      <c r="I944" s="125" t="s">
        <v>23</v>
      </c>
      <c r="J944" s="196" t="s">
        <v>2270</v>
      </c>
      <c r="K944" s="119" t="s">
        <v>1213</v>
      </c>
      <c r="L944" s="119" t="s">
        <v>859</v>
      </c>
      <c r="M944" s="239" t="s">
        <v>714</v>
      </c>
      <c r="N944" s="162">
        <v>62100</v>
      </c>
      <c r="O944" s="125" t="s">
        <v>832</v>
      </c>
      <c r="P944" s="172"/>
      <c r="Q944" s="210"/>
    </row>
    <row r="945" spans="1:17" hidden="1" x14ac:dyDescent="0.2">
      <c r="A945" s="155" t="s">
        <v>836</v>
      </c>
      <c r="B945" s="125">
        <v>2503065</v>
      </c>
      <c r="C945" s="125">
        <v>59127</v>
      </c>
      <c r="D945" s="125" t="s">
        <v>1207</v>
      </c>
      <c r="E945" s="125">
        <v>59</v>
      </c>
      <c r="F945" s="125" t="str">
        <f>IF(E945&lt;=20,"0-19",
IF(E945&lt;=50,"20-49",
IF(E945&lt;=80,"50-79","80+")))</f>
        <v>50-79</v>
      </c>
      <c r="G945" s="125" t="s">
        <v>60</v>
      </c>
      <c r="H945" s="125" t="s">
        <v>22</v>
      </c>
      <c r="I945" s="125" t="s">
        <v>1208</v>
      </c>
      <c r="J945" s="196" t="s">
        <v>2270</v>
      </c>
      <c r="K945" s="119" t="s">
        <v>859</v>
      </c>
      <c r="L945" s="119" t="s">
        <v>859</v>
      </c>
      <c r="M945" s="239" t="s">
        <v>714</v>
      </c>
      <c r="N945" s="162">
        <v>147840</v>
      </c>
      <c r="O945" s="125" t="s">
        <v>832</v>
      </c>
      <c r="P945" s="173"/>
      <c r="Q945" s="210"/>
    </row>
    <row r="946" spans="1:17" hidden="1" x14ac:dyDescent="0.2">
      <c r="A946" s="142" t="s">
        <v>274</v>
      </c>
      <c r="B946" s="118">
        <v>2021923</v>
      </c>
      <c r="C946" s="125">
        <v>56634</v>
      </c>
      <c r="D946" s="119" t="s">
        <v>2017</v>
      </c>
      <c r="E946" s="119">
        <v>60</v>
      </c>
      <c r="F946" s="119" t="str">
        <f>IF(E946&lt;=20,"0-19",
IF(E946&lt;=50,"20-49",
IF(E946&lt;=80,"50-79","80+")))</f>
        <v>50-79</v>
      </c>
      <c r="G946" s="118" t="s">
        <v>60</v>
      </c>
      <c r="H946" s="118" t="s">
        <v>22</v>
      </c>
      <c r="I946" s="119" t="s">
        <v>23</v>
      </c>
      <c r="J946" s="196" t="s">
        <v>2270</v>
      </c>
      <c r="K946" s="119" t="s">
        <v>1911</v>
      </c>
      <c r="L946" s="119" t="s">
        <v>1911</v>
      </c>
      <c r="M946" s="239" t="s">
        <v>714</v>
      </c>
      <c r="N946" s="120">
        <v>51899.8</v>
      </c>
      <c r="O946" s="120" t="s">
        <v>2254</v>
      </c>
      <c r="P946" s="146">
        <v>254723908946</v>
      </c>
      <c r="Q946" s="210"/>
    </row>
    <row r="947" spans="1:17" hidden="1" x14ac:dyDescent="0.2">
      <c r="A947" s="143" t="s">
        <v>53</v>
      </c>
      <c r="B947" s="122">
        <v>2019232</v>
      </c>
      <c r="C947" s="122">
        <v>104495</v>
      </c>
      <c r="D947" s="122" t="s">
        <v>2131</v>
      </c>
      <c r="E947" s="122">
        <v>64</v>
      </c>
      <c r="F947" s="122" t="str">
        <f>IF(E947&lt;=20,"0-19",
IF(E947&lt;=50,"20-49",
IF(E947&lt;=80,"50-79","80+")))</f>
        <v>50-79</v>
      </c>
      <c r="G947" s="122" t="s">
        <v>126</v>
      </c>
      <c r="H947" s="122" t="s">
        <v>664</v>
      </c>
      <c r="I947" s="122" t="s">
        <v>2132</v>
      </c>
      <c r="J947" s="125" t="s">
        <v>2270</v>
      </c>
      <c r="K947" s="123" t="s">
        <v>1921</v>
      </c>
      <c r="L947" s="122" t="s">
        <v>1921</v>
      </c>
      <c r="M947" s="240" t="s">
        <v>2133</v>
      </c>
      <c r="N947" s="124">
        <v>144353.44</v>
      </c>
      <c r="O947" s="124" t="s">
        <v>2254</v>
      </c>
      <c r="P947" s="147">
        <v>254719250639</v>
      </c>
      <c r="Q947" s="210"/>
    </row>
    <row r="948" spans="1:17" hidden="1" x14ac:dyDescent="0.2">
      <c r="A948" s="143" t="s">
        <v>155</v>
      </c>
      <c r="B948" s="122">
        <v>2010327</v>
      </c>
      <c r="C948" s="122">
        <v>18565</v>
      </c>
      <c r="D948" s="122" t="s">
        <v>1982</v>
      </c>
      <c r="E948" s="122">
        <v>60</v>
      </c>
      <c r="F948" s="122" t="str">
        <f>IF(E948&lt;=20,"0-19",
IF(E948&lt;=50,"20-49",
IF(E948&lt;=80,"50-79","80+")))</f>
        <v>50-79</v>
      </c>
      <c r="G948" s="122" t="s">
        <v>49</v>
      </c>
      <c r="H948" s="122" t="s">
        <v>15</v>
      </c>
      <c r="I948" s="122" t="s">
        <v>1983</v>
      </c>
      <c r="J948" s="198" t="s">
        <v>2546</v>
      </c>
      <c r="K948" s="123" t="s">
        <v>1895</v>
      </c>
      <c r="L948" s="122" t="s">
        <v>1895</v>
      </c>
      <c r="M948" s="240" t="s">
        <v>788</v>
      </c>
      <c r="N948" s="124">
        <v>35000</v>
      </c>
      <c r="O948" s="124" t="s">
        <v>2254</v>
      </c>
      <c r="P948" s="147">
        <v>254759486095</v>
      </c>
      <c r="Q948" s="210"/>
    </row>
    <row r="949" spans="1:17" hidden="1" x14ac:dyDescent="0.2">
      <c r="A949" s="142" t="s">
        <v>785</v>
      </c>
      <c r="B949" s="125">
        <v>2410135</v>
      </c>
      <c r="C949" s="125">
        <v>86799</v>
      </c>
      <c r="D949" s="125" t="s">
        <v>1735</v>
      </c>
      <c r="E949" s="125">
        <v>35</v>
      </c>
      <c r="F949" s="125" t="str">
        <f>IF(E949&lt;=20,"0-19",
IF(E949&lt;=50,"20-49",
IF(E949&lt;=80,"50-79","80+")))</f>
        <v>20-49</v>
      </c>
      <c r="G949" s="125" t="s">
        <v>49</v>
      </c>
      <c r="H949" s="125" t="s">
        <v>15</v>
      </c>
      <c r="I949" s="119" t="s">
        <v>1736</v>
      </c>
      <c r="J949" s="198" t="s">
        <v>2311</v>
      </c>
      <c r="K949" s="125" t="s">
        <v>1737</v>
      </c>
      <c r="L949" s="125" t="s">
        <v>1551</v>
      </c>
      <c r="M949" s="239" t="s">
        <v>788</v>
      </c>
      <c r="N949" s="126">
        <v>120000</v>
      </c>
      <c r="O949" s="126" t="s">
        <v>2254</v>
      </c>
      <c r="P949" s="146">
        <v>254722802966</v>
      </c>
      <c r="Q949" s="210"/>
    </row>
    <row r="950" spans="1:17" hidden="1" x14ac:dyDescent="0.2">
      <c r="A950" s="180" t="s">
        <v>228</v>
      </c>
      <c r="B950" s="176">
        <v>2022544</v>
      </c>
      <c r="C950" s="176">
        <v>103364</v>
      </c>
      <c r="D950" s="176" t="s">
        <v>822</v>
      </c>
      <c r="E950" s="176">
        <v>60</v>
      </c>
      <c r="F950" s="176" t="str">
        <f>IF(E950&lt;=20,"0-19",
IF(E950&lt;=50,"20-49",
IF(E950&lt;=80,"50-79","80+")))</f>
        <v>50-79</v>
      </c>
      <c r="G950" s="176" t="s">
        <v>49</v>
      </c>
      <c r="H950" s="176" t="s">
        <v>15</v>
      </c>
      <c r="I950" s="176" t="s">
        <v>823</v>
      </c>
      <c r="J950" s="198" t="s">
        <v>2311</v>
      </c>
      <c r="K950" s="176" t="s">
        <v>289</v>
      </c>
      <c r="L950" s="176" t="s">
        <v>289</v>
      </c>
      <c r="M950" s="241" t="s">
        <v>788</v>
      </c>
      <c r="N950" s="167">
        <v>16048.06</v>
      </c>
      <c r="O950" s="125" t="s">
        <v>18</v>
      </c>
      <c r="P950" s="173"/>
      <c r="Q950" s="210"/>
    </row>
    <row r="951" spans="1:17" hidden="1" x14ac:dyDescent="0.2">
      <c r="A951" s="155" t="s">
        <v>785</v>
      </c>
      <c r="B951" s="125">
        <v>2001267</v>
      </c>
      <c r="C951" s="125">
        <v>3633</v>
      </c>
      <c r="D951" s="125" t="s">
        <v>1214</v>
      </c>
      <c r="E951" s="125">
        <v>77</v>
      </c>
      <c r="F951" s="125" t="str">
        <f>IF(E951&lt;=20,"0-19",
IF(E951&lt;=50,"20-49",
IF(E951&lt;=80,"50-79","80+")))</f>
        <v>50-79</v>
      </c>
      <c r="G951" s="125" t="s">
        <v>60</v>
      </c>
      <c r="H951" s="125" t="s">
        <v>22</v>
      </c>
      <c r="I951" s="119" t="s">
        <v>791</v>
      </c>
      <c r="J951" s="198" t="s">
        <v>2311</v>
      </c>
      <c r="K951" s="119" t="s">
        <v>831</v>
      </c>
      <c r="L951" s="125" t="s">
        <v>831</v>
      </c>
      <c r="M951" s="239" t="s">
        <v>788</v>
      </c>
      <c r="N951" s="162">
        <v>155000</v>
      </c>
      <c r="O951" s="125" t="s">
        <v>832</v>
      </c>
      <c r="P951" s="172"/>
      <c r="Q951" s="210"/>
    </row>
    <row r="952" spans="1:17" hidden="1" x14ac:dyDescent="0.2">
      <c r="A952" s="155" t="s">
        <v>785</v>
      </c>
      <c r="B952" s="122">
        <v>2002878</v>
      </c>
      <c r="C952" s="122">
        <v>17707</v>
      </c>
      <c r="D952" s="122" t="s">
        <v>240</v>
      </c>
      <c r="E952" s="123">
        <v>67</v>
      </c>
      <c r="F952" s="123" t="str">
        <f>IF(E952&lt;=20,"0-19",
IF(E952&lt;=50,"20-49",
IF(E952&lt;=80,"50-79","80+")))</f>
        <v>50-79</v>
      </c>
      <c r="G952" s="122" t="s">
        <v>60</v>
      </c>
      <c r="H952" s="122" t="s">
        <v>22</v>
      </c>
      <c r="I952" s="122" t="s">
        <v>791</v>
      </c>
      <c r="J952" s="198" t="s">
        <v>2311</v>
      </c>
      <c r="K952" s="123" t="s">
        <v>79</v>
      </c>
      <c r="L952" s="123" t="s">
        <v>79</v>
      </c>
      <c r="M952" s="240" t="s">
        <v>788</v>
      </c>
      <c r="N952" s="157">
        <v>160000</v>
      </c>
      <c r="O952" s="122" t="s">
        <v>18</v>
      </c>
      <c r="P952" s="172"/>
      <c r="Q952" s="210"/>
    </row>
    <row r="953" spans="1:17" ht="21" hidden="1" x14ac:dyDescent="0.2">
      <c r="A953" s="155" t="s">
        <v>1459</v>
      </c>
      <c r="B953" s="125">
        <v>2019633</v>
      </c>
      <c r="C953" s="125">
        <v>42684</v>
      </c>
      <c r="D953" s="125" t="s">
        <v>1460</v>
      </c>
      <c r="E953" s="125">
        <v>63</v>
      </c>
      <c r="F953" s="125" t="str">
        <f>IF(E953&lt;=20,"0-19",
IF(E953&lt;=50,"20-49",
IF(E953&lt;=80,"50-79","80+")))</f>
        <v>50-79</v>
      </c>
      <c r="G953" s="125" t="s">
        <v>49</v>
      </c>
      <c r="H953" s="125" t="s">
        <v>22</v>
      </c>
      <c r="I953" s="119" t="s">
        <v>791</v>
      </c>
      <c r="J953" s="198" t="s">
        <v>2311</v>
      </c>
      <c r="K953" s="119" t="s">
        <v>1461</v>
      </c>
      <c r="L953" s="119" t="s">
        <v>1241</v>
      </c>
      <c r="M953" s="239" t="s">
        <v>788</v>
      </c>
      <c r="N953" s="162">
        <v>60000</v>
      </c>
      <c r="O953" s="125" t="s">
        <v>832</v>
      </c>
      <c r="P953" s="172"/>
      <c r="Q953" s="210"/>
    </row>
    <row r="954" spans="1:17" hidden="1" x14ac:dyDescent="0.2">
      <c r="A954" s="155" t="s">
        <v>785</v>
      </c>
      <c r="B954" s="125">
        <v>2002878</v>
      </c>
      <c r="C954" s="125">
        <v>17707</v>
      </c>
      <c r="D954" s="125" t="s">
        <v>240</v>
      </c>
      <c r="E954" s="119">
        <v>68</v>
      </c>
      <c r="F954" s="119" t="str">
        <f>IF(E954&lt;=20,"0-19",
IF(E954&lt;=50,"20-49",
IF(E954&lt;=80,"50-79","80+")))</f>
        <v>50-79</v>
      </c>
      <c r="G954" s="125" t="s">
        <v>60</v>
      </c>
      <c r="H954" s="125" t="s">
        <v>22</v>
      </c>
      <c r="I954" s="125" t="s">
        <v>791</v>
      </c>
      <c r="J954" s="114" t="s">
        <v>2311</v>
      </c>
      <c r="K954" s="119" t="s">
        <v>95</v>
      </c>
      <c r="L954" s="119" t="s">
        <v>95</v>
      </c>
      <c r="M954" s="239" t="s">
        <v>788</v>
      </c>
      <c r="N954" s="165">
        <v>160000</v>
      </c>
      <c r="O954" s="125" t="s">
        <v>18</v>
      </c>
      <c r="P954" s="173"/>
      <c r="Q954" s="210"/>
    </row>
    <row r="955" spans="1:17" hidden="1" x14ac:dyDescent="0.2">
      <c r="A955" s="155" t="s">
        <v>808</v>
      </c>
      <c r="B955" s="125">
        <v>2002666</v>
      </c>
      <c r="C955" s="125">
        <v>50731</v>
      </c>
      <c r="D955" s="125" t="s">
        <v>1313</v>
      </c>
      <c r="E955" s="125">
        <v>59</v>
      </c>
      <c r="F955" s="125" t="str">
        <f>IF(E955&lt;=20,"0-19",
IF(E955&lt;=50,"20-49",
IF(E955&lt;=80,"50-79","80+")))</f>
        <v>50-79</v>
      </c>
      <c r="G955" s="125" t="s">
        <v>49</v>
      </c>
      <c r="H955" s="125" t="s">
        <v>22</v>
      </c>
      <c r="I955" s="125" t="s">
        <v>791</v>
      </c>
      <c r="J955" s="114" t="s">
        <v>2311</v>
      </c>
      <c r="K955" s="125" t="s">
        <v>1314</v>
      </c>
      <c r="L955" s="125" t="s">
        <v>1225</v>
      </c>
      <c r="M955" s="239" t="s">
        <v>788</v>
      </c>
      <c r="N955" s="162">
        <v>110000</v>
      </c>
      <c r="O955" s="125" t="s">
        <v>832</v>
      </c>
      <c r="P955" s="172"/>
      <c r="Q955" s="210"/>
    </row>
    <row r="956" spans="1:17" hidden="1" x14ac:dyDescent="0.2">
      <c r="A956" s="155" t="s">
        <v>337</v>
      </c>
      <c r="B956" s="118">
        <v>2023807</v>
      </c>
      <c r="C956" s="125">
        <v>31891</v>
      </c>
      <c r="D956" s="118" t="s">
        <v>1376</v>
      </c>
      <c r="E956" s="118">
        <v>64</v>
      </c>
      <c r="F956" s="118" t="str">
        <f>IF(E956&lt;=20,"0-19",
IF(E956&lt;=50,"20-49",
IF(E956&lt;=80,"50-79","80+")))</f>
        <v>50-79</v>
      </c>
      <c r="G956" s="118" t="s">
        <v>49</v>
      </c>
      <c r="H956" s="118" t="s">
        <v>15</v>
      </c>
      <c r="I956" s="118" t="s">
        <v>791</v>
      </c>
      <c r="J956" s="114" t="s">
        <v>2311</v>
      </c>
      <c r="K956" s="118" t="s">
        <v>1254</v>
      </c>
      <c r="L956" s="118" t="s">
        <v>1254</v>
      </c>
      <c r="M956" s="239" t="s">
        <v>788</v>
      </c>
      <c r="N956" s="160">
        <v>71143</v>
      </c>
      <c r="O956" s="125" t="s">
        <v>832</v>
      </c>
      <c r="P956" s="172"/>
      <c r="Q956" s="210"/>
    </row>
    <row r="957" spans="1:17" hidden="1" x14ac:dyDescent="0.2">
      <c r="A957" s="143" t="s">
        <v>808</v>
      </c>
      <c r="B957" s="122">
        <v>2007595</v>
      </c>
      <c r="C957" s="122">
        <v>17708</v>
      </c>
      <c r="D957" s="122" t="s">
        <v>2119</v>
      </c>
      <c r="E957" s="122"/>
      <c r="F957" s="122" t="str">
        <f>IF(E957&lt;=20,"0-19",
IF(E957&lt;=50,"20-49",
IF(E957&lt;=80,"50-79","80+")))</f>
        <v>0-19</v>
      </c>
      <c r="G957" s="122" t="s">
        <v>1499</v>
      </c>
      <c r="H957" s="122" t="s">
        <v>15</v>
      </c>
      <c r="I957" s="122" t="s">
        <v>791</v>
      </c>
      <c r="J957" s="114" t="s">
        <v>2311</v>
      </c>
      <c r="K957" s="123" t="s">
        <v>1922</v>
      </c>
      <c r="L957" s="122" t="s">
        <v>1922</v>
      </c>
      <c r="M957" s="240" t="s">
        <v>788</v>
      </c>
      <c r="N957" s="124">
        <v>110000</v>
      </c>
      <c r="O957" s="124" t="s">
        <v>2254</v>
      </c>
      <c r="P957" s="147">
        <v>254725200477</v>
      </c>
      <c r="Q957" s="210"/>
    </row>
    <row r="958" spans="1:17" hidden="1" x14ac:dyDescent="0.2">
      <c r="A958" s="143" t="s">
        <v>808</v>
      </c>
      <c r="B958" s="122">
        <v>2016005</v>
      </c>
      <c r="C958" s="122">
        <v>9390</v>
      </c>
      <c r="D958" s="122" t="s">
        <v>1726</v>
      </c>
      <c r="E958" s="122">
        <v>71</v>
      </c>
      <c r="F958" s="122" t="str">
        <f>IF(E958&lt;=20,"0-19",
IF(E958&lt;=50,"20-49",
IF(E958&lt;=80,"50-79","80+")))</f>
        <v>50-79</v>
      </c>
      <c r="G958" s="122" t="s">
        <v>60</v>
      </c>
      <c r="H958" s="122" t="s">
        <v>22</v>
      </c>
      <c r="I958" s="123" t="s">
        <v>1727</v>
      </c>
      <c r="J958" s="114" t="s">
        <v>2311</v>
      </c>
      <c r="K958" s="122" t="s">
        <v>1728</v>
      </c>
      <c r="L958" s="122" t="s">
        <v>1549</v>
      </c>
      <c r="M958" s="240" t="s">
        <v>788</v>
      </c>
      <c r="N958" s="124">
        <v>110000</v>
      </c>
      <c r="O958" s="124" t="s">
        <v>2254</v>
      </c>
      <c r="P958" s="147">
        <v>254721933124</v>
      </c>
      <c r="Q958" s="210"/>
    </row>
    <row r="959" spans="1:17" hidden="1" x14ac:dyDescent="0.2">
      <c r="A959" s="155" t="s">
        <v>785</v>
      </c>
      <c r="B959" s="122">
        <v>2021340</v>
      </c>
      <c r="C959" s="122">
        <v>93595</v>
      </c>
      <c r="D959" s="122" t="s">
        <v>796</v>
      </c>
      <c r="E959" s="123">
        <v>10</v>
      </c>
      <c r="F959" s="123" t="str">
        <f>IF(E959&lt;=20,"0-19",
IF(E959&lt;=50,"20-49",
IF(E959&lt;=80,"50-79","80+")))</f>
        <v>0-19</v>
      </c>
      <c r="G959" s="122" t="s">
        <v>797</v>
      </c>
      <c r="H959" s="122" t="s">
        <v>132</v>
      </c>
      <c r="I959" s="122" t="s">
        <v>798</v>
      </c>
      <c r="J959" s="114" t="s">
        <v>2311</v>
      </c>
      <c r="K959" s="123" t="s">
        <v>193</v>
      </c>
      <c r="L959" s="123" t="s">
        <v>193</v>
      </c>
      <c r="M959" s="240" t="s">
        <v>788</v>
      </c>
      <c r="N959" s="157">
        <v>250000</v>
      </c>
      <c r="O959" s="122" t="s">
        <v>18</v>
      </c>
      <c r="P959" s="172"/>
      <c r="Q959" s="210"/>
    </row>
    <row r="960" spans="1:17" hidden="1" x14ac:dyDescent="0.2">
      <c r="A960" s="142" t="s">
        <v>808</v>
      </c>
      <c r="B960" s="125">
        <v>2009360</v>
      </c>
      <c r="C960" s="125">
        <v>17794</v>
      </c>
      <c r="D960" s="125" t="s">
        <v>2117</v>
      </c>
      <c r="E960" s="125">
        <v>66</v>
      </c>
      <c r="F960" s="125" t="str">
        <f>IF(E960&lt;=20,"0-19",
IF(E960&lt;=50,"20-49",
IF(E960&lt;=80,"50-79","80+")))</f>
        <v>50-79</v>
      </c>
      <c r="G960" s="125" t="s">
        <v>49</v>
      </c>
      <c r="H960" s="125" t="s">
        <v>15</v>
      </c>
      <c r="I960" s="125" t="s">
        <v>2118</v>
      </c>
      <c r="J960" s="114" t="s">
        <v>2311</v>
      </c>
      <c r="K960" s="119" t="s">
        <v>1913</v>
      </c>
      <c r="L960" s="125" t="s">
        <v>1913</v>
      </c>
      <c r="M960" s="239" t="s">
        <v>788</v>
      </c>
      <c r="N960" s="126">
        <v>110000</v>
      </c>
      <c r="O960" s="126" t="s">
        <v>2254</v>
      </c>
      <c r="P960" s="146">
        <v>254724601537</v>
      </c>
      <c r="Q960" s="210"/>
    </row>
    <row r="961" spans="1:17" hidden="1" x14ac:dyDescent="0.2">
      <c r="A961" s="155" t="s">
        <v>785</v>
      </c>
      <c r="B961" s="121">
        <v>2003527</v>
      </c>
      <c r="C961" s="122">
        <v>15412</v>
      </c>
      <c r="D961" s="121" t="s">
        <v>792</v>
      </c>
      <c r="E961" s="121">
        <v>66</v>
      </c>
      <c r="F961" s="121" t="str">
        <f>IF(E961&lt;=20,"0-19",
IF(E961&lt;=50,"20-49",
IF(E961&lt;=80,"50-79","80+")))</f>
        <v>50-79</v>
      </c>
      <c r="G961" s="121" t="s">
        <v>60</v>
      </c>
      <c r="H961" s="121" t="s">
        <v>22</v>
      </c>
      <c r="I961" s="121" t="s">
        <v>793</v>
      </c>
      <c r="J961" s="114" t="s">
        <v>2311</v>
      </c>
      <c r="K961" s="121" t="s">
        <v>78</v>
      </c>
      <c r="L961" s="121" t="s">
        <v>78</v>
      </c>
      <c r="M961" s="238" t="s">
        <v>788</v>
      </c>
      <c r="N961" s="191">
        <v>160000</v>
      </c>
      <c r="O961" s="122" t="s">
        <v>18</v>
      </c>
      <c r="P961" s="172"/>
      <c r="Q961" s="210"/>
    </row>
    <row r="962" spans="1:17" hidden="1" x14ac:dyDescent="0.2">
      <c r="A962" s="143" t="s">
        <v>808</v>
      </c>
      <c r="B962" s="122">
        <v>2406012</v>
      </c>
      <c r="C962" s="122">
        <v>19127</v>
      </c>
      <c r="D962" s="122" t="s">
        <v>2116</v>
      </c>
      <c r="E962" s="122">
        <v>58</v>
      </c>
      <c r="F962" s="122" t="str">
        <f>IF(E962&lt;=20,"0-19",
IF(E962&lt;=50,"20-49",
IF(E962&lt;=80,"50-79","80+")))</f>
        <v>50-79</v>
      </c>
      <c r="G962" s="122" t="s">
        <v>60</v>
      </c>
      <c r="H962" s="122" t="s">
        <v>22</v>
      </c>
      <c r="I962" s="122" t="s">
        <v>793</v>
      </c>
      <c r="J962" s="198" t="s">
        <v>2311</v>
      </c>
      <c r="K962" s="123" t="s">
        <v>1895</v>
      </c>
      <c r="L962" s="122" t="s">
        <v>1895</v>
      </c>
      <c r="M962" s="240" t="s">
        <v>788</v>
      </c>
      <c r="N962" s="124">
        <v>110000</v>
      </c>
      <c r="O962" s="124" t="s">
        <v>2254</v>
      </c>
      <c r="P962" s="147">
        <v>254706490622</v>
      </c>
      <c r="Q962" s="210"/>
    </row>
    <row r="963" spans="1:17" hidden="1" x14ac:dyDescent="0.2">
      <c r="A963" s="155" t="s">
        <v>808</v>
      </c>
      <c r="B963" s="197">
        <v>2001198</v>
      </c>
      <c r="C963" s="197">
        <v>18587</v>
      </c>
      <c r="D963" s="198" t="s">
        <v>813</v>
      </c>
      <c r="E963" s="197">
        <v>76</v>
      </c>
      <c r="F963" s="197" t="str">
        <f>IF(E963&lt;=20,"0-19",
IF(E963&lt;=50,"20-49",
IF(E963&lt;=80,"50-79","80+")))</f>
        <v>50-79</v>
      </c>
      <c r="G963" s="197" t="s">
        <v>60</v>
      </c>
      <c r="H963" s="197" t="s">
        <v>22</v>
      </c>
      <c r="I963" s="198" t="s">
        <v>810</v>
      </c>
      <c r="J963" s="198" t="s">
        <v>2311</v>
      </c>
      <c r="K963" s="198" t="s">
        <v>37</v>
      </c>
      <c r="L963" s="197" t="s">
        <v>37</v>
      </c>
      <c r="M963" s="238" t="s">
        <v>788</v>
      </c>
      <c r="N963" s="202">
        <v>110000</v>
      </c>
      <c r="O963" s="122" t="s">
        <v>18</v>
      </c>
      <c r="P963" s="172"/>
      <c r="Q963" s="210"/>
    </row>
    <row r="964" spans="1:17" hidden="1" x14ac:dyDescent="0.2">
      <c r="A964" s="155" t="s">
        <v>808</v>
      </c>
      <c r="B964" s="125">
        <v>2004667</v>
      </c>
      <c r="C964" s="125">
        <v>57338</v>
      </c>
      <c r="D964" s="125" t="s">
        <v>809</v>
      </c>
      <c r="E964" s="119">
        <v>61</v>
      </c>
      <c r="F964" s="119" t="str">
        <f>IF(E964&lt;=20,"0-19",
IF(E964&lt;=50,"20-49",
IF(E964&lt;=80,"50-79","80+")))</f>
        <v>50-79</v>
      </c>
      <c r="G964" s="125" t="s">
        <v>49</v>
      </c>
      <c r="H964" s="125" t="s">
        <v>15</v>
      </c>
      <c r="I964" s="125" t="s">
        <v>810</v>
      </c>
      <c r="J964" s="198" t="s">
        <v>2311</v>
      </c>
      <c r="K964" s="119" t="s">
        <v>193</v>
      </c>
      <c r="L964" s="119" t="s">
        <v>154</v>
      </c>
      <c r="M964" s="239" t="s">
        <v>788</v>
      </c>
      <c r="N964" s="165">
        <v>110000</v>
      </c>
      <c r="O964" s="125" t="s">
        <v>18</v>
      </c>
      <c r="P964" s="173"/>
      <c r="Q964" s="210"/>
    </row>
    <row r="965" spans="1:17" hidden="1" x14ac:dyDescent="0.2">
      <c r="A965" s="155" t="s">
        <v>785</v>
      </c>
      <c r="B965" s="125">
        <v>2001267</v>
      </c>
      <c r="C965" s="125">
        <v>3633</v>
      </c>
      <c r="D965" s="125" t="s">
        <v>1214</v>
      </c>
      <c r="E965" s="125">
        <v>77</v>
      </c>
      <c r="F965" s="125" t="str">
        <f>IF(E965&lt;=20,"0-19",
IF(E965&lt;=50,"20-49",
IF(E965&lt;=80,"50-79","80+")))</f>
        <v>50-79</v>
      </c>
      <c r="G965" s="125" t="s">
        <v>60</v>
      </c>
      <c r="H965" s="125" t="s">
        <v>22</v>
      </c>
      <c r="I965" s="125" t="s">
        <v>810</v>
      </c>
      <c r="J965" s="198" t="s">
        <v>2311</v>
      </c>
      <c r="K965" s="125" t="s">
        <v>1249</v>
      </c>
      <c r="L965" s="125" t="s">
        <v>1249</v>
      </c>
      <c r="M965" s="239" t="s">
        <v>788</v>
      </c>
      <c r="N965" s="162">
        <v>160000</v>
      </c>
      <c r="O965" s="125" t="s">
        <v>832</v>
      </c>
      <c r="P965" s="172"/>
      <c r="Q965" s="210"/>
    </row>
    <row r="966" spans="1:17" hidden="1" x14ac:dyDescent="0.2">
      <c r="A966" s="155" t="s">
        <v>808</v>
      </c>
      <c r="B966" s="125">
        <v>2002911</v>
      </c>
      <c r="C966" s="125">
        <v>13903</v>
      </c>
      <c r="D966" s="125" t="s">
        <v>1216</v>
      </c>
      <c r="E966" s="125">
        <v>67</v>
      </c>
      <c r="F966" s="125" t="str">
        <f>IF(E966&lt;=20,"0-19",
IF(E966&lt;=50,"20-49",
IF(E966&lt;=80,"50-79","80+")))</f>
        <v>50-79</v>
      </c>
      <c r="G966" s="125" t="s">
        <v>60</v>
      </c>
      <c r="H966" s="125" t="s">
        <v>22</v>
      </c>
      <c r="I966" s="119" t="s">
        <v>1217</v>
      </c>
      <c r="J966" s="198" t="s">
        <v>2311</v>
      </c>
      <c r="K966" s="119" t="s">
        <v>851</v>
      </c>
      <c r="L966" s="125" t="s">
        <v>851</v>
      </c>
      <c r="M966" s="239" t="s">
        <v>788</v>
      </c>
      <c r="N966" s="162">
        <v>80000</v>
      </c>
      <c r="O966" s="125" t="s">
        <v>832</v>
      </c>
      <c r="P966" s="173"/>
      <c r="Q966" s="210"/>
    </row>
    <row r="967" spans="1:17" hidden="1" x14ac:dyDescent="0.2">
      <c r="A967" s="155" t="s">
        <v>808</v>
      </c>
      <c r="B967" s="125">
        <v>2001896</v>
      </c>
      <c r="C967" s="125">
        <v>7794</v>
      </c>
      <c r="D967" s="125" t="s">
        <v>1304</v>
      </c>
      <c r="E967" s="125">
        <v>70</v>
      </c>
      <c r="F967" s="125" t="str">
        <f>IF(E967&lt;=20,"0-19",
IF(E967&lt;=50,"20-49",
IF(E967&lt;=80,"50-79","80+")))</f>
        <v>50-79</v>
      </c>
      <c r="G967" s="125" t="s">
        <v>60</v>
      </c>
      <c r="H967" s="125" t="s">
        <v>22</v>
      </c>
      <c r="I967" s="119" t="s">
        <v>1305</v>
      </c>
      <c r="J967" s="198" t="s">
        <v>2311</v>
      </c>
      <c r="K967" s="119" t="s">
        <v>1241</v>
      </c>
      <c r="L967" s="119" t="s">
        <v>1241</v>
      </c>
      <c r="M967" s="239" t="s">
        <v>788</v>
      </c>
      <c r="N967" s="162">
        <v>200000</v>
      </c>
      <c r="O967" s="125" t="s">
        <v>832</v>
      </c>
      <c r="P967" s="173"/>
      <c r="Q967" s="210"/>
    </row>
    <row r="968" spans="1:17" hidden="1" x14ac:dyDescent="0.2">
      <c r="A968" s="141" t="s">
        <v>799</v>
      </c>
      <c r="B968" s="121">
        <v>2001510</v>
      </c>
      <c r="C968" s="122">
        <v>100023</v>
      </c>
      <c r="D968" s="121" t="s">
        <v>2059</v>
      </c>
      <c r="E968" s="121">
        <v>61</v>
      </c>
      <c r="F968" s="121" t="str">
        <f>IF(E968&lt;=20,"0-19",
IF(E968&lt;=50,"20-49",
IF(E968&lt;=80,"50-79","80+")))</f>
        <v>50-79</v>
      </c>
      <c r="G968" s="121" t="s">
        <v>60</v>
      </c>
      <c r="H968" s="121" t="s">
        <v>22</v>
      </c>
      <c r="I968" s="121" t="s">
        <v>2060</v>
      </c>
      <c r="J968" s="198" t="s">
        <v>2311</v>
      </c>
      <c r="K968" s="123" t="s">
        <v>1911</v>
      </c>
      <c r="L968" s="123" t="s">
        <v>1911</v>
      </c>
      <c r="M968" s="240" t="s">
        <v>788</v>
      </c>
      <c r="N968" s="127">
        <v>75000</v>
      </c>
      <c r="O968" s="127" t="s">
        <v>2254</v>
      </c>
      <c r="P968" s="147">
        <v>254705574637</v>
      </c>
      <c r="Q968" s="210"/>
    </row>
    <row r="969" spans="1:17" hidden="1" x14ac:dyDescent="0.2">
      <c r="A969" s="143" t="s">
        <v>1585</v>
      </c>
      <c r="B969" s="122">
        <v>2010502</v>
      </c>
      <c r="C969" s="122">
        <v>15710</v>
      </c>
      <c r="D969" s="122" t="s">
        <v>1640</v>
      </c>
      <c r="E969" s="122">
        <v>65</v>
      </c>
      <c r="F969" s="122" t="str">
        <f>IF(E969&lt;=20,"0-19",
IF(E969&lt;=50,"20-49",
IF(E969&lt;=80,"50-79","80+")))</f>
        <v>50-79</v>
      </c>
      <c r="G969" s="122" t="s">
        <v>126</v>
      </c>
      <c r="H969" s="122" t="s">
        <v>664</v>
      </c>
      <c r="I969" s="123" t="s">
        <v>1641</v>
      </c>
      <c r="J969" s="198" t="s">
        <v>2311</v>
      </c>
      <c r="K969" s="122" t="s">
        <v>1549</v>
      </c>
      <c r="L969" s="122" t="s">
        <v>1556</v>
      </c>
      <c r="M969" s="240" t="s">
        <v>788</v>
      </c>
      <c r="N969" s="124">
        <v>44800</v>
      </c>
      <c r="O969" s="124" t="s">
        <v>2254</v>
      </c>
      <c r="P969" s="147">
        <v>254728975524</v>
      </c>
      <c r="Q969" s="210"/>
    </row>
    <row r="970" spans="1:17" hidden="1" x14ac:dyDescent="0.2">
      <c r="A970" s="156" t="s">
        <v>799</v>
      </c>
      <c r="B970" s="197">
        <v>2001510</v>
      </c>
      <c r="C970" s="197">
        <v>100023</v>
      </c>
      <c r="D970" s="198" t="s">
        <v>800</v>
      </c>
      <c r="E970" s="197">
        <v>72</v>
      </c>
      <c r="F970" s="197" t="str">
        <f>IF(E970&lt;=20,"0-19",
IF(E970&lt;=50,"20-49",
IF(E970&lt;=80,"50-79","80+")))</f>
        <v>50-79</v>
      </c>
      <c r="G970" s="197" t="s">
        <v>60</v>
      </c>
      <c r="H970" s="197" t="s">
        <v>22</v>
      </c>
      <c r="I970" s="198" t="s">
        <v>801</v>
      </c>
      <c r="J970" s="198" t="s">
        <v>2311</v>
      </c>
      <c r="K970" s="198" t="s">
        <v>37</v>
      </c>
      <c r="L970" s="197" t="s">
        <v>37</v>
      </c>
      <c r="M970" s="238" t="s">
        <v>788</v>
      </c>
      <c r="N970" s="202">
        <v>35000</v>
      </c>
      <c r="O970" s="125" t="s">
        <v>18</v>
      </c>
      <c r="P970" s="173"/>
      <c r="Q970" s="210"/>
    </row>
    <row r="971" spans="1:17" hidden="1" x14ac:dyDescent="0.2">
      <c r="A971" s="155" t="s">
        <v>808</v>
      </c>
      <c r="B971" s="197">
        <v>2021151</v>
      </c>
      <c r="C971" s="197">
        <v>15485</v>
      </c>
      <c r="D971" s="198" t="s">
        <v>814</v>
      </c>
      <c r="E971" s="197">
        <v>63</v>
      </c>
      <c r="F971" s="197" t="str">
        <f>IF(E971&lt;=20,"0-19",
IF(E971&lt;=50,"20-49",
IF(E971&lt;=80,"50-79","80+")))</f>
        <v>50-79</v>
      </c>
      <c r="G971" s="197" t="s">
        <v>60</v>
      </c>
      <c r="H971" s="197" t="s">
        <v>22</v>
      </c>
      <c r="I971" s="198" t="s">
        <v>815</v>
      </c>
      <c r="J971" s="198" t="s">
        <v>2311</v>
      </c>
      <c r="K971" s="198" t="s">
        <v>52</v>
      </c>
      <c r="L971" s="197" t="s">
        <v>52</v>
      </c>
      <c r="M971" s="238" t="s">
        <v>788</v>
      </c>
      <c r="N971" s="202">
        <v>15200</v>
      </c>
      <c r="O971" s="125" t="s">
        <v>18</v>
      </c>
      <c r="P971" s="173"/>
      <c r="Q971" s="210"/>
    </row>
    <row r="972" spans="1:17" hidden="1" x14ac:dyDescent="0.2">
      <c r="A972" s="155" t="s">
        <v>808</v>
      </c>
      <c r="B972" s="119">
        <v>2015867</v>
      </c>
      <c r="C972" s="125">
        <v>58766</v>
      </c>
      <c r="D972" s="119" t="s">
        <v>1302</v>
      </c>
      <c r="E972" s="119">
        <v>59</v>
      </c>
      <c r="F972" s="119" t="str">
        <f>IF(E972&lt;=20,"0-19",
IF(E972&lt;=50,"20-49",
IF(E972&lt;=80,"50-79","80+")))</f>
        <v>50-79</v>
      </c>
      <c r="G972" s="119" t="s">
        <v>49</v>
      </c>
      <c r="H972" s="119" t="s">
        <v>15</v>
      </c>
      <c r="I972" s="119" t="s">
        <v>1303</v>
      </c>
      <c r="J972" s="198" t="s">
        <v>2311</v>
      </c>
      <c r="K972" s="119" t="s">
        <v>1260</v>
      </c>
      <c r="L972" s="118" t="s">
        <v>1260</v>
      </c>
      <c r="M972" s="239" t="s">
        <v>788</v>
      </c>
      <c r="N972" s="165">
        <v>120000</v>
      </c>
      <c r="O972" s="125" t="s">
        <v>832</v>
      </c>
      <c r="P972" s="172"/>
      <c r="Q972" s="210"/>
    </row>
    <row r="973" spans="1:17" hidden="1" x14ac:dyDescent="0.2">
      <c r="A973" s="156" t="s">
        <v>799</v>
      </c>
      <c r="B973" s="197">
        <v>2008559</v>
      </c>
      <c r="C973" s="197">
        <v>53531</v>
      </c>
      <c r="D973" s="198" t="s">
        <v>804</v>
      </c>
      <c r="E973" s="197">
        <v>64</v>
      </c>
      <c r="F973" s="197" t="str">
        <f>IF(E973&lt;=20,"0-19",
IF(E973&lt;=50,"20-49",
IF(E973&lt;=80,"50-79","80+")))</f>
        <v>50-79</v>
      </c>
      <c r="G973" s="197" t="s">
        <v>49</v>
      </c>
      <c r="H973" s="197" t="s">
        <v>15</v>
      </c>
      <c r="I973" s="198" t="s">
        <v>805</v>
      </c>
      <c r="J973" s="198" t="s">
        <v>2311</v>
      </c>
      <c r="K973" s="198" t="s">
        <v>42</v>
      </c>
      <c r="L973" s="197" t="s">
        <v>42</v>
      </c>
      <c r="M973" s="238" t="s">
        <v>788</v>
      </c>
      <c r="N973" s="202">
        <v>55000</v>
      </c>
      <c r="O973" s="125" t="s">
        <v>18</v>
      </c>
      <c r="P973" s="173"/>
      <c r="Q973" s="210"/>
    </row>
    <row r="974" spans="1:17" ht="21" hidden="1" x14ac:dyDescent="0.2">
      <c r="A974" s="142" t="s">
        <v>1180</v>
      </c>
      <c r="B974" s="125">
        <v>2601095</v>
      </c>
      <c r="C974" s="125">
        <v>65384</v>
      </c>
      <c r="D974" s="125" t="s">
        <v>2155</v>
      </c>
      <c r="E974" s="125">
        <v>59</v>
      </c>
      <c r="F974" s="125" t="str">
        <f>IF(E974&lt;=20,"0-19",
IF(E974&lt;=50,"20-49",
IF(E974&lt;=80,"50-79","80+")))</f>
        <v>50-79</v>
      </c>
      <c r="G974" s="125" t="s">
        <v>60</v>
      </c>
      <c r="H974" s="125" t="s">
        <v>22</v>
      </c>
      <c r="I974" s="125" t="s">
        <v>1182</v>
      </c>
      <c r="J974" s="198" t="s">
        <v>2311</v>
      </c>
      <c r="K974" s="119" t="s">
        <v>2156</v>
      </c>
      <c r="L974" s="125" t="s">
        <v>1908</v>
      </c>
      <c r="M974" s="239" t="s">
        <v>788</v>
      </c>
      <c r="N974" s="126">
        <v>170000</v>
      </c>
      <c r="O974" s="126" t="s">
        <v>2254</v>
      </c>
      <c r="P974" s="146">
        <v>254707978001</v>
      </c>
      <c r="Q974" s="210"/>
    </row>
    <row r="975" spans="1:17" hidden="1" x14ac:dyDescent="0.2">
      <c r="A975" s="155" t="s">
        <v>819</v>
      </c>
      <c r="B975" s="197">
        <v>2005236</v>
      </c>
      <c r="C975" s="197">
        <v>13365</v>
      </c>
      <c r="D975" s="198" t="s">
        <v>820</v>
      </c>
      <c r="E975" s="197">
        <v>58</v>
      </c>
      <c r="F975" s="197" t="str">
        <f>IF(E975&lt;=20,"0-19",
IF(E975&lt;=50,"20-49",
IF(E975&lt;=80,"50-79","80+")))</f>
        <v>50-79</v>
      </c>
      <c r="G975" s="197" t="s">
        <v>49</v>
      </c>
      <c r="H975" s="197" t="s">
        <v>15</v>
      </c>
      <c r="I975" s="198" t="s">
        <v>821</v>
      </c>
      <c r="J975" s="198" t="s">
        <v>2311</v>
      </c>
      <c r="K975" s="198" t="s">
        <v>51</v>
      </c>
      <c r="L975" s="197" t="s">
        <v>51</v>
      </c>
      <c r="M975" s="238" t="s">
        <v>788</v>
      </c>
      <c r="N975" s="202">
        <v>30000</v>
      </c>
      <c r="O975" s="122" t="s">
        <v>18</v>
      </c>
      <c r="P975" s="172"/>
      <c r="Q975" s="210"/>
    </row>
    <row r="976" spans="1:17" hidden="1" x14ac:dyDescent="0.2">
      <c r="A976" s="142" t="s">
        <v>1585</v>
      </c>
      <c r="B976" s="125">
        <v>2023417</v>
      </c>
      <c r="C976" s="125">
        <v>52671</v>
      </c>
      <c r="D976" s="125" t="s">
        <v>1586</v>
      </c>
      <c r="E976" s="125">
        <v>65</v>
      </c>
      <c r="F976" s="125" t="str">
        <f>IF(E976&lt;=20,"0-19",
IF(E976&lt;=50,"20-49",
IF(E976&lt;=80,"50-79","80+")))</f>
        <v>50-79</v>
      </c>
      <c r="G976" s="125" t="s">
        <v>60</v>
      </c>
      <c r="H976" s="125" t="s">
        <v>22</v>
      </c>
      <c r="I976" s="119" t="s">
        <v>1587</v>
      </c>
      <c r="J976" s="198" t="s">
        <v>2311</v>
      </c>
      <c r="K976" s="125" t="s">
        <v>1572</v>
      </c>
      <c r="L976" s="125" t="s">
        <v>1572</v>
      </c>
      <c r="M976" s="239" t="s">
        <v>788</v>
      </c>
      <c r="N976" s="126">
        <v>20000</v>
      </c>
      <c r="O976" s="126" t="s">
        <v>2254</v>
      </c>
      <c r="P976" s="146">
        <v>254721223144</v>
      </c>
      <c r="Q976" s="210"/>
    </row>
    <row r="977" spans="1:17" hidden="1" x14ac:dyDescent="0.2">
      <c r="A977" s="143" t="s">
        <v>1585</v>
      </c>
      <c r="B977" s="122">
        <v>2014927</v>
      </c>
      <c r="C977" s="122">
        <v>10364</v>
      </c>
      <c r="D977" s="122" t="s">
        <v>1944</v>
      </c>
      <c r="E977" s="122">
        <v>63</v>
      </c>
      <c r="F977" s="122" t="str">
        <f>IF(E977&lt;=20,"0-19",
IF(E977&lt;=50,"20-49",
IF(E977&lt;=80,"50-79","80+")))</f>
        <v>50-79</v>
      </c>
      <c r="G977" s="122" t="s">
        <v>49</v>
      </c>
      <c r="H977" s="122" t="s">
        <v>15</v>
      </c>
      <c r="I977" s="122" t="s">
        <v>1945</v>
      </c>
      <c r="J977" s="198" t="s">
        <v>2311</v>
      </c>
      <c r="K977" s="123" t="s">
        <v>1913</v>
      </c>
      <c r="L977" s="122" t="s">
        <v>1913</v>
      </c>
      <c r="M977" s="240" t="s">
        <v>788</v>
      </c>
      <c r="N977" s="124">
        <v>20000</v>
      </c>
      <c r="O977" s="124" t="s">
        <v>2254</v>
      </c>
      <c r="P977" s="147">
        <v>254721582876</v>
      </c>
      <c r="Q977" s="210"/>
    </row>
    <row r="978" spans="1:17" hidden="1" x14ac:dyDescent="0.2">
      <c r="A978" s="143" t="s">
        <v>808</v>
      </c>
      <c r="B978" s="122">
        <v>2002666</v>
      </c>
      <c r="C978" s="122">
        <v>50731</v>
      </c>
      <c r="D978" s="122" t="s">
        <v>1932</v>
      </c>
      <c r="E978" s="122">
        <v>69</v>
      </c>
      <c r="F978" s="122" t="str">
        <f>IF(E978&lt;=20,"0-19",
IF(E978&lt;=50,"20-49",
IF(E978&lt;=80,"50-79","80+")))</f>
        <v>50-79</v>
      </c>
      <c r="G978" s="122" t="s">
        <v>60</v>
      </c>
      <c r="H978" s="122" t="s">
        <v>22</v>
      </c>
      <c r="I978" s="122" t="s">
        <v>1933</v>
      </c>
      <c r="J978" s="198" t="s">
        <v>2311</v>
      </c>
      <c r="K978" s="123" t="s">
        <v>1921</v>
      </c>
      <c r="L978" s="122" t="s">
        <v>1921</v>
      </c>
      <c r="M978" s="240" t="s">
        <v>788</v>
      </c>
      <c r="N978" s="124">
        <v>15000</v>
      </c>
      <c r="O978" s="124" t="s">
        <v>2254</v>
      </c>
      <c r="P978" s="147">
        <v>254722287356</v>
      </c>
      <c r="Q978" s="210"/>
    </row>
    <row r="979" spans="1:17" hidden="1" x14ac:dyDescent="0.2">
      <c r="A979" s="155" t="s">
        <v>808</v>
      </c>
      <c r="B979" s="121">
        <v>2011036</v>
      </c>
      <c r="C979" s="121">
        <v>11334</v>
      </c>
      <c r="D979" s="121" t="s">
        <v>816</v>
      </c>
      <c r="E979" s="121">
        <v>62</v>
      </c>
      <c r="F979" s="121" t="str">
        <f>IF(E979&lt;=20,"0-19",
IF(E979&lt;=50,"20-49",
IF(E979&lt;=80,"50-79","80+")))</f>
        <v>50-79</v>
      </c>
      <c r="G979" s="121" t="s">
        <v>49</v>
      </c>
      <c r="H979" s="121" t="s">
        <v>15</v>
      </c>
      <c r="I979" s="121" t="s">
        <v>817</v>
      </c>
      <c r="J979" s="198" t="s">
        <v>2311</v>
      </c>
      <c r="K979" s="121" t="s">
        <v>99</v>
      </c>
      <c r="L979" s="121" t="s">
        <v>99</v>
      </c>
      <c r="M979" s="242" t="s">
        <v>788</v>
      </c>
      <c r="N979" s="191">
        <v>67500</v>
      </c>
      <c r="O979" s="122" t="s">
        <v>18</v>
      </c>
      <c r="P979" s="172"/>
      <c r="Q979" s="210"/>
    </row>
    <row r="980" spans="1:17" hidden="1" x14ac:dyDescent="0.2">
      <c r="A980" s="155" t="s">
        <v>808</v>
      </c>
      <c r="B980" s="125">
        <v>2011036</v>
      </c>
      <c r="C980" s="125">
        <v>11334</v>
      </c>
      <c r="D980" s="125" t="s">
        <v>816</v>
      </c>
      <c r="E980" s="125">
        <v>60</v>
      </c>
      <c r="F980" s="125" t="str">
        <f>IF(E980&lt;=20,"0-19",
IF(E980&lt;=50,"20-49",
IF(E980&lt;=80,"50-79","80+")))</f>
        <v>50-79</v>
      </c>
      <c r="G980" s="125" t="s">
        <v>49</v>
      </c>
      <c r="H980" s="125" t="s">
        <v>15</v>
      </c>
      <c r="I980" s="125" t="s">
        <v>825</v>
      </c>
      <c r="J980" s="198" t="s">
        <v>2311</v>
      </c>
      <c r="K980" s="125" t="s">
        <v>1225</v>
      </c>
      <c r="L980" s="125" t="s">
        <v>1225</v>
      </c>
      <c r="M980" s="239" t="s">
        <v>788</v>
      </c>
      <c r="N980" s="162">
        <v>67500</v>
      </c>
      <c r="O980" s="125" t="s">
        <v>832</v>
      </c>
      <c r="P980" s="173"/>
      <c r="Q980" s="210"/>
    </row>
    <row r="981" spans="1:17" hidden="1" x14ac:dyDescent="0.2">
      <c r="A981" s="155" t="s">
        <v>808</v>
      </c>
      <c r="B981" s="125">
        <v>2015348</v>
      </c>
      <c r="C981" s="125">
        <v>103549</v>
      </c>
      <c r="D981" s="125" t="s">
        <v>1196</v>
      </c>
      <c r="E981" s="125">
        <v>64</v>
      </c>
      <c r="F981" s="125" t="str">
        <f>IF(E981&lt;=20,"0-19",
IF(E981&lt;=50,"20-49",
IF(E981&lt;=80,"50-79","80+")))</f>
        <v>50-79</v>
      </c>
      <c r="G981" s="125" t="s">
        <v>60</v>
      </c>
      <c r="H981" s="125" t="s">
        <v>22</v>
      </c>
      <c r="I981" s="119" t="s">
        <v>1306</v>
      </c>
      <c r="J981" s="198" t="s">
        <v>2311</v>
      </c>
      <c r="K981" s="119" t="s">
        <v>1241</v>
      </c>
      <c r="L981" s="119" t="s">
        <v>1241</v>
      </c>
      <c r="M981" s="239" t="s">
        <v>788</v>
      </c>
      <c r="N981" s="162">
        <v>60000</v>
      </c>
      <c r="O981" s="125" t="s">
        <v>832</v>
      </c>
      <c r="P981" s="172"/>
      <c r="Q981" s="210"/>
    </row>
    <row r="982" spans="1:17" ht="21" hidden="1" x14ac:dyDescent="0.2">
      <c r="A982" s="156" t="s">
        <v>228</v>
      </c>
      <c r="B982" s="197">
        <v>2006174</v>
      </c>
      <c r="C982" s="197">
        <v>13839</v>
      </c>
      <c r="D982" s="198" t="s">
        <v>662</v>
      </c>
      <c r="E982" s="197">
        <v>60</v>
      </c>
      <c r="F982" s="197" t="str">
        <f>IF(E982&lt;=20,"0-19",
IF(E982&lt;=50,"20-49",
IF(E982&lt;=80,"50-79","80+")))</f>
        <v>50-79</v>
      </c>
      <c r="G982" s="197" t="s">
        <v>60</v>
      </c>
      <c r="H982" s="197" t="s">
        <v>22</v>
      </c>
      <c r="I982" s="198" t="s">
        <v>818</v>
      </c>
      <c r="J982" s="198" t="s">
        <v>2311</v>
      </c>
      <c r="K982" s="198" t="s">
        <v>656</v>
      </c>
      <c r="L982" s="197" t="s">
        <v>57</v>
      </c>
      <c r="M982" s="238" t="s">
        <v>788</v>
      </c>
      <c r="N982" s="202">
        <v>14200</v>
      </c>
      <c r="O982" s="125" t="s">
        <v>18</v>
      </c>
      <c r="P982" s="173"/>
      <c r="Q982" s="210"/>
    </row>
    <row r="983" spans="1:17" hidden="1" x14ac:dyDescent="0.2">
      <c r="A983" s="155" t="s">
        <v>799</v>
      </c>
      <c r="B983" s="125">
        <v>2002373</v>
      </c>
      <c r="C983" s="125">
        <v>58877</v>
      </c>
      <c r="D983" s="125" t="s">
        <v>802</v>
      </c>
      <c r="E983" s="125">
        <v>58</v>
      </c>
      <c r="F983" s="125" t="str">
        <f>IF(E983&lt;=20,"0-19",
IF(E983&lt;=50,"20-49",
IF(E983&lt;=80,"50-79","80+")))</f>
        <v>50-79</v>
      </c>
      <c r="G983" s="125" t="s">
        <v>60</v>
      </c>
      <c r="H983" s="125" t="s">
        <v>664</v>
      </c>
      <c r="I983" s="119" t="s">
        <v>1215</v>
      </c>
      <c r="J983" s="198" t="s">
        <v>2311</v>
      </c>
      <c r="K983" s="119" t="s">
        <v>851</v>
      </c>
      <c r="L983" s="125" t="s">
        <v>851</v>
      </c>
      <c r="M983" s="239" t="s">
        <v>788</v>
      </c>
      <c r="N983" s="162">
        <v>75000</v>
      </c>
      <c r="O983" s="125" t="s">
        <v>832</v>
      </c>
      <c r="P983" s="173"/>
      <c r="Q983" s="210"/>
    </row>
    <row r="984" spans="1:17" hidden="1" x14ac:dyDescent="0.2">
      <c r="A984" s="155" t="s">
        <v>808</v>
      </c>
      <c r="B984" s="125">
        <v>2021151</v>
      </c>
      <c r="C984" s="125">
        <v>15485</v>
      </c>
      <c r="D984" s="125" t="s">
        <v>814</v>
      </c>
      <c r="E984" s="125">
        <v>63</v>
      </c>
      <c r="F984" s="125" t="str">
        <f>IF(E984&lt;=20,"0-19",
IF(E984&lt;=50,"20-49",
IF(E984&lt;=80,"50-79","80+")))</f>
        <v>50-79</v>
      </c>
      <c r="G984" s="125" t="s">
        <v>49</v>
      </c>
      <c r="H984" s="125" t="s">
        <v>22</v>
      </c>
      <c r="I984" s="125" t="s">
        <v>1315</v>
      </c>
      <c r="J984" s="198" t="s">
        <v>2311</v>
      </c>
      <c r="K984" s="125" t="s">
        <v>1316</v>
      </c>
      <c r="L984" s="125" t="s">
        <v>1225</v>
      </c>
      <c r="M984" s="239" t="s">
        <v>788</v>
      </c>
      <c r="N984" s="162">
        <v>15200</v>
      </c>
      <c r="O984" s="125" t="s">
        <v>832</v>
      </c>
      <c r="P984" s="172"/>
      <c r="Q984" s="210"/>
    </row>
    <row r="985" spans="1:17" hidden="1" x14ac:dyDescent="0.2">
      <c r="A985" s="143" t="s">
        <v>808</v>
      </c>
      <c r="B985" s="123">
        <v>2021151</v>
      </c>
      <c r="C985" s="122">
        <v>15485</v>
      </c>
      <c r="D985" s="123" t="s">
        <v>1938</v>
      </c>
      <c r="E985" s="123">
        <v>63</v>
      </c>
      <c r="F985" s="123" t="str">
        <f>IF(E985&lt;=20,"0-19",
IF(E985&lt;=50,"20-49",
IF(E985&lt;=80,"50-79","80+")))</f>
        <v>50-79</v>
      </c>
      <c r="G985" s="123" t="s">
        <v>60</v>
      </c>
      <c r="H985" s="123" t="s">
        <v>22</v>
      </c>
      <c r="I985" s="123" t="s">
        <v>1308</v>
      </c>
      <c r="J985" s="198" t="s">
        <v>2311</v>
      </c>
      <c r="K985" s="123" t="s">
        <v>1923</v>
      </c>
      <c r="L985" s="123" t="s">
        <v>1923</v>
      </c>
      <c r="M985" s="240" t="s">
        <v>788</v>
      </c>
      <c r="N985" s="128">
        <v>15200</v>
      </c>
      <c r="O985" s="128" t="s">
        <v>2254</v>
      </c>
      <c r="P985" s="147">
        <v>254710349185</v>
      </c>
      <c r="Q985" s="210"/>
    </row>
    <row r="986" spans="1:17" hidden="1" x14ac:dyDescent="0.2">
      <c r="A986" s="155" t="s">
        <v>808</v>
      </c>
      <c r="B986" s="125">
        <v>2003095</v>
      </c>
      <c r="C986" s="125">
        <v>56910</v>
      </c>
      <c r="D986" s="125" t="s">
        <v>1307</v>
      </c>
      <c r="E986" s="125">
        <v>65</v>
      </c>
      <c r="F986" s="125" t="str">
        <f>IF(E986&lt;=20,"0-19",
IF(E986&lt;=50,"20-49",
IF(E986&lt;=80,"50-79","80+")))</f>
        <v>50-79</v>
      </c>
      <c r="G986" s="125" t="s">
        <v>60</v>
      </c>
      <c r="H986" s="125" t="s">
        <v>22</v>
      </c>
      <c r="I986" s="119" t="s">
        <v>1308</v>
      </c>
      <c r="J986" s="198" t="s">
        <v>2311</v>
      </c>
      <c r="K986" s="119" t="s">
        <v>1242</v>
      </c>
      <c r="L986" s="119" t="s">
        <v>1242</v>
      </c>
      <c r="M986" s="239" t="s">
        <v>788</v>
      </c>
      <c r="N986" s="162">
        <v>120000</v>
      </c>
      <c r="O986" s="125" t="s">
        <v>832</v>
      </c>
      <c r="P986" s="173"/>
      <c r="Q986" s="210"/>
    </row>
    <row r="987" spans="1:17" hidden="1" x14ac:dyDescent="0.2">
      <c r="A987" s="142" t="s">
        <v>808</v>
      </c>
      <c r="B987" s="125">
        <v>2503097</v>
      </c>
      <c r="C987" s="125">
        <v>85610</v>
      </c>
      <c r="D987" s="125" t="s">
        <v>1601</v>
      </c>
      <c r="E987" s="125">
        <v>70</v>
      </c>
      <c r="F987" s="125" t="str">
        <f>IF(E987&lt;=20,"0-19",
IF(E987&lt;=50,"20-49",
IF(E987&lt;=80,"50-79","80+")))</f>
        <v>50-79</v>
      </c>
      <c r="G987" s="125" t="s">
        <v>60</v>
      </c>
      <c r="H987" s="125" t="s">
        <v>15</v>
      </c>
      <c r="I987" s="119" t="s">
        <v>1602</v>
      </c>
      <c r="J987" s="198" t="s">
        <v>2311</v>
      </c>
      <c r="K987" s="125" t="s">
        <v>1603</v>
      </c>
      <c r="L987" s="125" t="s">
        <v>1549</v>
      </c>
      <c r="M987" s="239" t="s">
        <v>788</v>
      </c>
      <c r="N987" s="126">
        <v>30000</v>
      </c>
      <c r="O987" s="126" t="s">
        <v>2254</v>
      </c>
      <c r="P987" s="146">
        <v>254722252523</v>
      </c>
      <c r="Q987" s="210"/>
    </row>
    <row r="988" spans="1:17" hidden="1" x14ac:dyDescent="0.2">
      <c r="A988" s="155" t="s">
        <v>785</v>
      </c>
      <c r="B988" s="197">
        <v>2001034</v>
      </c>
      <c r="C988" s="197">
        <v>20567</v>
      </c>
      <c r="D988" s="198" t="s">
        <v>786</v>
      </c>
      <c r="E988" s="197">
        <v>76</v>
      </c>
      <c r="F988" s="197" t="str">
        <f>IF(E988&lt;=20,"0-19",
IF(E988&lt;=50,"20-49",
IF(E988&lt;=80,"50-79","80+")))</f>
        <v>50-79</v>
      </c>
      <c r="G988" s="197" t="s">
        <v>60</v>
      </c>
      <c r="H988" s="197" t="s">
        <v>22</v>
      </c>
      <c r="I988" s="198" t="s">
        <v>787</v>
      </c>
      <c r="J988" s="198" t="s">
        <v>2311</v>
      </c>
      <c r="K988" s="198" t="s">
        <v>42</v>
      </c>
      <c r="L988" s="197" t="s">
        <v>42</v>
      </c>
      <c r="M988" s="238" t="s">
        <v>788</v>
      </c>
      <c r="N988" s="202">
        <v>84400</v>
      </c>
      <c r="O988" s="122" t="s">
        <v>18</v>
      </c>
      <c r="P988" s="172"/>
      <c r="Q988" s="210"/>
    </row>
    <row r="989" spans="1:17" hidden="1" x14ac:dyDescent="0.2">
      <c r="A989" s="155" t="s">
        <v>808</v>
      </c>
      <c r="B989" s="125">
        <v>2001322</v>
      </c>
      <c r="C989" s="125">
        <v>20858</v>
      </c>
      <c r="D989" s="125" t="s">
        <v>1309</v>
      </c>
      <c r="E989" s="125">
        <v>65</v>
      </c>
      <c r="F989" s="125" t="str">
        <f>IF(E989&lt;=20,"0-19",
IF(E989&lt;=50,"20-49",
IF(E989&lt;=80,"50-79","80+")))</f>
        <v>50-79</v>
      </c>
      <c r="G989" s="125" t="s">
        <v>60</v>
      </c>
      <c r="H989" s="125" t="s">
        <v>22</v>
      </c>
      <c r="I989" s="119" t="s">
        <v>1310</v>
      </c>
      <c r="J989" s="198" t="s">
        <v>2311</v>
      </c>
      <c r="K989" s="119" t="s">
        <v>1242</v>
      </c>
      <c r="L989" s="119" t="s">
        <v>1242</v>
      </c>
      <c r="M989" s="239" t="s">
        <v>788</v>
      </c>
      <c r="N989" s="162">
        <v>40000</v>
      </c>
      <c r="O989" s="125" t="s">
        <v>832</v>
      </c>
      <c r="P989" s="172"/>
      <c r="Q989" s="210"/>
    </row>
    <row r="990" spans="1:17" hidden="1" x14ac:dyDescent="0.2">
      <c r="A990" s="155" t="s">
        <v>785</v>
      </c>
      <c r="B990" s="197">
        <v>2012690</v>
      </c>
      <c r="C990" s="197">
        <v>17742</v>
      </c>
      <c r="D990" s="198" t="s">
        <v>794</v>
      </c>
      <c r="E990" s="197">
        <v>69</v>
      </c>
      <c r="F990" s="197" t="str">
        <f>IF(E990&lt;=20,"0-19",
IF(E990&lt;=50,"20-49",
IF(E990&lt;=80,"50-79","80+")))</f>
        <v>50-79</v>
      </c>
      <c r="G990" s="197" t="s">
        <v>49</v>
      </c>
      <c r="H990" s="197" t="s">
        <v>15</v>
      </c>
      <c r="I990" s="198" t="s">
        <v>795</v>
      </c>
      <c r="J990" s="198" t="s">
        <v>2311</v>
      </c>
      <c r="K990" s="198" t="s">
        <v>42</v>
      </c>
      <c r="L990" s="197" t="s">
        <v>42</v>
      </c>
      <c r="M990" s="238" t="s">
        <v>788</v>
      </c>
      <c r="N990" s="202">
        <v>150000</v>
      </c>
      <c r="O990" s="125" t="s">
        <v>18</v>
      </c>
      <c r="P990" s="173"/>
      <c r="Q990" s="210"/>
    </row>
    <row r="991" spans="1:17" hidden="1" x14ac:dyDescent="0.2">
      <c r="A991" s="143" t="s">
        <v>785</v>
      </c>
      <c r="B991" s="121">
        <v>2001802</v>
      </c>
      <c r="C991" s="122">
        <v>11761</v>
      </c>
      <c r="D991" s="121" t="s">
        <v>1599</v>
      </c>
      <c r="E991" s="121">
        <v>71</v>
      </c>
      <c r="F991" s="121" t="str">
        <f>IF(E991&lt;=20,"0-19",
IF(E991&lt;=50,"20-49",
IF(E991&lt;=80,"50-79","80+")))</f>
        <v>50-79</v>
      </c>
      <c r="G991" s="121" t="s">
        <v>60</v>
      </c>
      <c r="H991" s="121" t="s">
        <v>22</v>
      </c>
      <c r="I991" s="121" t="s">
        <v>1600</v>
      </c>
      <c r="J991" s="198" t="s">
        <v>2311</v>
      </c>
      <c r="K991" s="121" t="s">
        <v>1553</v>
      </c>
      <c r="L991" s="121" t="s">
        <v>1553</v>
      </c>
      <c r="M991" s="240" t="s">
        <v>788</v>
      </c>
      <c r="N991" s="127">
        <v>30000</v>
      </c>
      <c r="O991" s="127" t="s">
        <v>2254</v>
      </c>
      <c r="P991" s="147">
        <v>254720920599</v>
      </c>
      <c r="Q991" s="210"/>
    </row>
    <row r="992" spans="1:17" hidden="1" x14ac:dyDescent="0.2">
      <c r="A992" s="143" t="s">
        <v>808</v>
      </c>
      <c r="B992" s="122">
        <v>2004348</v>
      </c>
      <c r="C992" s="122">
        <v>60369</v>
      </c>
      <c r="D992" s="122" t="s">
        <v>1583</v>
      </c>
      <c r="E992" s="122">
        <v>62</v>
      </c>
      <c r="F992" s="122" t="str">
        <f>IF(E992&lt;=20,"0-19",
IF(E992&lt;=50,"20-49",
IF(E992&lt;=80,"50-79","80+")))</f>
        <v>50-79</v>
      </c>
      <c r="G992" s="122" t="s">
        <v>60</v>
      </c>
      <c r="H992" s="122" t="s">
        <v>22</v>
      </c>
      <c r="I992" s="123" t="s">
        <v>1584</v>
      </c>
      <c r="J992" s="198" t="s">
        <v>2311</v>
      </c>
      <c r="K992" s="122" t="s">
        <v>1559</v>
      </c>
      <c r="L992" s="122" t="s">
        <v>1559</v>
      </c>
      <c r="M992" s="240" t="s">
        <v>788</v>
      </c>
      <c r="N992" s="124">
        <v>15200</v>
      </c>
      <c r="O992" s="124" t="s">
        <v>2254</v>
      </c>
      <c r="P992" s="147">
        <v>254723650682</v>
      </c>
      <c r="Q992" s="210"/>
    </row>
    <row r="993" spans="1:17" hidden="1" x14ac:dyDescent="0.2">
      <c r="A993" s="142" t="s">
        <v>1585</v>
      </c>
      <c r="B993" s="119">
        <v>2007024</v>
      </c>
      <c r="C993" s="125">
        <v>18958</v>
      </c>
      <c r="D993" s="119" t="s">
        <v>2061</v>
      </c>
      <c r="E993" s="119">
        <v>63</v>
      </c>
      <c r="F993" s="119" t="str">
        <f>IF(E993&lt;=20,"0-19",
IF(E993&lt;=50,"20-49",
IF(E993&lt;=80,"50-79","80+")))</f>
        <v>50-79</v>
      </c>
      <c r="G993" s="119" t="s">
        <v>14</v>
      </c>
      <c r="H993" s="119" t="s">
        <v>15</v>
      </c>
      <c r="I993" s="119" t="s">
        <v>2062</v>
      </c>
      <c r="J993" s="198" t="s">
        <v>2311</v>
      </c>
      <c r="K993" s="119" t="s">
        <v>1911</v>
      </c>
      <c r="L993" s="119" t="s">
        <v>1911</v>
      </c>
      <c r="M993" s="239" t="s">
        <v>788</v>
      </c>
      <c r="N993" s="120">
        <v>75000</v>
      </c>
      <c r="O993" s="120" t="s">
        <v>2254</v>
      </c>
      <c r="P993" s="146">
        <v>254745871502</v>
      </c>
      <c r="Q993" s="210"/>
    </row>
    <row r="994" spans="1:17" hidden="1" x14ac:dyDescent="0.2">
      <c r="A994" s="142" t="s">
        <v>785</v>
      </c>
      <c r="B994" s="119">
        <v>2002518</v>
      </c>
      <c r="C994" s="125">
        <v>33078</v>
      </c>
      <c r="D994" s="119" t="s">
        <v>1747</v>
      </c>
      <c r="E994" s="119">
        <v>56</v>
      </c>
      <c r="F994" s="119" t="str">
        <f>IF(E994&lt;=20,"0-19",
IF(E994&lt;=50,"20-49",
IF(E994&lt;=80,"50-79","80+")))</f>
        <v>50-79</v>
      </c>
      <c r="G994" s="118" t="s">
        <v>126</v>
      </c>
      <c r="H994" s="118" t="s">
        <v>22</v>
      </c>
      <c r="I994" s="119" t="s">
        <v>1312</v>
      </c>
      <c r="J994" s="198" t="s">
        <v>2311</v>
      </c>
      <c r="K994" s="118" t="s">
        <v>1918</v>
      </c>
      <c r="L994" s="118" t="s">
        <v>1918</v>
      </c>
      <c r="M994" s="239" t="s">
        <v>788</v>
      </c>
      <c r="N994" s="120">
        <v>240000</v>
      </c>
      <c r="O994" s="120" t="s">
        <v>2254</v>
      </c>
      <c r="P994" s="146">
        <v>254720659401</v>
      </c>
      <c r="Q994" s="210"/>
    </row>
    <row r="995" spans="1:17" hidden="1" x14ac:dyDescent="0.2">
      <c r="A995" s="155" t="s">
        <v>808</v>
      </c>
      <c r="B995" s="118">
        <v>204427</v>
      </c>
      <c r="C995" s="125">
        <v>11345</v>
      </c>
      <c r="D995" s="118" t="s">
        <v>1311</v>
      </c>
      <c r="E995" s="118">
        <v>67</v>
      </c>
      <c r="F995" s="118" t="str">
        <f>IF(E995&lt;=20,"0-19",
IF(E995&lt;=50,"20-49",
IF(E995&lt;=80,"50-79","80+")))</f>
        <v>50-79</v>
      </c>
      <c r="G995" s="118" t="s">
        <v>60</v>
      </c>
      <c r="H995" s="118" t="s">
        <v>22</v>
      </c>
      <c r="I995" s="118" t="s">
        <v>1312</v>
      </c>
      <c r="J995" s="198" t="s">
        <v>2311</v>
      </c>
      <c r="K995" s="118" t="s">
        <v>1232</v>
      </c>
      <c r="L995" s="118" t="s">
        <v>1232</v>
      </c>
      <c r="M995" s="239" t="s">
        <v>788</v>
      </c>
      <c r="N995" s="160">
        <v>110000</v>
      </c>
      <c r="O995" s="125" t="s">
        <v>832</v>
      </c>
      <c r="P995" s="173"/>
      <c r="Q995" s="210"/>
    </row>
    <row r="996" spans="1:17" hidden="1" x14ac:dyDescent="0.2">
      <c r="A996" s="155" t="s">
        <v>1218</v>
      </c>
      <c r="B996" s="118">
        <v>2003527</v>
      </c>
      <c r="C996" s="125">
        <v>15412</v>
      </c>
      <c r="D996" s="118" t="s">
        <v>1219</v>
      </c>
      <c r="E996" s="118">
        <v>66</v>
      </c>
      <c r="F996" s="118" t="str">
        <f>IF(E996&lt;=20,"0-19",
IF(E996&lt;=50,"20-49",
IF(E996&lt;=80,"50-79","80+")))</f>
        <v>50-79</v>
      </c>
      <c r="G996" s="119" t="s">
        <v>126</v>
      </c>
      <c r="H996" s="119" t="s">
        <v>22</v>
      </c>
      <c r="I996" s="118" t="s">
        <v>1220</v>
      </c>
      <c r="J996" s="198" t="s">
        <v>2311</v>
      </c>
      <c r="K996" s="119" t="s">
        <v>909</v>
      </c>
      <c r="L996" s="119" t="s">
        <v>909</v>
      </c>
      <c r="M996" s="239" t="s">
        <v>788</v>
      </c>
      <c r="N996" s="160">
        <v>160000</v>
      </c>
      <c r="O996" s="125" t="s">
        <v>832</v>
      </c>
      <c r="P996" s="172"/>
      <c r="Q996" s="210"/>
    </row>
    <row r="997" spans="1:17" hidden="1" x14ac:dyDescent="0.2">
      <c r="A997" s="156" t="s">
        <v>799</v>
      </c>
      <c r="B997" s="196">
        <v>2002373</v>
      </c>
      <c r="C997" s="200">
        <v>58877</v>
      </c>
      <c r="D997" s="196" t="s">
        <v>802</v>
      </c>
      <c r="E997" s="196">
        <v>58</v>
      </c>
      <c r="F997" s="196" t="str">
        <f>IF(E997&lt;=20,"0-19",
IF(E997&lt;=50,"20-49",
IF(E997&lt;=80,"50-79","80+")))</f>
        <v>50-79</v>
      </c>
      <c r="G997" s="196" t="s">
        <v>60</v>
      </c>
      <c r="H997" s="196" t="s">
        <v>22</v>
      </c>
      <c r="I997" s="196" t="s">
        <v>803</v>
      </c>
      <c r="J997" s="198" t="s">
        <v>2311</v>
      </c>
      <c r="K997" s="196" t="s">
        <v>24</v>
      </c>
      <c r="L997" s="196" t="s">
        <v>24</v>
      </c>
      <c r="M997" s="238" t="s">
        <v>788</v>
      </c>
      <c r="N997" s="201">
        <v>75000</v>
      </c>
      <c r="O997" s="122" t="s">
        <v>18</v>
      </c>
      <c r="P997" s="172"/>
      <c r="Q997" s="210"/>
    </row>
    <row r="998" spans="1:17" hidden="1" x14ac:dyDescent="0.2">
      <c r="A998" s="142" t="s">
        <v>785</v>
      </c>
      <c r="B998" s="118">
        <v>2002518</v>
      </c>
      <c r="C998" s="125">
        <v>33078</v>
      </c>
      <c r="D998" s="118" t="s">
        <v>1747</v>
      </c>
      <c r="E998" s="118">
        <v>56</v>
      </c>
      <c r="F998" s="118" t="str">
        <f>IF(E998&lt;=20,"0-19",
IF(E998&lt;=50,"20-49",
IF(E998&lt;=80,"50-79","80+")))</f>
        <v>50-79</v>
      </c>
      <c r="G998" s="119" t="s">
        <v>126</v>
      </c>
      <c r="H998" s="119" t="s">
        <v>22</v>
      </c>
      <c r="I998" s="118" t="s">
        <v>1748</v>
      </c>
      <c r="J998" s="198" t="s">
        <v>2311</v>
      </c>
      <c r="K998" s="119" t="s">
        <v>1562</v>
      </c>
      <c r="L998" s="119" t="s">
        <v>1562</v>
      </c>
      <c r="M998" s="239" t="s">
        <v>788</v>
      </c>
      <c r="N998" s="120">
        <v>140000</v>
      </c>
      <c r="O998" s="120" t="s">
        <v>2254</v>
      </c>
      <c r="P998" s="146">
        <v>254720753956</v>
      </c>
      <c r="Q998" s="210"/>
    </row>
    <row r="999" spans="1:17" hidden="1" x14ac:dyDescent="0.2">
      <c r="A999" s="155" t="s">
        <v>785</v>
      </c>
      <c r="B999" s="197">
        <v>2001053</v>
      </c>
      <c r="C999" s="197">
        <v>17470</v>
      </c>
      <c r="D999" s="198" t="s">
        <v>789</v>
      </c>
      <c r="E999" s="197">
        <v>78</v>
      </c>
      <c r="F999" s="197" t="str">
        <f>IF(E999&lt;=20,"0-19",
IF(E999&lt;=50,"20-49",
IF(E999&lt;=80,"50-79","80+")))</f>
        <v>50-79</v>
      </c>
      <c r="G999" s="197" t="s">
        <v>60</v>
      </c>
      <c r="H999" s="197" t="s">
        <v>22</v>
      </c>
      <c r="I999" s="198" t="s">
        <v>790</v>
      </c>
      <c r="J999" s="198" t="s">
        <v>2322</v>
      </c>
      <c r="K999" s="198" t="s">
        <v>25</v>
      </c>
      <c r="L999" s="197" t="s">
        <v>25</v>
      </c>
      <c r="M999" s="238" t="s">
        <v>788</v>
      </c>
      <c r="N999" s="202">
        <v>60000</v>
      </c>
      <c r="O999" s="125" t="s">
        <v>18</v>
      </c>
      <c r="P999" s="173"/>
      <c r="Q999" s="210"/>
    </row>
    <row r="1000" spans="1:17" hidden="1" x14ac:dyDescent="0.2">
      <c r="A1000" s="155" t="s">
        <v>808</v>
      </c>
      <c r="B1000" s="122">
        <v>2014769</v>
      </c>
      <c r="C1000" s="122">
        <v>100540</v>
      </c>
      <c r="D1000" s="122" t="s">
        <v>824</v>
      </c>
      <c r="E1000" s="123">
        <v>60</v>
      </c>
      <c r="F1000" s="123" t="str">
        <f>IF(E1000&lt;=20,"0-19",
IF(E1000&lt;=50,"20-49",
IF(E1000&lt;=80,"50-79","80+")))</f>
        <v>50-79</v>
      </c>
      <c r="G1000" s="122" t="s">
        <v>49</v>
      </c>
      <c r="H1000" s="122" t="s">
        <v>15</v>
      </c>
      <c r="I1000" s="122" t="s">
        <v>825</v>
      </c>
      <c r="J1000" s="198" t="s">
        <v>2311</v>
      </c>
      <c r="K1000" s="123" t="s">
        <v>66</v>
      </c>
      <c r="L1000" s="123" t="s">
        <v>66</v>
      </c>
      <c r="M1000" s="240" t="s">
        <v>826</v>
      </c>
      <c r="N1000" s="157">
        <v>250000</v>
      </c>
      <c r="O1000" s="122" t="s">
        <v>18</v>
      </c>
      <c r="P1000" s="172"/>
      <c r="Q1000" s="210"/>
    </row>
    <row r="1001" spans="1:17" hidden="1" x14ac:dyDescent="0.2">
      <c r="A1001" s="139" t="s">
        <v>808</v>
      </c>
      <c r="B1001" s="82">
        <v>2009360</v>
      </c>
      <c r="C1001" s="82">
        <v>17794</v>
      </c>
      <c r="D1001" s="82" t="s">
        <v>827</v>
      </c>
      <c r="E1001" s="92">
        <v>66</v>
      </c>
      <c r="F1001" s="92" t="str">
        <f>IF(E1001&lt;=20,"0-19",
IF(E1001&lt;=50,"20-49",
IF(E1001&lt;=80,"50-79","80+")))</f>
        <v>50-79</v>
      </c>
      <c r="G1001" s="82" t="s">
        <v>49</v>
      </c>
      <c r="H1001" s="82" t="s">
        <v>15</v>
      </c>
      <c r="I1001" s="82" t="s">
        <v>791</v>
      </c>
      <c r="J1001" s="198" t="s">
        <v>2311</v>
      </c>
      <c r="K1001" s="92" t="s">
        <v>66</v>
      </c>
      <c r="L1001" s="92" t="s">
        <v>66</v>
      </c>
      <c r="M1001" s="231" t="s">
        <v>828</v>
      </c>
      <c r="N1001" s="101">
        <v>110000</v>
      </c>
      <c r="O1001" s="82" t="s">
        <v>18</v>
      </c>
      <c r="P1001" s="170"/>
      <c r="Q1001" s="210"/>
    </row>
  </sheetData>
  <conditionalFormatting sqref="B197:B266 B1:B56 B58:B185 B268:B334">
    <cfRule type="duplicateValues" dxfId="4" priority="5"/>
  </conditionalFormatting>
  <conditionalFormatting sqref="B268:B334 B1:B266">
    <cfRule type="duplicateValues" dxfId="3" priority="4"/>
  </conditionalFormatting>
  <conditionalFormatting sqref="B335:B516">
    <cfRule type="duplicateValues" dxfId="2" priority="3"/>
  </conditionalFormatting>
  <conditionalFormatting sqref="B976 B675:B846">
    <cfRule type="duplicateValues" dxfId="1" priority="1"/>
  </conditionalFormatting>
  <conditionalFormatting sqref="C517:C674">
    <cfRule type="duplicateValues" dxfId="0" priority="2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23DC3-2097-4429-8DB1-8902CAB5C6DE}">
  <dimension ref="A1:B105"/>
  <sheetViews>
    <sheetView workbookViewId="0">
      <selection activeCell="B2" sqref="B2:B105"/>
    </sheetView>
  </sheetViews>
  <sheetFormatPr defaultRowHeight="15" x14ac:dyDescent="0.25"/>
  <cols>
    <col min="1" max="1" width="62" bestFit="1" customWidth="1"/>
    <col min="2" max="2" width="40.28515625" customWidth="1"/>
  </cols>
  <sheetData>
    <row r="1" spans="1:2" x14ac:dyDescent="0.25">
      <c r="A1" t="s">
        <v>2530</v>
      </c>
      <c r="B1" t="s">
        <v>2362</v>
      </c>
    </row>
    <row r="2" spans="1:2" x14ac:dyDescent="0.25">
      <c r="A2" t="s">
        <v>2363</v>
      </c>
      <c r="B2" t="s">
        <v>2364</v>
      </c>
    </row>
    <row r="3" spans="1:2" x14ac:dyDescent="0.25">
      <c r="A3" t="s">
        <v>2365</v>
      </c>
      <c r="B3" t="s">
        <v>2366</v>
      </c>
    </row>
    <row r="4" spans="1:2" x14ac:dyDescent="0.25">
      <c r="A4" t="s">
        <v>2367</v>
      </c>
      <c r="B4" t="s">
        <v>2364</v>
      </c>
    </row>
    <row r="5" spans="1:2" x14ac:dyDescent="0.25">
      <c r="A5" t="s">
        <v>2368</v>
      </c>
      <c r="B5" t="s">
        <v>2364</v>
      </c>
    </row>
    <row r="6" spans="1:2" x14ac:dyDescent="0.25">
      <c r="A6" t="s">
        <v>2369</v>
      </c>
      <c r="B6" t="s">
        <v>2370</v>
      </c>
    </row>
    <row r="7" spans="1:2" x14ac:dyDescent="0.25">
      <c r="A7" t="s">
        <v>2371</v>
      </c>
      <c r="B7" t="s">
        <v>714</v>
      </c>
    </row>
    <row r="8" spans="1:2" x14ac:dyDescent="0.25">
      <c r="A8" t="s">
        <v>2372</v>
      </c>
      <c r="B8" t="s">
        <v>2398</v>
      </c>
    </row>
    <row r="9" spans="1:2" x14ac:dyDescent="0.25">
      <c r="A9" t="s">
        <v>2374</v>
      </c>
      <c r="B9" t="s">
        <v>2417</v>
      </c>
    </row>
    <row r="10" spans="1:2" x14ac:dyDescent="0.25">
      <c r="A10" t="s">
        <v>2376</v>
      </c>
      <c r="B10" t="s">
        <v>2519</v>
      </c>
    </row>
    <row r="11" spans="1:2" x14ac:dyDescent="0.25">
      <c r="A11" t="s">
        <v>2378</v>
      </c>
      <c r="B11" t="s">
        <v>2379</v>
      </c>
    </row>
    <row r="12" spans="1:2" x14ac:dyDescent="0.25">
      <c r="A12" t="s">
        <v>2380</v>
      </c>
      <c r="B12" t="s">
        <v>2379</v>
      </c>
    </row>
    <row r="13" spans="1:2" x14ac:dyDescent="0.25">
      <c r="A13" t="s">
        <v>508</v>
      </c>
      <c r="B13" t="s">
        <v>2394</v>
      </c>
    </row>
    <row r="14" spans="1:2" x14ac:dyDescent="0.25">
      <c r="A14" t="s">
        <v>2382</v>
      </c>
      <c r="B14" t="s">
        <v>714</v>
      </c>
    </row>
    <row r="15" spans="1:2" x14ac:dyDescent="0.25">
      <c r="A15" t="s">
        <v>2520</v>
      </c>
      <c r="B15" t="s">
        <v>2387</v>
      </c>
    </row>
    <row r="16" spans="1:2" x14ac:dyDescent="0.25">
      <c r="A16" t="s">
        <v>2386</v>
      </c>
      <c r="B16" t="s">
        <v>2387</v>
      </c>
    </row>
    <row r="17" spans="1:2" x14ac:dyDescent="0.25">
      <c r="A17" t="s">
        <v>2389</v>
      </c>
      <c r="B17" t="s">
        <v>714</v>
      </c>
    </row>
    <row r="18" spans="1:2" x14ac:dyDescent="0.25">
      <c r="A18" t="s">
        <v>2390</v>
      </c>
      <c r="B18" t="s">
        <v>714</v>
      </c>
    </row>
    <row r="19" spans="1:2" x14ac:dyDescent="0.25">
      <c r="A19" t="s">
        <v>2391</v>
      </c>
      <c r="B19" t="s">
        <v>2417</v>
      </c>
    </row>
    <row r="20" spans="1:2" x14ac:dyDescent="0.25">
      <c r="A20" t="s">
        <v>2393</v>
      </c>
      <c r="B20" t="s">
        <v>2394</v>
      </c>
    </row>
    <row r="21" spans="1:2" x14ac:dyDescent="0.25">
      <c r="A21" t="s">
        <v>2395</v>
      </c>
      <c r="B21" t="s">
        <v>714</v>
      </c>
    </row>
    <row r="22" spans="1:2" x14ac:dyDescent="0.25">
      <c r="A22" t="s">
        <v>2396</v>
      </c>
      <c r="B22" t="s">
        <v>2366</v>
      </c>
    </row>
    <row r="23" spans="1:2" x14ac:dyDescent="0.25">
      <c r="A23" t="s">
        <v>2397</v>
      </c>
      <c r="B23" t="s">
        <v>2398</v>
      </c>
    </row>
    <row r="24" spans="1:2" x14ac:dyDescent="0.25">
      <c r="A24" t="s">
        <v>2521</v>
      </c>
      <c r="B24" t="s">
        <v>2398</v>
      </c>
    </row>
    <row r="25" spans="1:2" x14ac:dyDescent="0.25">
      <c r="A25" t="s">
        <v>2522</v>
      </c>
      <c r="B25" t="s">
        <v>2398</v>
      </c>
    </row>
    <row r="26" spans="1:2" x14ac:dyDescent="0.25">
      <c r="A26" t="s">
        <v>2400</v>
      </c>
      <c r="B26" t="s">
        <v>2401</v>
      </c>
    </row>
    <row r="27" spans="1:2" x14ac:dyDescent="0.25">
      <c r="A27" t="s">
        <v>2402</v>
      </c>
      <c r="B27" t="s">
        <v>714</v>
      </c>
    </row>
    <row r="28" spans="1:2" x14ac:dyDescent="0.25">
      <c r="A28" t="s">
        <v>2404</v>
      </c>
      <c r="B28" t="s">
        <v>2405</v>
      </c>
    </row>
    <row r="29" spans="1:2" x14ac:dyDescent="0.25">
      <c r="A29" t="s">
        <v>2406</v>
      </c>
      <c r="B29" t="s">
        <v>788</v>
      </c>
    </row>
    <row r="30" spans="1:2" x14ac:dyDescent="0.25">
      <c r="A30" t="s">
        <v>2407</v>
      </c>
      <c r="B30" t="s">
        <v>2398</v>
      </c>
    </row>
    <row r="31" spans="1:2" x14ac:dyDescent="0.25">
      <c r="A31" t="s">
        <v>2408</v>
      </c>
      <c r="B31" t="s">
        <v>2364</v>
      </c>
    </row>
    <row r="32" spans="1:2" x14ac:dyDescent="0.25">
      <c r="A32" t="s">
        <v>2410</v>
      </c>
      <c r="B32" t="s">
        <v>2516</v>
      </c>
    </row>
    <row r="33" spans="1:2" x14ac:dyDescent="0.25">
      <c r="A33" t="s">
        <v>2412</v>
      </c>
      <c r="B33" t="s">
        <v>2523</v>
      </c>
    </row>
    <row r="34" spans="1:2" x14ac:dyDescent="0.25">
      <c r="A34" t="s">
        <v>2414</v>
      </c>
      <c r="B34" t="s">
        <v>2364</v>
      </c>
    </row>
    <row r="35" spans="1:2" x14ac:dyDescent="0.25">
      <c r="A35" t="s">
        <v>2416</v>
      </c>
      <c r="B35" t="s">
        <v>2417</v>
      </c>
    </row>
    <row r="36" spans="1:2" x14ac:dyDescent="0.25">
      <c r="A36" t="s">
        <v>2418</v>
      </c>
      <c r="B36" t="s">
        <v>2370</v>
      </c>
    </row>
    <row r="37" spans="1:2" x14ac:dyDescent="0.25">
      <c r="A37" t="s">
        <v>2420</v>
      </c>
      <c r="B37" t="s">
        <v>2421</v>
      </c>
    </row>
    <row r="38" spans="1:2" x14ac:dyDescent="0.25">
      <c r="A38" t="s">
        <v>2423</v>
      </c>
      <c r="B38" t="s">
        <v>788</v>
      </c>
    </row>
    <row r="39" spans="1:2" x14ac:dyDescent="0.25">
      <c r="A39" t="s">
        <v>2425</v>
      </c>
      <c r="B39" t="s">
        <v>2426</v>
      </c>
    </row>
    <row r="40" spans="1:2" x14ac:dyDescent="0.25">
      <c r="A40" t="s">
        <v>2427</v>
      </c>
      <c r="B40" t="s">
        <v>2426</v>
      </c>
    </row>
    <row r="41" spans="1:2" x14ac:dyDescent="0.25">
      <c r="A41" t="s">
        <v>2428</v>
      </c>
      <c r="B41" t="s">
        <v>2370</v>
      </c>
    </row>
    <row r="42" spans="1:2" x14ac:dyDescent="0.25">
      <c r="A42" t="s">
        <v>2429</v>
      </c>
      <c r="B42" t="s">
        <v>2426</v>
      </c>
    </row>
    <row r="43" spans="1:2" x14ac:dyDescent="0.25">
      <c r="A43" t="s">
        <v>2431</v>
      </c>
      <c r="B43" t="s">
        <v>2364</v>
      </c>
    </row>
    <row r="44" spans="1:2" x14ac:dyDescent="0.25">
      <c r="A44" t="s">
        <v>2433</v>
      </c>
      <c r="B44" t="s">
        <v>2398</v>
      </c>
    </row>
    <row r="45" spans="1:2" x14ac:dyDescent="0.25">
      <c r="A45" t="s">
        <v>2435</v>
      </c>
      <c r="B45" t="s">
        <v>2516</v>
      </c>
    </row>
    <row r="46" spans="1:2" x14ac:dyDescent="0.25">
      <c r="A46" t="s">
        <v>2437</v>
      </c>
      <c r="B46" t="s">
        <v>2364</v>
      </c>
    </row>
    <row r="47" spans="1:2" x14ac:dyDescent="0.25">
      <c r="A47" t="s">
        <v>2438</v>
      </c>
      <c r="B47" t="s">
        <v>2366</v>
      </c>
    </row>
    <row r="48" spans="1:2" x14ac:dyDescent="0.25">
      <c r="A48" t="s">
        <v>2439</v>
      </c>
      <c r="B48" t="s">
        <v>2524</v>
      </c>
    </row>
    <row r="49" spans="1:2" x14ac:dyDescent="0.25">
      <c r="A49" t="s">
        <v>2441</v>
      </c>
      <c r="B49" t="s">
        <v>714</v>
      </c>
    </row>
    <row r="50" spans="1:2" x14ac:dyDescent="0.25">
      <c r="A50" t="s">
        <v>2442</v>
      </c>
      <c r="B50" t="s">
        <v>2366</v>
      </c>
    </row>
    <row r="51" spans="1:2" x14ac:dyDescent="0.25">
      <c r="A51" t="s">
        <v>2443</v>
      </c>
      <c r="B51" t="s">
        <v>2366</v>
      </c>
    </row>
    <row r="52" spans="1:2" x14ac:dyDescent="0.25">
      <c r="A52" t="s">
        <v>2445</v>
      </c>
      <c r="B52" t="s">
        <v>2366</v>
      </c>
    </row>
    <row r="53" spans="1:2" x14ac:dyDescent="0.25">
      <c r="A53" t="s">
        <v>2447</v>
      </c>
      <c r="B53" t="s">
        <v>2366</v>
      </c>
    </row>
    <row r="54" spans="1:2" x14ac:dyDescent="0.25">
      <c r="A54" t="s">
        <v>2449</v>
      </c>
      <c r="B54" t="s">
        <v>2366</v>
      </c>
    </row>
    <row r="55" spans="1:2" x14ac:dyDescent="0.25">
      <c r="A55" t="s">
        <v>2450</v>
      </c>
      <c r="B55" t="s">
        <v>2387</v>
      </c>
    </row>
    <row r="56" spans="1:2" x14ac:dyDescent="0.25">
      <c r="A56" t="s">
        <v>2452</v>
      </c>
      <c r="B56" t="s">
        <v>2398</v>
      </c>
    </row>
    <row r="57" spans="1:2" x14ac:dyDescent="0.25">
      <c r="A57" t="s">
        <v>2453</v>
      </c>
      <c r="B57" t="s">
        <v>2524</v>
      </c>
    </row>
    <row r="58" spans="1:2" x14ac:dyDescent="0.25">
      <c r="A58" t="s">
        <v>2454</v>
      </c>
      <c r="B58" t="s">
        <v>2426</v>
      </c>
    </row>
    <row r="59" spans="1:2" x14ac:dyDescent="0.25">
      <c r="A59" t="s">
        <v>2455</v>
      </c>
      <c r="B59" t="s">
        <v>2398</v>
      </c>
    </row>
    <row r="60" spans="1:2" x14ac:dyDescent="0.25">
      <c r="A60" t="s">
        <v>2457</v>
      </c>
      <c r="B60" t="s">
        <v>2426</v>
      </c>
    </row>
    <row r="61" spans="1:2" x14ac:dyDescent="0.25">
      <c r="A61" t="s">
        <v>2459</v>
      </c>
      <c r="B61" t="s">
        <v>2426</v>
      </c>
    </row>
    <row r="62" spans="1:2" x14ac:dyDescent="0.25">
      <c r="A62" t="s">
        <v>2460</v>
      </c>
      <c r="B62" t="s">
        <v>714</v>
      </c>
    </row>
    <row r="63" spans="1:2" x14ac:dyDescent="0.25">
      <c r="A63" t="s">
        <v>2462</v>
      </c>
      <c r="B63" t="s">
        <v>714</v>
      </c>
    </row>
    <row r="64" spans="1:2" x14ac:dyDescent="0.25">
      <c r="A64" t="s">
        <v>1190</v>
      </c>
      <c r="B64" t="s">
        <v>714</v>
      </c>
    </row>
    <row r="65" spans="1:2" x14ac:dyDescent="0.25">
      <c r="A65" t="s">
        <v>2463</v>
      </c>
      <c r="B65" t="s">
        <v>714</v>
      </c>
    </row>
    <row r="66" spans="1:2" x14ac:dyDescent="0.25">
      <c r="A66" t="s">
        <v>2464</v>
      </c>
      <c r="B66" t="s">
        <v>2426</v>
      </c>
    </row>
    <row r="67" spans="1:2" x14ac:dyDescent="0.25">
      <c r="A67" t="s">
        <v>2466</v>
      </c>
      <c r="B67" t="s">
        <v>2366</v>
      </c>
    </row>
    <row r="68" spans="1:2" x14ac:dyDescent="0.25">
      <c r="A68" t="s">
        <v>2467</v>
      </c>
      <c r="B68" t="s">
        <v>2417</v>
      </c>
    </row>
    <row r="69" spans="1:2" x14ac:dyDescent="0.25">
      <c r="A69" t="s">
        <v>2469</v>
      </c>
      <c r="B69" t="s">
        <v>2525</v>
      </c>
    </row>
    <row r="70" spans="1:2" x14ac:dyDescent="0.25">
      <c r="A70" t="s">
        <v>2471</v>
      </c>
      <c r="B70" t="s">
        <v>2364</v>
      </c>
    </row>
    <row r="71" spans="1:2" x14ac:dyDescent="0.25">
      <c r="A71" t="s">
        <v>1926</v>
      </c>
      <c r="B71" t="s">
        <v>714</v>
      </c>
    </row>
    <row r="72" spans="1:2" x14ac:dyDescent="0.25">
      <c r="A72" t="s">
        <v>2473</v>
      </c>
      <c r="B72" t="s">
        <v>2387</v>
      </c>
    </row>
    <row r="73" spans="1:2" x14ac:dyDescent="0.25">
      <c r="A73" t="s">
        <v>2475</v>
      </c>
      <c r="B73" t="s">
        <v>2387</v>
      </c>
    </row>
    <row r="74" spans="1:2" x14ac:dyDescent="0.25">
      <c r="A74" t="s">
        <v>764</v>
      </c>
      <c r="B74" t="s">
        <v>714</v>
      </c>
    </row>
    <row r="75" spans="1:2" x14ac:dyDescent="0.25">
      <c r="A75" t="s">
        <v>2477</v>
      </c>
      <c r="B75" t="s">
        <v>2379</v>
      </c>
    </row>
    <row r="76" spans="1:2" x14ac:dyDescent="0.25">
      <c r="A76" t="s">
        <v>2479</v>
      </c>
      <c r="B76" t="s">
        <v>2394</v>
      </c>
    </row>
    <row r="77" spans="1:2" x14ac:dyDescent="0.25">
      <c r="A77" t="s">
        <v>2480</v>
      </c>
      <c r="B77" t="s">
        <v>2364</v>
      </c>
    </row>
    <row r="78" spans="1:2" x14ac:dyDescent="0.25">
      <c r="A78" t="s">
        <v>2481</v>
      </c>
      <c r="B78" t="s">
        <v>2482</v>
      </c>
    </row>
    <row r="79" spans="1:2" x14ac:dyDescent="0.25">
      <c r="A79" t="s">
        <v>2483</v>
      </c>
      <c r="B79" t="s">
        <v>2421</v>
      </c>
    </row>
    <row r="80" spans="1:2" x14ac:dyDescent="0.25">
      <c r="A80" t="s">
        <v>2484</v>
      </c>
      <c r="B80" t="s">
        <v>714</v>
      </c>
    </row>
    <row r="81" spans="1:2" x14ac:dyDescent="0.25">
      <c r="A81" t="s">
        <v>2486</v>
      </c>
      <c r="B81" t="s">
        <v>2482</v>
      </c>
    </row>
    <row r="82" spans="1:2" x14ac:dyDescent="0.25">
      <c r="A82" t="s">
        <v>1689</v>
      </c>
      <c r="B82" t="s">
        <v>2394</v>
      </c>
    </row>
    <row r="83" spans="1:2" x14ac:dyDescent="0.25">
      <c r="A83" t="s">
        <v>2531</v>
      </c>
      <c r="B83" t="s">
        <v>2394</v>
      </c>
    </row>
    <row r="84" spans="1:2" x14ac:dyDescent="0.25">
      <c r="A84" t="s">
        <v>2532</v>
      </c>
      <c r="B84" t="s">
        <v>2394</v>
      </c>
    </row>
    <row r="85" spans="1:2" x14ac:dyDescent="0.25">
      <c r="A85" t="s">
        <v>2533</v>
      </c>
      <c r="B85" t="s">
        <v>2394</v>
      </c>
    </row>
    <row r="86" spans="1:2" x14ac:dyDescent="0.25">
      <c r="A86" t="s">
        <v>2488</v>
      </c>
      <c r="B86" t="s">
        <v>2398</v>
      </c>
    </row>
    <row r="87" spans="1:2" x14ac:dyDescent="0.25">
      <c r="A87" t="s">
        <v>2490</v>
      </c>
      <c r="B87" t="s">
        <v>2398</v>
      </c>
    </row>
    <row r="88" spans="1:2" x14ac:dyDescent="0.25">
      <c r="A88" t="s">
        <v>2491</v>
      </c>
      <c r="B88" t="s">
        <v>2398</v>
      </c>
    </row>
    <row r="89" spans="1:2" x14ac:dyDescent="0.25">
      <c r="A89" t="s">
        <v>2493</v>
      </c>
      <c r="B89" t="s">
        <v>2398</v>
      </c>
    </row>
    <row r="90" spans="1:2" x14ac:dyDescent="0.25">
      <c r="A90" t="s">
        <v>2495</v>
      </c>
      <c r="B90" t="s">
        <v>2527</v>
      </c>
    </row>
    <row r="91" spans="1:2" x14ac:dyDescent="0.25">
      <c r="A91" t="s">
        <v>2497</v>
      </c>
      <c r="B91" t="s">
        <v>2417</v>
      </c>
    </row>
    <row r="92" spans="1:2" x14ac:dyDescent="0.25">
      <c r="A92" t="s">
        <v>2499</v>
      </c>
      <c r="B92" t="s">
        <v>2417</v>
      </c>
    </row>
    <row r="93" spans="1:2" x14ac:dyDescent="0.25">
      <c r="A93" t="s">
        <v>2501</v>
      </c>
      <c r="B93" t="s">
        <v>2398</v>
      </c>
    </row>
    <row r="94" spans="1:2" x14ac:dyDescent="0.25">
      <c r="A94" t="s">
        <v>2502</v>
      </c>
      <c r="B94" t="s">
        <v>2364</v>
      </c>
    </row>
    <row r="95" spans="1:2" x14ac:dyDescent="0.25">
      <c r="A95" t="s">
        <v>2503</v>
      </c>
      <c r="B95" t="s">
        <v>2405</v>
      </c>
    </row>
    <row r="96" spans="1:2" x14ac:dyDescent="0.25">
      <c r="A96" t="s">
        <v>2504</v>
      </c>
      <c r="B96" t="s">
        <v>2398</v>
      </c>
    </row>
    <row r="97" spans="1:2" x14ac:dyDescent="0.25">
      <c r="A97" t="s">
        <v>2506</v>
      </c>
      <c r="B97" t="s">
        <v>2426</v>
      </c>
    </row>
    <row r="98" spans="1:2" x14ac:dyDescent="0.25">
      <c r="A98" t="s">
        <v>2507</v>
      </c>
      <c r="B98" t="s">
        <v>2426</v>
      </c>
    </row>
    <row r="99" spans="1:2" x14ac:dyDescent="0.25">
      <c r="A99" t="s">
        <v>2528</v>
      </c>
      <c r="B99" t="s">
        <v>2387</v>
      </c>
    </row>
    <row r="100" spans="1:2" x14ac:dyDescent="0.25">
      <c r="A100" t="s">
        <v>2529</v>
      </c>
      <c r="B100" t="s">
        <v>2387</v>
      </c>
    </row>
    <row r="101" spans="1:2" x14ac:dyDescent="0.25">
      <c r="A101" t="s">
        <v>2510</v>
      </c>
      <c r="B101" t="s">
        <v>2364</v>
      </c>
    </row>
    <row r="102" spans="1:2" x14ac:dyDescent="0.25">
      <c r="A102" t="s">
        <v>2512</v>
      </c>
      <c r="B102" t="s">
        <v>2364</v>
      </c>
    </row>
    <row r="103" spans="1:2" x14ac:dyDescent="0.25">
      <c r="A103" t="s">
        <v>2514</v>
      </c>
      <c r="B103" t="s">
        <v>2387</v>
      </c>
    </row>
    <row r="104" spans="1:2" x14ac:dyDescent="0.25">
      <c r="A104" t="s">
        <v>2515</v>
      </c>
      <c r="B104" t="s">
        <v>2516</v>
      </c>
    </row>
    <row r="105" spans="1:2" x14ac:dyDescent="0.25">
      <c r="A105" t="s">
        <v>2517</v>
      </c>
      <c r="B105" t="s">
        <v>2379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9BC0-0B7E-4971-BE42-7BAE562AABE8}">
  <dimension ref="A1:B105"/>
  <sheetViews>
    <sheetView topLeftCell="A85" workbookViewId="0">
      <selection activeCell="A85" sqref="A1:B1048576"/>
    </sheetView>
  </sheetViews>
  <sheetFormatPr defaultRowHeight="15" customHeight="1" x14ac:dyDescent="0.25"/>
  <cols>
    <col min="1" max="1" width="27.140625" customWidth="1"/>
  </cols>
  <sheetData>
    <row r="1" spans="1:2" ht="15" customHeight="1" x14ac:dyDescent="0.25">
      <c r="A1" s="206" t="s">
        <v>2530</v>
      </c>
      <c r="B1" s="206" t="s">
        <v>2362</v>
      </c>
    </row>
    <row r="2" spans="1:2" ht="15" customHeight="1" x14ac:dyDescent="0.25">
      <c r="A2" s="207" t="s">
        <v>2363</v>
      </c>
      <c r="B2" s="207" t="s">
        <v>2364</v>
      </c>
    </row>
    <row r="3" spans="1:2" ht="15" customHeight="1" x14ac:dyDescent="0.25">
      <c r="A3" s="207" t="s">
        <v>2365</v>
      </c>
      <c r="B3" s="207" t="s">
        <v>2366</v>
      </c>
    </row>
    <row r="4" spans="1:2" ht="15" customHeight="1" x14ac:dyDescent="0.25">
      <c r="A4" s="207" t="s">
        <v>2367</v>
      </c>
      <c r="B4" s="207" t="s">
        <v>2364</v>
      </c>
    </row>
    <row r="5" spans="1:2" ht="15" customHeight="1" x14ac:dyDescent="0.25">
      <c r="A5" s="207" t="s">
        <v>2368</v>
      </c>
      <c r="B5" s="207" t="s">
        <v>2364</v>
      </c>
    </row>
    <row r="6" spans="1:2" ht="15" customHeight="1" x14ac:dyDescent="0.25">
      <c r="A6" s="207" t="s">
        <v>2369</v>
      </c>
      <c r="B6" s="207" t="s">
        <v>2370</v>
      </c>
    </row>
    <row r="7" spans="1:2" ht="15" customHeight="1" x14ac:dyDescent="0.25">
      <c r="A7" s="207" t="s">
        <v>2371</v>
      </c>
      <c r="B7" s="208" t="s">
        <v>714</v>
      </c>
    </row>
    <row r="8" spans="1:2" ht="15" customHeight="1" x14ac:dyDescent="0.25">
      <c r="A8" s="207" t="s">
        <v>2372</v>
      </c>
      <c r="B8" s="207" t="s">
        <v>2398</v>
      </c>
    </row>
    <row r="9" spans="1:2" ht="15" customHeight="1" x14ac:dyDescent="0.25">
      <c r="A9" s="207" t="s">
        <v>2374</v>
      </c>
      <c r="B9" s="207" t="s">
        <v>2417</v>
      </c>
    </row>
    <row r="10" spans="1:2" ht="15" customHeight="1" x14ac:dyDescent="0.25">
      <c r="A10" s="207" t="s">
        <v>2376</v>
      </c>
      <c r="B10" s="207" t="s">
        <v>2519</v>
      </c>
    </row>
    <row r="11" spans="1:2" ht="15" customHeight="1" x14ac:dyDescent="0.25">
      <c r="A11" s="207" t="s">
        <v>2378</v>
      </c>
      <c r="B11" s="207" t="s">
        <v>2379</v>
      </c>
    </row>
    <row r="12" spans="1:2" ht="15" customHeight="1" x14ac:dyDescent="0.25">
      <c r="A12" s="207" t="s">
        <v>2380</v>
      </c>
      <c r="B12" s="207" t="s">
        <v>2379</v>
      </c>
    </row>
    <row r="13" spans="1:2" ht="15" customHeight="1" x14ac:dyDescent="0.25">
      <c r="A13" s="207" t="s">
        <v>508</v>
      </c>
      <c r="B13" s="207" t="s">
        <v>2394</v>
      </c>
    </row>
    <row r="14" spans="1:2" ht="15" customHeight="1" x14ac:dyDescent="0.25">
      <c r="A14" s="207" t="s">
        <v>2382</v>
      </c>
      <c r="B14" s="208" t="s">
        <v>714</v>
      </c>
    </row>
    <row r="15" spans="1:2" ht="15" customHeight="1" x14ac:dyDescent="0.25">
      <c r="A15" s="207" t="s">
        <v>2520</v>
      </c>
      <c r="B15" s="207" t="s">
        <v>2387</v>
      </c>
    </row>
    <row r="16" spans="1:2" ht="15" customHeight="1" x14ac:dyDescent="0.25">
      <c r="A16" s="207" t="s">
        <v>2386</v>
      </c>
      <c r="B16" s="207" t="s">
        <v>2387</v>
      </c>
    </row>
    <row r="17" spans="1:2" ht="15" customHeight="1" x14ac:dyDescent="0.25">
      <c r="A17" s="207" t="s">
        <v>2389</v>
      </c>
      <c r="B17" s="208" t="s">
        <v>714</v>
      </c>
    </row>
    <row r="18" spans="1:2" ht="15" customHeight="1" x14ac:dyDescent="0.25">
      <c r="A18" s="207" t="s">
        <v>2390</v>
      </c>
      <c r="B18" s="208" t="s">
        <v>714</v>
      </c>
    </row>
    <row r="19" spans="1:2" ht="15" customHeight="1" x14ac:dyDescent="0.25">
      <c r="A19" s="207" t="s">
        <v>2391</v>
      </c>
      <c r="B19" s="207" t="s">
        <v>2417</v>
      </c>
    </row>
    <row r="20" spans="1:2" ht="15" customHeight="1" x14ac:dyDescent="0.25">
      <c r="A20" s="207" t="s">
        <v>2393</v>
      </c>
      <c r="B20" s="207" t="s">
        <v>2394</v>
      </c>
    </row>
    <row r="21" spans="1:2" ht="15" customHeight="1" x14ac:dyDescent="0.25">
      <c r="A21" s="207" t="s">
        <v>2395</v>
      </c>
      <c r="B21" s="208" t="s">
        <v>714</v>
      </c>
    </row>
    <row r="22" spans="1:2" ht="15" customHeight="1" x14ac:dyDescent="0.25">
      <c r="A22" s="207" t="s">
        <v>2396</v>
      </c>
      <c r="B22" s="207" t="s">
        <v>2366</v>
      </c>
    </row>
    <row r="23" spans="1:2" ht="15" customHeight="1" x14ac:dyDescent="0.25">
      <c r="A23" s="207" t="s">
        <v>2397</v>
      </c>
      <c r="B23" s="207" t="s">
        <v>2398</v>
      </c>
    </row>
    <row r="24" spans="1:2" ht="15" customHeight="1" x14ac:dyDescent="0.25">
      <c r="A24" s="207" t="s">
        <v>2521</v>
      </c>
      <c r="B24" s="207" t="s">
        <v>2398</v>
      </c>
    </row>
    <row r="25" spans="1:2" ht="15" customHeight="1" x14ac:dyDescent="0.25">
      <c r="A25" s="207" t="s">
        <v>2522</v>
      </c>
      <c r="B25" s="207" t="s">
        <v>2398</v>
      </c>
    </row>
    <row r="26" spans="1:2" ht="15" customHeight="1" x14ac:dyDescent="0.25">
      <c r="A26" s="207" t="s">
        <v>2400</v>
      </c>
      <c r="B26" s="208" t="s">
        <v>2401</v>
      </c>
    </row>
    <row r="27" spans="1:2" ht="15" customHeight="1" x14ac:dyDescent="0.25">
      <c r="A27" s="207" t="s">
        <v>2402</v>
      </c>
      <c r="B27" s="208" t="s">
        <v>714</v>
      </c>
    </row>
    <row r="28" spans="1:2" ht="15" customHeight="1" x14ac:dyDescent="0.25">
      <c r="A28" s="207" t="s">
        <v>2404</v>
      </c>
      <c r="B28" s="207" t="s">
        <v>2405</v>
      </c>
    </row>
    <row r="29" spans="1:2" ht="15" customHeight="1" x14ac:dyDescent="0.25">
      <c r="A29" s="207" t="s">
        <v>2406</v>
      </c>
      <c r="B29" s="207" t="s">
        <v>788</v>
      </c>
    </row>
    <row r="30" spans="1:2" ht="15" customHeight="1" x14ac:dyDescent="0.25">
      <c r="A30" s="207" t="s">
        <v>2407</v>
      </c>
      <c r="B30" s="207" t="s">
        <v>2398</v>
      </c>
    </row>
    <row r="31" spans="1:2" ht="15" customHeight="1" x14ac:dyDescent="0.25">
      <c r="A31" s="207" t="s">
        <v>2408</v>
      </c>
      <c r="B31" s="207" t="s">
        <v>2364</v>
      </c>
    </row>
    <row r="32" spans="1:2" ht="15" customHeight="1" x14ac:dyDescent="0.25">
      <c r="A32" s="207" t="s">
        <v>2410</v>
      </c>
      <c r="B32" s="207" t="s">
        <v>2516</v>
      </c>
    </row>
    <row r="33" spans="1:2" ht="15" customHeight="1" x14ac:dyDescent="0.25">
      <c r="A33" s="207" t="s">
        <v>2412</v>
      </c>
      <c r="B33" s="207" t="s">
        <v>2523</v>
      </c>
    </row>
    <row r="34" spans="1:2" ht="15" customHeight="1" x14ac:dyDescent="0.25">
      <c r="A34" s="207" t="s">
        <v>2414</v>
      </c>
      <c r="B34" s="207" t="s">
        <v>2364</v>
      </c>
    </row>
    <row r="35" spans="1:2" ht="15" customHeight="1" x14ac:dyDescent="0.25">
      <c r="A35" s="207" t="s">
        <v>2416</v>
      </c>
      <c r="B35" s="207" t="s">
        <v>2417</v>
      </c>
    </row>
    <row r="36" spans="1:2" ht="15" customHeight="1" x14ac:dyDescent="0.25">
      <c r="A36" s="207" t="s">
        <v>2418</v>
      </c>
      <c r="B36" s="207" t="s">
        <v>2370</v>
      </c>
    </row>
    <row r="37" spans="1:2" ht="15" customHeight="1" x14ac:dyDescent="0.25">
      <c r="A37" s="207" t="s">
        <v>2420</v>
      </c>
      <c r="B37" s="207" t="s">
        <v>2421</v>
      </c>
    </row>
    <row r="38" spans="1:2" ht="15" customHeight="1" x14ac:dyDescent="0.25">
      <c r="A38" s="207" t="s">
        <v>2423</v>
      </c>
      <c r="B38" s="207" t="s">
        <v>788</v>
      </c>
    </row>
    <row r="39" spans="1:2" ht="15" customHeight="1" x14ac:dyDescent="0.25">
      <c r="A39" s="207" t="s">
        <v>2425</v>
      </c>
      <c r="B39" s="207" t="s">
        <v>2426</v>
      </c>
    </row>
    <row r="40" spans="1:2" ht="15" customHeight="1" x14ac:dyDescent="0.25">
      <c r="A40" s="207" t="s">
        <v>2427</v>
      </c>
      <c r="B40" s="207" t="s">
        <v>2426</v>
      </c>
    </row>
    <row r="41" spans="1:2" ht="15" customHeight="1" x14ac:dyDescent="0.25">
      <c r="A41" s="207" t="s">
        <v>2428</v>
      </c>
      <c r="B41" s="207" t="s">
        <v>2370</v>
      </c>
    </row>
    <row r="42" spans="1:2" ht="15" customHeight="1" x14ac:dyDescent="0.25">
      <c r="A42" s="207" t="s">
        <v>2429</v>
      </c>
      <c r="B42" s="207" t="s">
        <v>2426</v>
      </c>
    </row>
    <row r="43" spans="1:2" ht="15" customHeight="1" x14ac:dyDescent="0.25">
      <c r="A43" s="207" t="s">
        <v>2431</v>
      </c>
      <c r="B43" s="207" t="s">
        <v>2364</v>
      </c>
    </row>
    <row r="44" spans="1:2" ht="15" customHeight="1" x14ac:dyDescent="0.25">
      <c r="A44" s="207" t="s">
        <v>2433</v>
      </c>
      <c r="B44" s="207" t="s">
        <v>2398</v>
      </c>
    </row>
    <row r="45" spans="1:2" ht="15" customHeight="1" x14ac:dyDescent="0.25">
      <c r="A45" s="207" t="s">
        <v>2435</v>
      </c>
      <c r="B45" s="207" t="s">
        <v>2516</v>
      </c>
    </row>
    <row r="46" spans="1:2" ht="15" customHeight="1" x14ac:dyDescent="0.25">
      <c r="A46" s="207" t="s">
        <v>2437</v>
      </c>
      <c r="B46" s="207" t="s">
        <v>2364</v>
      </c>
    </row>
    <row r="47" spans="1:2" ht="15" customHeight="1" x14ac:dyDescent="0.25">
      <c r="A47" s="207" t="s">
        <v>2438</v>
      </c>
      <c r="B47" s="207" t="s">
        <v>2366</v>
      </c>
    </row>
    <row r="48" spans="1:2" ht="15" customHeight="1" x14ac:dyDescent="0.25">
      <c r="A48" s="207" t="s">
        <v>2439</v>
      </c>
      <c r="B48" s="207" t="s">
        <v>2524</v>
      </c>
    </row>
    <row r="49" spans="1:2" ht="15" customHeight="1" x14ac:dyDescent="0.25">
      <c r="A49" s="207" t="s">
        <v>2441</v>
      </c>
      <c r="B49" s="208" t="s">
        <v>714</v>
      </c>
    </row>
    <row r="50" spans="1:2" ht="15" customHeight="1" x14ac:dyDescent="0.25">
      <c r="A50" s="207" t="s">
        <v>2442</v>
      </c>
      <c r="B50" s="207" t="s">
        <v>2366</v>
      </c>
    </row>
    <row r="51" spans="1:2" ht="15" customHeight="1" x14ac:dyDescent="0.25">
      <c r="A51" s="207" t="s">
        <v>2443</v>
      </c>
      <c r="B51" s="207" t="s">
        <v>2366</v>
      </c>
    </row>
    <row r="52" spans="1:2" ht="15" customHeight="1" x14ac:dyDescent="0.25">
      <c r="A52" s="207" t="s">
        <v>2445</v>
      </c>
      <c r="B52" s="207" t="s">
        <v>2366</v>
      </c>
    </row>
    <row r="53" spans="1:2" ht="15" customHeight="1" x14ac:dyDescent="0.25">
      <c r="A53" s="207" t="s">
        <v>2447</v>
      </c>
      <c r="B53" s="207" t="s">
        <v>2366</v>
      </c>
    </row>
    <row r="54" spans="1:2" ht="15" customHeight="1" x14ac:dyDescent="0.25">
      <c r="A54" s="207" t="s">
        <v>2449</v>
      </c>
      <c r="B54" s="207" t="s">
        <v>2366</v>
      </c>
    </row>
    <row r="55" spans="1:2" ht="15" customHeight="1" x14ac:dyDescent="0.25">
      <c r="A55" s="207" t="s">
        <v>2450</v>
      </c>
      <c r="B55" s="207" t="s">
        <v>2387</v>
      </c>
    </row>
    <row r="56" spans="1:2" ht="15" customHeight="1" x14ac:dyDescent="0.25">
      <c r="A56" s="207" t="s">
        <v>2452</v>
      </c>
      <c r="B56" s="207" t="s">
        <v>2398</v>
      </c>
    </row>
    <row r="57" spans="1:2" ht="15" customHeight="1" x14ac:dyDescent="0.25">
      <c r="A57" s="207" t="s">
        <v>2453</v>
      </c>
      <c r="B57" s="207" t="s">
        <v>2524</v>
      </c>
    </row>
    <row r="58" spans="1:2" ht="15" customHeight="1" x14ac:dyDescent="0.25">
      <c r="A58" s="207" t="s">
        <v>2454</v>
      </c>
      <c r="B58" s="207" t="s">
        <v>2426</v>
      </c>
    </row>
    <row r="59" spans="1:2" ht="15" customHeight="1" x14ac:dyDescent="0.25">
      <c r="A59" s="207" t="s">
        <v>2455</v>
      </c>
      <c r="B59" s="207" t="s">
        <v>2398</v>
      </c>
    </row>
    <row r="60" spans="1:2" ht="15" customHeight="1" x14ac:dyDescent="0.25">
      <c r="A60" s="207" t="s">
        <v>2457</v>
      </c>
      <c r="B60" s="207" t="s">
        <v>2426</v>
      </c>
    </row>
    <row r="61" spans="1:2" ht="15" customHeight="1" x14ac:dyDescent="0.25">
      <c r="A61" s="207" t="s">
        <v>2459</v>
      </c>
      <c r="B61" s="207" t="s">
        <v>2426</v>
      </c>
    </row>
    <row r="62" spans="1:2" ht="15" customHeight="1" x14ac:dyDescent="0.25">
      <c r="A62" s="207" t="s">
        <v>2460</v>
      </c>
      <c r="B62" s="208" t="s">
        <v>714</v>
      </c>
    </row>
    <row r="63" spans="1:2" ht="15" customHeight="1" x14ac:dyDescent="0.25">
      <c r="A63" s="207" t="s">
        <v>2462</v>
      </c>
      <c r="B63" s="208" t="s">
        <v>714</v>
      </c>
    </row>
    <row r="64" spans="1:2" ht="15" customHeight="1" x14ac:dyDescent="0.25">
      <c r="A64" s="207" t="s">
        <v>1190</v>
      </c>
      <c r="B64" s="208" t="s">
        <v>714</v>
      </c>
    </row>
    <row r="65" spans="1:2" ht="15" customHeight="1" x14ac:dyDescent="0.25">
      <c r="A65" s="207" t="s">
        <v>2463</v>
      </c>
      <c r="B65" s="208" t="s">
        <v>714</v>
      </c>
    </row>
    <row r="66" spans="1:2" ht="15" customHeight="1" x14ac:dyDescent="0.25">
      <c r="A66" s="207" t="s">
        <v>2464</v>
      </c>
      <c r="B66" s="207" t="s">
        <v>2426</v>
      </c>
    </row>
    <row r="67" spans="1:2" ht="15" customHeight="1" x14ac:dyDescent="0.25">
      <c r="A67" s="207" t="s">
        <v>2466</v>
      </c>
      <c r="B67" s="207" t="s">
        <v>2366</v>
      </c>
    </row>
    <row r="68" spans="1:2" ht="15" customHeight="1" x14ac:dyDescent="0.25">
      <c r="A68" s="207" t="s">
        <v>2467</v>
      </c>
      <c r="B68" s="207" t="s">
        <v>2417</v>
      </c>
    </row>
    <row r="69" spans="1:2" ht="15" customHeight="1" x14ac:dyDescent="0.25">
      <c r="A69" s="207" t="s">
        <v>2469</v>
      </c>
      <c r="B69" s="207" t="s">
        <v>2525</v>
      </c>
    </row>
    <row r="70" spans="1:2" ht="15" customHeight="1" x14ac:dyDescent="0.25">
      <c r="A70" s="207" t="s">
        <v>2471</v>
      </c>
      <c r="B70" s="207" t="s">
        <v>2364</v>
      </c>
    </row>
    <row r="71" spans="1:2" ht="15" customHeight="1" x14ac:dyDescent="0.25">
      <c r="A71" s="207" t="s">
        <v>1926</v>
      </c>
      <c r="B71" s="208" t="s">
        <v>714</v>
      </c>
    </row>
    <row r="72" spans="1:2" ht="15" customHeight="1" x14ac:dyDescent="0.25">
      <c r="A72" s="207" t="s">
        <v>2473</v>
      </c>
      <c r="B72" s="207" t="s">
        <v>2387</v>
      </c>
    </row>
    <row r="73" spans="1:2" ht="15" customHeight="1" x14ac:dyDescent="0.25">
      <c r="A73" s="207" t="s">
        <v>2475</v>
      </c>
      <c r="B73" s="207" t="s">
        <v>2387</v>
      </c>
    </row>
    <row r="74" spans="1:2" ht="15" customHeight="1" x14ac:dyDescent="0.25">
      <c r="A74" s="207" t="s">
        <v>764</v>
      </c>
      <c r="B74" s="208" t="s">
        <v>714</v>
      </c>
    </row>
    <row r="75" spans="1:2" ht="15" customHeight="1" x14ac:dyDescent="0.25">
      <c r="A75" s="207" t="s">
        <v>2477</v>
      </c>
      <c r="B75" s="207" t="s">
        <v>2379</v>
      </c>
    </row>
    <row r="76" spans="1:2" ht="15" customHeight="1" x14ac:dyDescent="0.25">
      <c r="A76" s="207" t="s">
        <v>2479</v>
      </c>
      <c r="B76" s="207" t="s">
        <v>2394</v>
      </c>
    </row>
    <row r="77" spans="1:2" ht="15" customHeight="1" x14ac:dyDescent="0.25">
      <c r="A77" s="207" t="s">
        <v>2480</v>
      </c>
      <c r="B77" s="207" t="s">
        <v>2364</v>
      </c>
    </row>
    <row r="78" spans="1:2" ht="15" customHeight="1" x14ac:dyDescent="0.25">
      <c r="A78" s="207" t="s">
        <v>2481</v>
      </c>
      <c r="B78" s="207" t="s">
        <v>2482</v>
      </c>
    </row>
    <row r="79" spans="1:2" ht="15" customHeight="1" x14ac:dyDescent="0.25">
      <c r="A79" s="207" t="s">
        <v>2483</v>
      </c>
      <c r="B79" s="207" t="s">
        <v>2421</v>
      </c>
    </row>
    <row r="80" spans="1:2" ht="15" customHeight="1" x14ac:dyDescent="0.25">
      <c r="A80" s="207" t="s">
        <v>2484</v>
      </c>
      <c r="B80" s="208" t="s">
        <v>714</v>
      </c>
    </row>
    <row r="81" spans="1:2" ht="15" customHeight="1" x14ac:dyDescent="0.25">
      <c r="A81" s="207" t="s">
        <v>2486</v>
      </c>
      <c r="B81" s="207" t="s">
        <v>2482</v>
      </c>
    </row>
    <row r="82" spans="1:2" ht="15" customHeight="1" x14ac:dyDescent="0.25">
      <c r="A82" s="207" t="s">
        <v>1689</v>
      </c>
      <c r="B82" s="207" t="s">
        <v>2394</v>
      </c>
    </row>
    <row r="83" spans="1:2" ht="15" customHeight="1" x14ac:dyDescent="0.25">
      <c r="A83" s="207" t="s">
        <v>2531</v>
      </c>
      <c r="B83" s="207" t="s">
        <v>2394</v>
      </c>
    </row>
    <row r="84" spans="1:2" ht="15" customHeight="1" x14ac:dyDescent="0.25">
      <c r="A84" s="207" t="s">
        <v>2532</v>
      </c>
      <c r="B84" s="207" t="s">
        <v>2394</v>
      </c>
    </row>
    <row r="85" spans="1:2" ht="15" customHeight="1" x14ac:dyDescent="0.25">
      <c r="A85" s="207" t="s">
        <v>2533</v>
      </c>
      <c r="B85" s="207" t="s">
        <v>2394</v>
      </c>
    </row>
    <row r="86" spans="1:2" ht="15" customHeight="1" x14ac:dyDescent="0.25">
      <c r="A86" s="207" t="s">
        <v>2488</v>
      </c>
      <c r="B86" s="207" t="s">
        <v>2398</v>
      </c>
    </row>
    <row r="87" spans="1:2" ht="15" customHeight="1" x14ac:dyDescent="0.25">
      <c r="A87" s="207" t="s">
        <v>2490</v>
      </c>
      <c r="B87" s="207" t="s">
        <v>2398</v>
      </c>
    </row>
    <row r="88" spans="1:2" ht="15" customHeight="1" x14ac:dyDescent="0.25">
      <c r="A88" s="207" t="s">
        <v>2491</v>
      </c>
      <c r="B88" s="207" t="s">
        <v>2398</v>
      </c>
    </row>
    <row r="89" spans="1:2" ht="15" customHeight="1" x14ac:dyDescent="0.25">
      <c r="A89" s="207" t="s">
        <v>2493</v>
      </c>
      <c r="B89" s="207" t="s">
        <v>2398</v>
      </c>
    </row>
    <row r="90" spans="1:2" ht="15" customHeight="1" x14ac:dyDescent="0.25">
      <c r="A90" s="207" t="s">
        <v>2495</v>
      </c>
      <c r="B90" s="207" t="s">
        <v>2527</v>
      </c>
    </row>
    <row r="91" spans="1:2" ht="15" customHeight="1" x14ac:dyDescent="0.25">
      <c r="A91" s="207" t="s">
        <v>2497</v>
      </c>
      <c r="B91" s="207" t="s">
        <v>2417</v>
      </c>
    </row>
    <row r="92" spans="1:2" ht="15" customHeight="1" x14ac:dyDescent="0.25">
      <c r="A92" s="207" t="s">
        <v>2499</v>
      </c>
      <c r="B92" s="207" t="s">
        <v>2417</v>
      </c>
    </row>
    <row r="93" spans="1:2" ht="15" customHeight="1" x14ac:dyDescent="0.25">
      <c r="A93" s="207" t="s">
        <v>2501</v>
      </c>
      <c r="B93" s="207" t="s">
        <v>2398</v>
      </c>
    </row>
    <row r="94" spans="1:2" ht="15" customHeight="1" x14ac:dyDescent="0.25">
      <c r="A94" s="207" t="s">
        <v>2502</v>
      </c>
      <c r="B94" s="207" t="s">
        <v>2364</v>
      </c>
    </row>
    <row r="95" spans="1:2" ht="15" customHeight="1" x14ac:dyDescent="0.25">
      <c r="A95" s="207" t="s">
        <v>2503</v>
      </c>
      <c r="B95" s="207" t="s">
        <v>2405</v>
      </c>
    </row>
    <row r="96" spans="1:2" ht="15" customHeight="1" x14ac:dyDescent="0.25">
      <c r="A96" s="207" t="s">
        <v>2504</v>
      </c>
      <c r="B96" s="207" t="s">
        <v>2398</v>
      </c>
    </row>
    <row r="97" spans="1:2" ht="15" customHeight="1" x14ac:dyDescent="0.25">
      <c r="A97" s="207" t="s">
        <v>2506</v>
      </c>
      <c r="B97" s="207" t="s">
        <v>2426</v>
      </c>
    </row>
    <row r="98" spans="1:2" ht="15" customHeight="1" x14ac:dyDescent="0.25">
      <c r="A98" s="207" t="s">
        <v>2507</v>
      </c>
      <c r="B98" s="207" t="s">
        <v>2426</v>
      </c>
    </row>
    <row r="99" spans="1:2" ht="15" customHeight="1" x14ac:dyDescent="0.25">
      <c r="A99" s="207" t="s">
        <v>2528</v>
      </c>
      <c r="B99" s="207" t="s">
        <v>2387</v>
      </c>
    </row>
    <row r="100" spans="1:2" ht="15" customHeight="1" x14ac:dyDescent="0.25">
      <c r="A100" s="207" t="s">
        <v>2529</v>
      </c>
      <c r="B100" s="207" t="s">
        <v>2387</v>
      </c>
    </row>
    <row r="101" spans="1:2" ht="15" customHeight="1" x14ac:dyDescent="0.25">
      <c r="A101" s="207" t="s">
        <v>2510</v>
      </c>
      <c r="B101" s="207" t="s">
        <v>2364</v>
      </c>
    </row>
    <row r="102" spans="1:2" ht="15" customHeight="1" x14ac:dyDescent="0.25">
      <c r="A102" s="207" t="s">
        <v>2512</v>
      </c>
      <c r="B102" s="207" t="s">
        <v>2364</v>
      </c>
    </row>
    <row r="103" spans="1:2" ht="15" customHeight="1" x14ac:dyDescent="0.25">
      <c r="A103" s="207" t="s">
        <v>2514</v>
      </c>
      <c r="B103" s="207" t="s">
        <v>2387</v>
      </c>
    </row>
    <row r="104" spans="1:2" ht="15" customHeight="1" x14ac:dyDescent="0.25">
      <c r="A104" s="207" t="s">
        <v>2515</v>
      </c>
      <c r="B104" s="207" t="s">
        <v>2516</v>
      </c>
    </row>
    <row r="105" spans="1:2" ht="15" customHeight="1" x14ac:dyDescent="0.25">
      <c r="A105" s="207" t="s">
        <v>2517</v>
      </c>
      <c r="B105" s="207" t="s">
        <v>2379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2FB7-2F7C-44A4-A095-041E952A1714}">
  <dimension ref="A1:B107"/>
  <sheetViews>
    <sheetView workbookViewId="0">
      <selection sqref="A1:XFD1048576"/>
    </sheetView>
  </sheetViews>
  <sheetFormatPr defaultRowHeight="15" customHeight="1" x14ac:dyDescent="0.25"/>
  <cols>
    <col min="1" max="1" width="27.28515625" customWidth="1"/>
    <col min="2" max="2" width="26" customWidth="1"/>
  </cols>
  <sheetData>
    <row r="1" spans="1:2" ht="15" customHeight="1" x14ac:dyDescent="0.25">
      <c r="A1" s="206" t="s">
        <v>2518</v>
      </c>
      <c r="B1" s="206" t="s">
        <v>2362</v>
      </c>
    </row>
    <row r="2" spans="1:2" ht="15" customHeight="1" x14ac:dyDescent="0.25">
      <c r="A2" s="207" t="s">
        <v>2363</v>
      </c>
      <c r="B2" s="207" t="s">
        <v>2364</v>
      </c>
    </row>
    <row r="3" spans="1:2" ht="15" customHeight="1" x14ac:dyDescent="0.25">
      <c r="A3" s="207" t="s">
        <v>2365</v>
      </c>
      <c r="B3" s="207" t="s">
        <v>2366</v>
      </c>
    </row>
    <row r="4" spans="1:2" ht="15" customHeight="1" x14ac:dyDescent="0.25">
      <c r="A4" s="207" t="s">
        <v>2367</v>
      </c>
      <c r="B4" s="207" t="s">
        <v>2364</v>
      </c>
    </row>
    <row r="5" spans="1:2" ht="15" customHeight="1" x14ac:dyDescent="0.25">
      <c r="A5" s="207" t="s">
        <v>2368</v>
      </c>
      <c r="B5" s="207" t="s">
        <v>2364</v>
      </c>
    </row>
    <row r="6" spans="1:2" ht="15" customHeight="1" x14ac:dyDescent="0.25">
      <c r="A6" s="207" t="s">
        <v>2369</v>
      </c>
      <c r="B6" s="207" t="s">
        <v>2370</v>
      </c>
    </row>
    <row r="7" spans="1:2" ht="15" customHeight="1" x14ac:dyDescent="0.25">
      <c r="A7" s="207" t="s">
        <v>2371</v>
      </c>
      <c r="B7" s="208" t="s">
        <v>714</v>
      </c>
    </row>
    <row r="8" spans="1:2" ht="15" customHeight="1" x14ac:dyDescent="0.25">
      <c r="A8" s="207" t="s">
        <v>2372</v>
      </c>
      <c r="B8" s="207" t="s">
        <v>2398</v>
      </c>
    </row>
    <row r="9" spans="1:2" ht="15" customHeight="1" x14ac:dyDescent="0.25">
      <c r="A9" s="207" t="s">
        <v>2374</v>
      </c>
      <c r="B9" s="207" t="s">
        <v>2417</v>
      </c>
    </row>
    <row r="10" spans="1:2" ht="15" customHeight="1" x14ac:dyDescent="0.25">
      <c r="A10" s="207" t="s">
        <v>2376</v>
      </c>
      <c r="B10" s="207" t="s">
        <v>2519</v>
      </c>
    </row>
    <row r="11" spans="1:2" ht="15" customHeight="1" x14ac:dyDescent="0.25">
      <c r="A11" s="207" t="s">
        <v>2378</v>
      </c>
      <c r="B11" s="207" t="s">
        <v>2379</v>
      </c>
    </row>
    <row r="12" spans="1:2" ht="15" customHeight="1" x14ac:dyDescent="0.25">
      <c r="A12" s="207" t="s">
        <v>2380</v>
      </c>
      <c r="B12" s="207" t="s">
        <v>2379</v>
      </c>
    </row>
    <row r="13" spans="1:2" ht="15" customHeight="1" x14ac:dyDescent="0.25">
      <c r="A13" s="207" t="s">
        <v>508</v>
      </c>
      <c r="B13" s="207" t="s">
        <v>2394</v>
      </c>
    </row>
    <row r="14" spans="1:2" ht="15" customHeight="1" x14ac:dyDescent="0.25">
      <c r="A14" s="207" t="s">
        <v>2382</v>
      </c>
      <c r="B14" s="208" t="s">
        <v>714</v>
      </c>
    </row>
    <row r="15" spans="1:2" ht="15" customHeight="1" x14ac:dyDescent="0.25">
      <c r="A15" s="207" t="s">
        <v>2520</v>
      </c>
      <c r="B15" s="207" t="s">
        <v>2387</v>
      </c>
    </row>
    <row r="16" spans="1:2" ht="15" customHeight="1" x14ac:dyDescent="0.25">
      <c r="A16" s="207" t="s">
        <v>2386</v>
      </c>
      <c r="B16" s="207" t="s">
        <v>2387</v>
      </c>
    </row>
    <row r="17" spans="1:2" ht="15" customHeight="1" x14ac:dyDescent="0.25">
      <c r="A17" s="207" t="s">
        <v>918</v>
      </c>
      <c r="B17" s="207" t="s">
        <v>2387</v>
      </c>
    </row>
    <row r="18" spans="1:2" ht="15" customHeight="1" x14ac:dyDescent="0.25">
      <c r="A18" s="207" t="s">
        <v>2389</v>
      </c>
      <c r="B18" s="208" t="s">
        <v>714</v>
      </c>
    </row>
    <row r="19" spans="1:2" ht="15" customHeight="1" x14ac:dyDescent="0.25">
      <c r="A19" s="207" t="s">
        <v>2390</v>
      </c>
      <c r="B19" s="208" t="s">
        <v>714</v>
      </c>
    </row>
    <row r="20" spans="1:2" ht="15" customHeight="1" x14ac:dyDescent="0.25">
      <c r="A20" s="207" t="s">
        <v>2391</v>
      </c>
      <c r="B20" s="207" t="s">
        <v>2417</v>
      </c>
    </row>
    <row r="21" spans="1:2" ht="15" customHeight="1" x14ac:dyDescent="0.25">
      <c r="A21" s="207" t="s">
        <v>2393</v>
      </c>
      <c r="B21" s="207" t="s">
        <v>2394</v>
      </c>
    </row>
    <row r="22" spans="1:2" ht="15" customHeight="1" x14ac:dyDescent="0.25">
      <c r="A22" s="207" t="s">
        <v>2395</v>
      </c>
      <c r="B22" s="208" t="s">
        <v>714</v>
      </c>
    </row>
    <row r="23" spans="1:2" ht="15" customHeight="1" x14ac:dyDescent="0.25">
      <c r="A23" s="207" t="s">
        <v>2396</v>
      </c>
      <c r="B23" s="207" t="s">
        <v>2366</v>
      </c>
    </row>
    <row r="24" spans="1:2" ht="15" customHeight="1" x14ac:dyDescent="0.25">
      <c r="A24" s="207" t="s">
        <v>2397</v>
      </c>
      <c r="B24" s="207" t="s">
        <v>2398</v>
      </c>
    </row>
    <row r="25" spans="1:2" ht="15" customHeight="1" x14ac:dyDescent="0.25">
      <c r="A25" s="207" t="s">
        <v>2521</v>
      </c>
      <c r="B25" s="207" t="s">
        <v>2398</v>
      </c>
    </row>
    <row r="26" spans="1:2" ht="15" customHeight="1" x14ac:dyDescent="0.25">
      <c r="A26" s="207" t="s">
        <v>2522</v>
      </c>
      <c r="B26" s="207" t="s">
        <v>2398</v>
      </c>
    </row>
    <row r="27" spans="1:2" ht="15" customHeight="1" x14ac:dyDescent="0.25">
      <c r="A27" s="207" t="s">
        <v>2400</v>
      </c>
      <c r="B27" s="208" t="s">
        <v>2401</v>
      </c>
    </row>
    <row r="28" spans="1:2" ht="15" customHeight="1" x14ac:dyDescent="0.25">
      <c r="A28" s="207" t="s">
        <v>2402</v>
      </c>
      <c r="B28" s="208" t="s">
        <v>714</v>
      </c>
    </row>
    <row r="29" spans="1:2" ht="15" customHeight="1" x14ac:dyDescent="0.25">
      <c r="A29" s="207" t="s">
        <v>2404</v>
      </c>
      <c r="B29" s="207" t="s">
        <v>2405</v>
      </c>
    </row>
    <row r="30" spans="1:2" ht="15" customHeight="1" x14ac:dyDescent="0.25">
      <c r="A30" s="207" t="s">
        <v>2406</v>
      </c>
      <c r="B30" s="207" t="s">
        <v>788</v>
      </c>
    </row>
    <row r="31" spans="1:2" ht="15" customHeight="1" x14ac:dyDescent="0.25">
      <c r="A31" s="207" t="s">
        <v>2407</v>
      </c>
      <c r="B31" s="207" t="s">
        <v>2398</v>
      </c>
    </row>
    <row r="32" spans="1:2" ht="15" customHeight="1" x14ac:dyDescent="0.25">
      <c r="A32" s="207" t="s">
        <v>2408</v>
      </c>
      <c r="B32" s="207" t="s">
        <v>2364</v>
      </c>
    </row>
    <row r="33" spans="1:2" ht="15" customHeight="1" x14ac:dyDescent="0.25">
      <c r="A33" s="207" t="s">
        <v>2410</v>
      </c>
      <c r="B33" s="207" t="s">
        <v>2516</v>
      </c>
    </row>
    <row r="34" spans="1:2" ht="15" customHeight="1" x14ac:dyDescent="0.25">
      <c r="A34" s="207" t="s">
        <v>2412</v>
      </c>
      <c r="B34" s="207" t="s">
        <v>2523</v>
      </c>
    </row>
    <row r="35" spans="1:2" ht="15" customHeight="1" x14ac:dyDescent="0.25">
      <c r="A35" s="207" t="s">
        <v>2414</v>
      </c>
      <c r="B35" s="207" t="s">
        <v>2364</v>
      </c>
    </row>
    <row r="36" spans="1:2" ht="15" customHeight="1" x14ac:dyDescent="0.25">
      <c r="A36" s="207" t="s">
        <v>2416</v>
      </c>
      <c r="B36" s="207" t="s">
        <v>2417</v>
      </c>
    </row>
    <row r="37" spans="1:2" ht="15" customHeight="1" x14ac:dyDescent="0.25">
      <c r="A37" s="207" t="s">
        <v>2418</v>
      </c>
      <c r="B37" s="207" t="s">
        <v>2370</v>
      </c>
    </row>
    <row r="38" spans="1:2" ht="15" customHeight="1" x14ac:dyDescent="0.25">
      <c r="A38" s="207" t="s">
        <v>2420</v>
      </c>
      <c r="B38" s="207" t="s">
        <v>2421</v>
      </c>
    </row>
    <row r="39" spans="1:2" ht="15" customHeight="1" x14ac:dyDescent="0.25">
      <c r="A39" s="207" t="s">
        <v>1879</v>
      </c>
      <c r="B39" s="207" t="s">
        <v>2426</v>
      </c>
    </row>
    <row r="40" spans="1:2" ht="15" customHeight="1" x14ac:dyDescent="0.25">
      <c r="A40" s="207" t="s">
        <v>2423</v>
      </c>
      <c r="B40" s="207" t="s">
        <v>788</v>
      </c>
    </row>
    <row r="41" spans="1:2" ht="15" customHeight="1" x14ac:dyDescent="0.25">
      <c r="A41" s="207" t="s">
        <v>2425</v>
      </c>
      <c r="B41" s="207" t="s">
        <v>2426</v>
      </c>
    </row>
    <row r="42" spans="1:2" ht="15" customHeight="1" x14ac:dyDescent="0.25">
      <c r="A42" s="207" t="s">
        <v>2427</v>
      </c>
      <c r="B42" s="207" t="s">
        <v>2426</v>
      </c>
    </row>
    <row r="43" spans="1:2" ht="15" customHeight="1" x14ac:dyDescent="0.25">
      <c r="A43" s="207" t="s">
        <v>2428</v>
      </c>
      <c r="B43" s="207" t="s">
        <v>2370</v>
      </c>
    </row>
    <row r="44" spans="1:2" ht="15" customHeight="1" x14ac:dyDescent="0.25">
      <c r="A44" s="207" t="s">
        <v>2429</v>
      </c>
      <c r="B44" s="207" t="s">
        <v>2426</v>
      </c>
    </row>
    <row r="45" spans="1:2" ht="15" customHeight="1" x14ac:dyDescent="0.25">
      <c r="A45" s="207" t="s">
        <v>2431</v>
      </c>
      <c r="B45" s="207" t="s">
        <v>2364</v>
      </c>
    </row>
    <row r="46" spans="1:2" ht="15" customHeight="1" x14ac:dyDescent="0.25">
      <c r="A46" s="207" t="s">
        <v>2433</v>
      </c>
      <c r="B46" s="207" t="s">
        <v>2398</v>
      </c>
    </row>
    <row r="47" spans="1:2" ht="15" customHeight="1" x14ac:dyDescent="0.25">
      <c r="A47" s="207" t="s">
        <v>2435</v>
      </c>
      <c r="B47" s="207" t="s">
        <v>2516</v>
      </c>
    </row>
    <row r="48" spans="1:2" ht="15" customHeight="1" x14ac:dyDescent="0.25">
      <c r="A48" s="207" t="s">
        <v>2437</v>
      </c>
      <c r="B48" s="207" t="s">
        <v>2364</v>
      </c>
    </row>
    <row r="49" spans="1:2" ht="15" customHeight="1" x14ac:dyDescent="0.25">
      <c r="A49" s="207" t="s">
        <v>2438</v>
      </c>
      <c r="B49" s="207" t="s">
        <v>2366</v>
      </c>
    </row>
    <row r="50" spans="1:2" ht="15" customHeight="1" x14ac:dyDescent="0.25">
      <c r="A50" s="207" t="s">
        <v>2439</v>
      </c>
      <c r="B50" s="207" t="s">
        <v>2524</v>
      </c>
    </row>
    <row r="51" spans="1:2" ht="15" customHeight="1" x14ac:dyDescent="0.25">
      <c r="A51" s="207" t="s">
        <v>2441</v>
      </c>
      <c r="B51" s="208" t="s">
        <v>714</v>
      </c>
    </row>
    <row r="52" spans="1:2" ht="15" customHeight="1" x14ac:dyDescent="0.25">
      <c r="A52" s="207" t="s">
        <v>2442</v>
      </c>
      <c r="B52" s="207" t="s">
        <v>2366</v>
      </c>
    </row>
    <row r="53" spans="1:2" ht="15" customHeight="1" x14ac:dyDescent="0.25">
      <c r="A53" s="207" t="s">
        <v>2443</v>
      </c>
      <c r="B53" s="207" t="s">
        <v>2366</v>
      </c>
    </row>
    <row r="54" spans="1:2" ht="15" customHeight="1" x14ac:dyDescent="0.25">
      <c r="A54" s="207" t="s">
        <v>2445</v>
      </c>
      <c r="B54" s="207" t="s">
        <v>2366</v>
      </c>
    </row>
    <row r="55" spans="1:2" ht="15" customHeight="1" x14ac:dyDescent="0.25">
      <c r="A55" s="207" t="s">
        <v>2447</v>
      </c>
      <c r="B55" s="207" t="s">
        <v>2366</v>
      </c>
    </row>
    <row r="56" spans="1:2" ht="15" customHeight="1" x14ac:dyDescent="0.25">
      <c r="A56" s="207" t="s">
        <v>2449</v>
      </c>
      <c r="B56" s="207" t="s">
        <v>2366</v>
      </c>
    </row>
    <row r="57" spans="1:2" ht="15" customHeight="1" x14ac:dyDescent="0.25">
      <c r="A57" s="207" t="s">
        <v>2450</v>
      </c>
      <c r="B57" s="207" t="s">
        <v>2387</v>
      </c>
    </row>
    <row r="58" spans="1:2" ht="15" customHeight="1" x14ac:dyDescent="0.25">
      <c r="A58" s="207" t="s">
        <v>2452</v>
      </c>
      <c r="B58" s="207" t="s">
        <v>2398</v>
      </c>
    </row>
    <row r="59" spans="1:2" ht="15" customHeight="1" x14ac:dyDescent="0.25">
      <c r="A59" s="207" t="s">
        <v>2453</v>
      </c>
      <c r="B59" s="207" t="s">
        <v>2524</v>
      </c>
    </row>
    <row r="60" spans="1:2" ht="15" customHeight="1" x14ac:dyDescent="0.25">
      <c r="A60" s="207" t="s">
        <v>2454</v>
      </c>
      <c r="B60" s="207" t="s">
        <v>2426</v>
      </c>
    </row>
    <row r="61" spans="1:2" ht="15" customHeight="1" x14ac:dyDescent="0.25">
      <c r="A61" s="207" t="s">
        <v>2455</v>
      </c>
      <c r="B61" s="207" t="s">
        <v>2398</v>
      </c>
    </row>
    <row r="62" spans="1:2" ht="15" customHeight="1" x14ac:dyDescent="0.25">
      <c r="A62" s="207" t="s">
        <v>2457</v>
      </c>
      <c r="B62" s="207" t="s">
        <v>2426</v>
      </c>
    </row>
    <row r="63" spans="1:2" ht="15" customHeight="1" x14ac:dyDescent="0.25">
      <c r="A63" s="207" t="s">
        <v>2459</v>
      </c>
      <c r="B63" s="207" t="s">
        <v>2426</v>
      </c>
    </row>
    <row r="64" spans="1:2" ht="15" customHeight="1" x14ac:dyDescent="0.25">
      <c r="A64" s="207" t="s">
        <v>2460</v>
      </c>
      <c r="B64" s="208" t="s">
        <v>714</v>
      </c>
    </row>
    <row r="65" spans="1:2" ht="15" customHeight="1" x14ac:dyDescent="0.25">
      <c r="A65" s="207" t="s">
        <v>2462</v>
      </c>
      <c r="B65" s="208" t="s">
        <v>714</v>
      </c>
    </row>
    <row r="66" spans="1:2" ht="15" customHeight="1" x14ac:dyDescent="0.25">
      <c r="A66" s="207" t="s">
        <v>1190</v>
      </c>
      <c r="B66" s="208" t="s">
        <v>714</v>
      </c>
    </row>
    <row r="67" spans="1:2" ht="15" customHeight="1" x14ac:dyDescent="0.25">
      <c r="A67" s="207" t="s">
        <v>2463</v>
      </c>
      <c r="B67" s="208" t="s">
        <v>714</v>
      </c>
    </row>
    <row r="68" spans="1:2" ht="15" customHeight="1" x14ac:dyDescent="0.25">
      <c r="A68" s="207" t="s">
        <v>2464</v>
      </c>
      <c r="B68" s="207" t="s">
        <v>2426</v>
      </c>
    </row>
    <row r="69" spans="1:2" ht="15" customHeight="1" x14ac:dyDescent="0.25">
      <c r="A69" s="207" t="s">
        <v>2466</v>
      </c>
      <c r="B69" s="207" t="s">
        <v>2366</v>
      </c>
    </row>
    <row r="70" spans="1:2" ht="15" customHeight="1" x14ac:dyDescent="0.25">
      <c r="A70" s="207" t="s">
        <v>2467</v>
      </c>
      <c r="B70" s="207" t="s">
        <v>2417</v>
      </c>
    </row>
    <row r="71" spans="1:2" ht="15" customHeight="1" x14ac:dyDescent="0.25">
      <c r="A71" s="207" t="s">
        <v>2469</v>
      </c>
      <c r="B71" s="207" t="s">
        <v>2525</v>
      </c>
    </row>
    <row r="72" spans="1:2" ht="15" customHeight="1" x14ac:dyDescent="0.25">
      <c r="A72" s="207" t="s">
        <v>2471</v>
      </c>
      <c r="B72" s="207" t="s">
        <v>2364</v>
      </c>
    </row>
    <row r="73" spans="1:2" ht="15" customHeight="1" x14ac:dyDescent="0.25">
      <c r="A73" s="207" t="s">
        <v>1926</v>
      </c>
      <c r="B73" s="208" t="s">
        <v>714</v>
      </c>
    </row>
    <row r="74" spans="1:2" ht="15" customHeight="1" x14ac:dyDescent="0.25">
      <c r="A74" s="207" t="s">
        <v>2473</v>
      </c>
      <c r="B74" s="207" t="s">
        <v>2387</v>
      </c>
    </row>
    <row r="75" spans="1:2" ht="15" customHeight="1" x14ac:dyDescent="0.25">
      <c r="A75" s="207" t="s">
        <v>2475</v>
      </c>
      <c r="B75" s="207" t="s">
        <v>2387</v>
      </c>
    </row>
    <row r="76" spans="1:2" ht="15" customHeight="1" x14ac:dyDescent="0.25">
      <c r="A76" s="207" t="s">
        <v>764</v>
      </c>
      <c r="B76" s="208" t="s">
        <v>714</v>
      </c>
    </row>
    <row r="77" spans="1:2" ht="15" customHeight="1" x14ac:dyDescent="0.25">
      <c r="A77" s="207" t="s">
        <v>2477</v>
      </c>
      <c r="B77" s="207" t="s">
        <v>2379</v>
      </c>
    </row>
    <row r="78" spans="1:2" ht="15" customHeight="1" x14ac:dyDescent="0.25">
      <c r="A78" s="207" t="s">
        <v>2479</v>
      </c>
      <c r="B78" s="207" t="s">
        <v>2394</v>
      </c>
    </row>
    <row r="79" spans="1:2" ht="15" customHeight="1" x14ac:dyDescent="0.25">
      <c r="A79" s="207" t="s">
        <v>2480</v>
      </c>
      <c r="B79" s="207" t="s">
        <v>2364</v>
      </c>
    </row>
    <row r="80" spans="1:2" ht="15" customHeight="1" x14ac:dyDescent="0.25">
      <c r="A80" s="207" t="s">
        <v>2481</v>
      </c>
      <c r="B80" s="207" t="s">
        <v>2482</v>
      </c>
    </row>
    <row r="81" spans="1:2" ht="15" customHeight="1" x14ac:dyDescent="0.25">
      <c r="A81" s="207" t="s">
        <v>2483</v>
      </c>
      <c r="B81" s="207" t="s">
        <v>2421</v>
      </c>
    </row>
    <row r="82" spans="1:2" ht="15" customHeight="1" x14ac:dyDescent="0.25">
      <c r="A82" s="207" t="s">
        <v>2484</v>
      </c>
      <c r="B82" s="208" t="s">
        <v>714</v>
      </c>
    </row>
    <row r="83" spans="1:2" ht="15" customHeight="1" x14ac:dyDescent="0.25">
      <c r="A83" s="207" t="s">
        <v>2486</v>
      </c>
      <c r="B83" s="207" t="s">
        <v>2482</v>
      </c>
    </row>
    <row r="84" spans="1:2" ht="15" customHeight="1" x14ac:dyDescent="0.25">
      <c r="A84" s="207" t="s">
        <v>1689</v>
      </c>
      <c r="B84" s="207" t="s">
        <v>2394</v>
      </c>
    </row>
    <row r="85" spans="1:2" ht="15" customHeight="1" x14ac:dyDescent="0.25">
      <c r="A85" s="207" t="s">
        <v>2526</v>
      </c>
      <c r="B85" s="207" t="s">
        <v>2394</v>
      </c>
    </row>
    <row r="86" spans="1:2" ht="15" customHeight="1" x14ac:dyDescent="0.25">
      <c r="A86" s="207" t="s">
        <v>2526</v>
      </c>
      <c r="B86" s="207" t="s">
        <v>2394</v>
      </c>
    </row>
    <row r="87" spans="1:2" ht="15" customHeight="1" x14ac:dyDescent="0.25">
      <c r="A87" s="207" t="s">
        <v>2526</v>
      </c>
      <c r="B87" s="207" t="s">
        <v>2394</v>
      </c>
    </row>
    <row r="88" spans="1:2" ht="15" customHeight="1" x14ac:dyDescent="0.25">
      <c r="A88" s="207" t="s">
        <v>2488</v>
      </c>
      <c r="B88" s="207" t="s">
        <v>2398</v>
      </c>
    </row>
    <row r="89" spans="1:2" ht="15" customHeight="1" x14ac:dyDescent="0.25">
      <c r="A89" s="207" t="s">
        <v>2490</v>
      </c>
      <c r="B89" s="207" t="s">
        <v>2398</v>
      </c>
    </row>
    <row r="90" spans="1:2" ht="15" customHeight="1" x14ac:dyDescent="0.25">
      <c r="A90" s="207" t="s">
        <v>2491</v>
      </c>
      <c r="B90" s="207" t="s">
        <v>2398</v>
      </c>
    </row>
    <row r="91" spans="1:2" ht="15" customHeight="1" x14ac:dyDescent="0.25">
      <c r="A91" s="207" t="s">
        <v>2493</v>
      </c>
      <c r="B91" s="207" t="s">
        <v>2398</v>
      </c>
    </row>
    <row r="92" spans="1:2" ht="15" customHeight="1" x14ac:dyDescent="0.25">
      <c r="A92" s="207" t="s">
        <v>2495</v>
      </c>
      <c r="B92" s="207" t="s">
        <v>2527</v>
      </c>
    </row>
    <row r="93" spans="1:2" ht="15" customHeight="1" x14ac:dyDescent="0.25">
      <c r="A93" s="207" t="s">
        <v>2497</v>
      </c>
      <c r="B93" s="207" t="s">
        <v>2417</v>
      </c>
    </row>
    <row r="94" spans="1:2" ht="15" customHeight="1" x14ac:dyDescent="0.25">
      <c r="A94" s="207" t="s">
        <v>2499</v>
      </c>
      <c r="B94" s="207" t="s">
        <v>2417</v>
      </c>
    </row>
    <row r="95" spans="1:2" ht="15" customHeight="1" x14ac:dyDescent="0.25">
      <c r="A95" s="207" t="s">
        <v>2501</v>
      </c>
      <c r="B95" s="207" t="s">
        <v>2398</v>
      </c>
    </row>
    <row r="96" spans="1:2" ht="15" customHeight="1" x14ac:dyDescent="0.25">
      <c r="A96" s="207" t="s">
        <v>2502</v>
      </c>
      <c r="B96" s="207" t="s">
        <v>2364</v>
      </c>
    </row>
    <row r="97" spans="1:2" ht="15" customHeight="1" x14ac:dyDescent="0.25">
      <c r="A97" s="207" t="s">
        <v>2503</v>
      </c>
      <c r="B97" s="207" t="s">
        <v>2405</v>
      </c>
    </row>
    <row r="98" spans="1:2" ht="15" customHeight="1" x14ac:dyDescent="0.25">
      <c r="A98" s="207" t="s">
        <v>2504</v>
      </c>
      <c r="B98" s="207" t="s">
        <v>2398</v>
      </c>
    </row>
    <row r="99" spans="1:2" ht="15" customHeight="1" x14ac:dyDescent="0.25">
      <c r="A99" s="207" t="s">
        <v>2506</v>
      </c>
      <c r="B99" s="207" t="s">
        <v>2426</v>
      </c>
    </row>
    <row r="100" spans="1:2" ht="15" customHeight="1" x14ac:dyDescent="0.25">
      <c r="A100" s="207" t="s">
        <v>2507</v>
      </c>
      <c r="B100" s="207" t="s">
        <v>2426</v>
      </c>
    </row>
    <row r="101" spans="1:2" ht="15" customHeight="1" x14ac:dyDescent="0.25">
      <c r="A101" s="207" t="s">
        <v>2528</v>
      </c>
      <c r="B101" s="207" t="s">
        <v>2387</v>
      </c>
    </row>
    <row r="102" spans="1:2" ht="15" customHeight="1" x14ac:dyDescent="0.25">
      <c r="A102" s="207" t="s">
        <v>2529</v>
      </c>
      <c r="B102" s="207" t="s">
        <v>2387</v>
      </c>
    </row>
    <row r="103" spans="1:2" ht="15" customHeight="1" x14ac:dyDescent="0.25">
      <c r="A103" s="207" t="s">
        <v>2510</v>
      </c>
      <c r="B103" s="207" t="s">
        <v>2364</v>
      </c>
    </row>
    <row r="104" spans="1:2" ht="15" customHeight="1" x14ac:dyDescent="0.25">
      <c r="A104" s="207" t="s">
        <v>2512</v>
      </c>
      <c r="B104" s="207" t="s">
        <v>2364</v>
      </c>
    </row>
    <row r="105" spans="1:2" ht="15" customHeight="1" x14ac:dyDescent="0.25">
      <c r="A105" s="207" t="s">
        <v>2514</v>
      </c>
      <c r="B105" s="207" t="s">
        <v>2387</v>
      </c>
    </row>
    <row r="106" spans="1:2" ht="15" customHeight="1" x14ac:dyDescent="0.25">
      <c r="A106" s="207" t="s">
        <v>2515</v>
      </c>
      <c r="B106" s="207" t="s">
        <v>2516</v>
      </c>
    </row>
    <row r="107" spans="1:2" ht="15" customHeight="1" x14ac:dyDescent="0.25">
      <c r="A107" s="207" t="s">
        <v>2517</v>
      </c>
      <c r="B107" s="207" t="s">
        <v>2379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9447A-2CCD-4A85-A24F-D0F0028FFC12}">
  <dimension ref="A1:B102"/>
  <sheetViews>
    <sheetView topLeftCell="A22" workbookViewId="0">
      <selection sqref="A1:A1048576"/>
    </sheetView>
  </sheetViews>
  <sheetFormatPr defaultColWidth="42.140625" defaultRowHeight="15" customHeight="1" x14ac:dyDescent="0.25"/>
  <sheetData>
    <row r="1" spans="1:2" ht="15" customHeight="1" x14ac:dyDescent="0.25">
      <c r="A1" s="206" t="s">
        <v>2361</v>
      </c>
      <c r="B1" s="206" t="s">
        <v>2362</v>
      </c>
    </row>
    <row r="2" spans="1:2" ht="15" customHeight="1" x14ac:dyDescent="0.25">
      <c r="A2" s="207" t="s">
        <v>2363</v>
      </c>
      <c r="B2" s="207" t="s">
        <v>2364</v>
      </c>
    </row>
    <row r="3" spans="1:2" ht="15" customHeight="1" x14ac:dyDescent="0.25">
      <c r="A3" s="207" t="s">
        <v>2365</v>
      </c>
      <c r="B3" s="207" t="s">
        <v>2366</v>
      </c>
    </row>
    <row r="4" spans="1:2" ht="15" customHeight="1" x14ac:dyDescent="0.25">
      <c r="A4" s="207" t="s">
        <v>2367</v>
      </c>
      <c r="B4" s="207" t="s">
        <v>2364</v>
      </c>
    </row>
    <row r="5" spans="1:2" ht="15" customHeight="1" x14ac:dyDescent="0.25">
      <c r="A5" s="207" t="s">
        <v>2368</v>
      </c>
      <c r="B5" s="207" t="s">
        <v>2364</v>
      </c>
    </row>
    <row r="6" spans="1:2" ht="15" customHeight="1" x14ac:dyDescent="0.25">
      <c r="A6" s="207" t="s">
        <v>2369</v>
      </c>
      <c r="B6" s="207" t="s">
        <v>2370</v>
      </c>
    </row>
    <row r="7" spans="1:2" ht="15" customHeight="1" x14ac:dyDescent="0.25">
      <c r="A7" s="207" t="s">
        <v>2371</v>
      </c>
      <c r="B7" s="208" t="s">
        <v>714</v>
      </c>
    </row>
    <row r="8" spans="1:2" ht="15" customHeight="1" x14ac:dyDescent="0.25">
      <c r="A8" s="207" t="s">
        <v>2372</v>
      </c>
      <c r="B8" s="207" t="s">
        <v>2373</v>
      </c>
    </row>
    <row r="9" spans="1:2" ht="15" customHeight="1" x14ac:dyDescent="0.25">
      <c r="A9" s="207" t="s">
        <v>2374</v>
      </c>
      <c r="B9" s="207" t="s">
        <v>2375</v>
      </c>
    </row>
    <row r="10" spans="1:2" ht="15" customHeight="1" x14ac:dyDescent="0.25">
      <c r="A10" s="207" t="s">
        <v>2376</v>
      </c>
      <c r="B10" s="207" t="s">
        <v>2377</v>
      </c>
    </row>
    <row r="11" spans="1:2" ht="15" customHeight="1" x14ac:dyDescent="0.25">
      <c r="A11" s="207" t="s">
        <v>2378</v>
      </c>
      <c r="B11" s="207" t="s">
        <v>2379</v>
      </c>
    </row>
    <row r="12" spans="1:2" ht="15" customHeight="1" x14ac:dyDescent="0.25">
      <c r="A12" s="207" t="s">
        <v>2380</v>
      </c>
      <c r="B12" s="207" t="s">
        <v>2379</v>
      </c>
    </row>
    <row r="13" spans="1:2" ht="15" customHeight="1" x14ac:dyDescent="0.25">
      <c r="A13" s="207" t="s">
        <v>508</v>
      </c>
      <c r="B13" s="207" t="s">
        <v>2381</v>
      </c>
    </row>
    <row r="14" spans="1:2" ht="15" customHeight="1" x14ac:dyDescent="0.25">
      <c r="A14" s="207" t="s">
        <v>2382</v>
      </c>
      <c r="B14" s="208" t="s">
        <v>2383</v>
      </c>
    </row>
    <row r="15" spans="1:2" ht="15" customHeight="1" x14ac:dyDescent="0.25">
      <c r="A15" s="207" t="s">
        <v>2384</v>
      </c>
      <c r="B15" s="207" t="s">
        <v>2385</v>
      </c>
    </row>
    <row r="16" spans="1:2" ht="15" customHeight="1" x14ac:dyDescent="0.25">
      <c r="A16" s="207" t="s">
        <v>2386</v>
      </c>
      <c r="B16" s="207" t="s">
        <v>2387</v>
      </c>
    </row>
    <row r="17" spans="1:2" ht="15" customHeight="1" x14ac:dyDescent="0.25">
      <c r="A17" s="207" t="s">
        <v>918</v>
      </c>
      <c r="B17" s="207" t="s">
        <v>2388</v>
      </c>
    </row>
    <row r="18" spans="1:2" ht="15" customHeight="1" x14ac:dyDescent="0.25">
      <c r="A18" s="207" t="s">
        <v>2389</v>
      </c>
      <c r="B18" s="208" t="s">
        <v>714</v>
      </c>
    </row>
    <row r="19" spans="1:2" ht="15" customHeight="1" x14ac:dyDescent="0.25">
      <c r="A19" s="207" t="s">
        <v>2390</v>
      </c>
      <c r="B19" s="208" t="s">
        <v>714</v>
      </c>
    </row>
    <row r="20" spans="1:2" ht="15" customHeight="1" x14ac:dyDescent="0.25">
      <c r="A20" s="207" t="s">
        <v>2391</v>
      </c>
      <c r="B20" s="207" t="s">
        <v>2392</v>
      </c>
    </row>
    <row r="21" spans="1:2" ht="15" customHeight="1" x14ac:dyDescent="0.25">
      <c r="A21" s="207" t="s">
        <v>2393</v>
      </c>
      <c r="B21" s="207" t="s">
        <v>2394</v>
      </c>
    </row>
    <row r="22" spans="1:2" ht="15" customHeight="1" x14ac:dyDescent="0.25">
      <c r="A22" s="207" t="s">
        <v>2395</v>
      </c>
      <c r="B22" s="208" t="s">
        <v>714</v>
      </c>
    </row>
    <row r="23" spans="1:2" ht="15" customHeight="1" x14ac:dyDescent="0.25">
      <c r="A23" s="207" t="s">
        <v>2396</v>
      </c>
      <c r="B23" s="207" t="s">
        <v>2366</v>
      </c>
    </row>
    <row r="24" spans="1:2" ht="15" customHeight="1" x14ac:dyDescent="0.25">
      <c r="A24" s="207" t="s">
        <v>2397</v>
      </c>
      <c r="B24" s="207" t="s">
        <v>2398</v>
      </c>
    </row>
    <row r="25" spans="1:2" ht="15" customHeight="1" x14ac:dyDescent="0.25">
      <c r="A25" s="207" t="s">
        <v>2399</v>
      </c>
      <c r="B25" s="207" t="s">
        <v>2398</v>
      </c>
    </row>
    <row r="26" spans="1:2" ht="15" customHeight="1" x14ac:dyDescent="0.25">
      <c r="A26" s="207" t="s">
        <v>2400</v>
      </c>
      <c r="B26" s="208" t="s">
        <v>2401</v>
      </c>
    </row>
    <row r="27" spans="1:2" ht="15" customHeight="1" x14ac:dyDescent="0.25">
      <c r="A27" s="207" t="s">
        <v>2402</v>
      </c>
      <c r="B27" s="208" t="s">
        <v>2403</v>
      </c>
    </row>
    <row r="28" spans="1:2" ht="15" customHeight="1" x14ac:dyDescent="0.25">
      <c r="A28" s="207" t="s">
        <v>2404</v>
      </c>
      <c r="B28" s="207" t="s">
        <v>2405</v>
      </c>
    </row>
    <row r="29" spans="1:2" ht="15" customHeight="1" x14ac:dyDescent="0.25">
      <c r="A29" s="207" t="s">
        <v>2406</v>
      </c>
      <c r="B29" s="207" t="s">
        <v>788</v>
      </c>
    </row>
    <row r="30" spans="1:2" ht="15" customHeight="1" x14ac:dyDescent="0.25">
      <c r="A30" s="207" t="s">
        <v>2407</v>
      </c>
      <c r="B30" s="207" t="s">
        <v>2398</v>
      </c>
    </row>
    <row r="31" spans="1:2" ht="15" customHeight="1" x14ac:dyDescent="0.25">
      <c r="A31" s="207" t="s">
        <v>2408</v>
      </c>
      <c r="B31" s="207" t="s">
        <v>2409</v>
      </c>
    </row>
    <row r="32" spans="1:2" ht="15" customHeight="1" x14ac:dyDescent="0.25">
      <c r="A32" s="207" t="s">
        <v>2410</v>
      </c>
      <c r="B32" s="207" t="s">
        <v>2411</v>
      </c>
    </row>
    <row r="33" spans="1:2" ht="15" customHeight="1" x14ac:dyDescent="0.25">
      <c r="A33" s="207" t="s">
        <v>2412</v>
      </c>
      <c r="B33" s="207" t="s">
        <v>2413</v>
      </c>
    </row>
    <row r="34" spans="1:2" ht="15" customHeight="1" x14ac:dyDescent="0.25">
      <c r="A34" s="207" t="s">
        <v>2414</v>
      </c>
      <c r="B34" s="207" t="s">
        <v>2415</v>
      </c>
    </row>
    <row r="35" spans="1:2" ht="15" customHeight="1" x14ac:dyDescent="0.25">
      <c r="A35" s="207" t="s">
        <v>2416</v>
      </c>
      <c r="B35" s="207" t="s">
        <v>2417</v>
      </c>
    </row>
    <row r="36" spans="1:2" ht="15" customHeight="1" x14ac:dyDescent="0.25">
      <c r="A36" s="207" t="s">
        <v>2418</v>
      </c>
      <c r="B36" s="207" t="s">
        <v>2419</v>
      </c>
    </row>
    <row r="37" spans="1:2" ht="15" customHeight="1" x14ac:dyDescent="0.25">
      <c r="A37" s="207" t="s">
        <v>2420</v>
      </c>
      <c r="B37" s="207" t="s">
        <v>2421</v>
      </c>
    </row>
    <row r="38" spans="1:2" ht="15" customHeight="1" x14ac:dyDescent="0.25">
      <c r="A38" s="207" t="s">
        <v>1879</v>
      </c>
      <c r="B38" s="207" t="s">
        <v>2422</v>
      </c>
    </row>
    <row r="39" spans="1:2" ht="15" customHeight="1" x14ac:dyDescent="0.25">
      <c r="A39" s="207" t="s">
        <v>2423</v>
      </c>
      <c r="B39" s="207" t="s">
        <v>2424</v>
      </c>
    </row>
    <row r="40" spans="1:2" ht="15" customHeight="1" x14ac:dyDescent="0.25">
      <c r="A40" s="207" t="s">
        <v>2425</v>
      </c>
      <c r="B40" s="207" t="s">
        <v>2426</v>
      </c>
    </row>
    <row r="41" spans="1:2" ht="15" customHeight="1" x14ac:dyDescent="0.25">
      <c r="A41" s="207" t="s">
        <v>2427</v>
      </c>
      <c r="B41" s="207" t="s">
        <v>2426</v>
      </c>
    </row>
    <row r="42" spans="1:2" ht="15" customHeight="1" x14ac:dyDescent="0.25">
      <c r="A42" s="207" t="s">
        <v>2428</v>
      </c>
      <c r="B42" s="207" t="s">
        <v>2419</v>
      </c>
    </row>
    <row r="43" spans="1:2" ht="15" customHeight="1" x14ac:dyDescent="0.25">
      <c r="A43" s="207" t="s">
        <v>2429</v>
      </c>
      <c r="B43" s="207" t="s">
        <v>2430</v>
      </c>
    </row>
    <row r="44" spans="1:2" ht="15" customHeight="1" x14ac:dyDescent="0.25">
      <c r="A44" s="207" t="s">
        <v>2431</v>
      </c>
      <c r="B44" s="207" t="s">
        <v>2432</v>
      </c>
    </row>
    <row r="45" spans="1:2" ht="15" customHeight="1" x14ac:dyDescent="0.25">
      <c r="A45" s="207" t="s">
        <v>2433</v>
      </c>
      <c r="B45" s="207" t="s">
        <v>2434</v>
      </c>
    </row>
    <row r="46" spans="1:2" ht="15" customHeight="1" x14ac:dyDescent="0.25">
      <c r="A46" s="207" t="s">
        <v>2435</v>
      </c>
      <c r="B46" s="207" t="s">
        <v>2436</v>
      </c>
    </row>
    <row r="47" spans="1:2" ht="15" customHeight="1" x14ac:dyDescent="0.25">
      <c r="A47" s="207" t="s">
        <v>2437</v>
      </c>
      <c r="B47" s="207" t="s">
        <v>2432</v>
      </c>
    </row>
    <row r="48" spans="1:2" ht="15" customHeight="1" x14ac:dyDescent="0.25">
      <c r="A48" s="207" t="s">
        <v>2438</v>
      </c>
      <c r="B48" s="207" t="s">
        <v>2366</v>
      </c>
    </row>
    <row r="49" spans="1:2" ht="15" customHeight="1" x14ac:dyDescent="0.25">
      <c r="A49" s="207" t="s">
        <v>2439</v>
      </c>
      <c r="B49" s="207" t="s">
        <v>2440</v>
      </c>
    </row>
    <row r="50" spans="1:2" ht="15" customHeight="1" x14ac:dyDescent="0.25">
      <c r="A50" s="207" t="s">
        <v>2441</v>
      </c>
      <c r="B50" s="208" t="s">
        <v>714</v>
      </c>
    </row>
    <row r="51" spans="1:2" ht="15" customHeight="1" x14ac:dyDescent="0.25">
      <c r="A51" s="207" t="s">
        <v>2442</v>
      </c>
      <c r="B51" s="207" t="s">
        <v>2366</v>
      </c>
    </row>
    <row r="52" spans="1:2" ht="15" customHeight="1" x14ac:dyDescent="0.25">
      <c r="A52" s="207" t="s">
        <v>2443</v>
      </c>
      <c r="B52" s="207" t="s">
        <v>2444</v>
      </c>
    </row>
    <row r="53" spans="1:2" ht="15" customHeight="1" x14ac:dyDescent="0.25">
      <c r="A53" s="207" t="s">
        <v>2445</v>
      </c>
      <c r="B53" s="207" t="s">
        <v>2446</v>
      </c>
    </row>
    <row r="54" spans="1:2" ht="15" customHeight="1" x14ac:dyDescent="0.25">
      <c r="A54" s="207" t="s">
        <v>2447</v>
      </c>
      <c r="B54" s="207" t="s">
        <v>2448</v>
      </c>
    </row>
    <row r="55" spans="1:2" ht="15" customHeight="1" x14ac:dyDescent="0.25">
      <c r="A55" s="207" t="s">
        <v>2449</v>
      </c>
      <c r="B55" s="207" t="s">
        <v>2366</v>
      </c>
    </row>
    <row r="56" spans="1:2" ht="15" customHeight="1" x14ac:dyDescent="0.25">
      <c r="A56" s="207" t="s">
        <v>2450</v>
      </c>
      <c r="B56" s="207" t="s">
        <v>2451</v>
      </c>
    </row>
    <row r="57" spans="1:2" ht="15" customHeight="1" x14ac:dyDescent="0.25">
      <c r="A57" s="207" t="s">
        <v>2452</v>
      </c>
      <c r="B57" s="207" t="s">
        <v>2398</v>
      </c>
    </row>
    <row r="58" spans="1:2" ht="15" customHeight="1" x14ac:dyDescent="0.25">
      <c r="A58" s="207" t="s">
        <v>2453</v>
      </c>
      <c r="B58" s="207" t="s">
        <v>2440</v>
      </c>
    </row>
    <row r="59" spans="1:2" ht="15" customHeight="1" x14ac:dyDescent="0.25">
      <c r="A59" s="207" t="s">
        <v>2454</v>
      </c>
      <c r="B59" s="207" t="s">
        <v>2426</v>
      </c>
    </row>
    <row r="60" spans="1:2" ht="15" customHeight="1" x14ac:dyDescent="0.25">
      <c r="A60" s="207" t="s">
        <v>2455</v>
      </c>
      <c r="B60" s="207" t="s">
        <v>2456</v>
      </c>
    </row>
    <row r="61" spans="1:2" ht="15" customHeight="1" x14ac:dyDescent="0.25">
      <c r="A61" s="207" t="s">
        <v>2457</v>
      </c>
      <c r="B61" s="207" t="s">
        <v>2458</v>
      </c>
    </row>
    <row r="62" spans="1:2" ht="15" customHeight="1" x14ac:dyDescent="0.25">
      <c r="A62" s="207" t="s">
        <v>2459</v>
      </c>
      <c r="B62" s="207" t="s">
        <v>2458</v>
      </c>
    </row>
    <row r="63" spans="1:2" ht="15" customHeight="1" x14ac:dyDescent="0.25">
      <c r="A63" s="207" t="s">
        <v>2460</v>
      </c>
      <c r="B63" s="208" t="s">
        <v>2461</v>
      </c>
    </row>
    <row r="64" spans="1:2" ht="15" customHeight="1" x14ac:dyDescent="0.25">
      <c r="A64" s="207" t="s">
        <v>2462</v>
      </c>
      <c r="B64" s="208" t="s">
        <v>714</v>
      </c>
    </row>
    <row r="65" spans="1:2" ht="15" customHeight="1" x14ac:dyDescent="0.25">
      <c r="A65" s="207" t="s">
        <v>1190</v>
      </c>
      <c r="B65" s="208" t="s">
        <v>714</v>
      </c>
    </row>
    <row r="66" spans="1:2" ht="15" customHeight="1" x14ac:dyDescent="0.25">
      <c r="A66" s="207" t="s">
        <v>2463</v>
      </c>
      <c r="B66" s="208" t="s">
        <v>714</v>
      </c>
    </row>
    <row r="67" spans="1:2" ht="15" customHeight="1" x14ac:dyDescent="0.25">
      <c r="A67" s="207" t="s">
        <v>2464</v>
      </c>
      <c r="B67" s="207" t="s">
        <v>2465</v>
      </c>
    </row>
    <row r="68" spans="1:2" ht="15" customHeight="1" x14ac:dyDescent="0.25">
      <c r="A68" s="207" t="s">
        <v>2466</v>
      </c>
      <c r="B68" s="207" t="s">
        <v>2366</v>
      </c>
    </row>
    <row r="69" spans="1:2" ht="15" customHeight="1" x14ac:dyDescent="0.25">
      <c r="A69" s="207" t="s">
        <v>2467</v>
      </c>
      <c r="B69" s="207" t="s">
        <v>2468</v>
      </c>
    </row>
    <row r="70" spans="1:2" ht="15" customHeight="1" x14ac:dyDescent="0.25">
      <c r="A70" s="207" t="s">
        <v>2469</v>
      </c>
      <c r="B70" s="207" t="s">
        <v>2470</v>
      </c>
    </row>
    <row r="71" spans="1:2" ht="15" customHeight="1" x14ac:dyDescent="0.25">
      <c r="A71" s="207" t="s">
        <v>2471</v>
      </c>
      <c r="B71" s="207" t="s">
        <v>2472</v>
      </c>
    </row>
    <row r="72" spans="1:2" ht="15" customHeight="1" x14ac:dyDescent="0.25">
      <c r="A72" s="207" t="s">
        <v>1926</v>
      </c>
      <c r="B72" s="208" t="s">
        <v>714</v>
      </c>
    </row>
    <row r="73" spans="1:2" ht="15" customHeight="1" x14ac:dyDescent="0.25">
      <c r="A73" s="207" t="s">
        <v>2473</v>
      </c>
      <c r="B73" s="207" t="s">
        <v>2474</v>
      </c>
    </row>
    <row r="74" spans="1:2" ht="15" customHeight="1" x14ac:dyDescent="0.25">
      <c r="A74" s="207" t="s">
        <v>2475</v>
      </c>
      <c r="B74" s="207" t="s">
        <v>2476</v>
      </c>
    </row>
    <row r="75" spans="1:2" ht="15" customHeight="1" x14ac:dyDescent="0.25">
      <c r="A75" s="207" t="s">
        <v>764</v>
      </c>
      <c r="B75" s="208" t="s">
        <v>714</v>
      </c>
    </row>
    <row r="76" spans="1:2" ht="15" customHeight="1" x14ac:dyDescent="0.25">
      <c r="A76" s="207" t="s">
        <v>2477</v>
      </c>
      <c r="B76" s="207" t="s">
        <v>2478</v>
      </c>
    </row>
    <row r="77" spans="1:2" ht="15" customHeight="1" x14ac:dyDescent="0.25">
      <c r="A77" s="207" t="s">
        <v>2479</v>
      </c>
      <c r="B77" s="207" t="s">
        <v>2394</v>
      </c>
    </row>
    <row r="78" spans="1:2" ht="15" customHeight="1" x14ac:dyDescent="0.25">
      <c r="A78" s="207" t="s">
        <v>2480</v>
      </c>
      <c r="B78" s="207" t="s">
        <v>2432</v>
      </c>
    </row>
    <row r="79" spans="1:2" ht="15" customHeight="1" x14ac:dyDescent="0.25">
      <c r="A79" s="207" t="s">
        <v>2481</v>
      </c>
      <c r="B79" s="207" t="s">
        <v>2482</v>
      </c>
    </row>
    <row r="80" spans="1:2" ht="15" customHeight="1" x14ac:dyDescent="0.25">
      <c r="A80" s="207" t="s">
        <v>2483</v>
      </c>
      <c r="B80" s="207" t="s">
        <v>2421</v>
      </c>
    </row>
    <row r="81" spans="1:2" ht="15" customHeight="1" x14ac:dyDescent="0.25">
      <c r="A81" s="207" t="s">
        <v>2484</v>
      </c>
      <c r="B81" s="208" t="s">
        <v>2485</v>
      </c>
    </row>
    <row r="82" spans="1:2" ht="15" customHeight="1" x14ac:dyDescent="0.25">
      <c r="A82" s="207" t="s">
        <v>2486</v>
      </c>
      <c r="B82" s="207" t="s">
        <v>2482</v>
      </c>
    </row>
    <row r="83" spans="1:2" ht="15" customHeight="1" x14ac:dyDescent="0.25">
      <c r="A83" s="207" t="s">
        <v>2487</v>
      </c>
      <c r="B83" s="207" t="s">
        <v>2394</v>
      </c>
    </row>
    <row r="84" spans="1:2" ht="15" customHeight="1" x14ac:dyDescent="0.25">
      <c r="A84" s="207" t="s">
        <v>2488</v>
      </c>
      <c r="B84" s="207" t="s">
        <v>2489</v>
      </c>
    </row>
    <row r="85" spans="1:2" ht="15" customHeight="1" x14ac:dyDescent="0.25">
      <c r="A85" s="207" t="s">
        <v>2490</v>
      </c>
      <c r="B85" s="207" t="s">
        <v>2468</v>
      </c>
    </row>
    <row r="86" spans="1:2" ht="15" customHeight="1" x14ac:dyDescent="0.25">
      <c r="A86" s="207" t="s">
        <v>2491</v>
      </c>
      <c r="B86" s="207" t="s">
        <v>2492</v>
      </c>
    </row>
    <row r="87" spans="1:2" ht="15" customHeight="1" x14ac:dyDescent="0.25">
      <c r="A87" s="207" t="s">
        <v>2493</v>
      </c>
      <c r="B87" s="207" t="s">
        <v>2494</v>
      </c>
    </row>
    <row r="88" spans="1:2" ht="15" customHeight="1" x14ac:dyDescent="0.25">
      <c r="A88" s="207" t="s">
        <v>2495</v>
      </c>
      <c r="B88" s="207" t="s">
        <v>2496</v>
      </c>
    </row>
    <row r="89" spans="1:2" ht="15" customHeight="1" x14ac:dyDescent="0.25">
      <c r="A89" s="207" t="s">
        <v>2497</v>
      </c>
      <c r="B89" s="207" t="s">
        <v>2498</v>
      </c>
    </row>
    <row r="90" spans="1:2" ht="15" customHeight="1" x14ac:dyDescent="0.25">
      <c r="A90" s="207" t="s">
        <v>2499</v>
      </c>
      <c r="B90" s="207" t="s">
        <v>2500</v>
      </c>
    </row>
    <row r="91" spans="1:2" ht="15" customHeight="1" x14ac:dyDescent="0.25">
      <c r="A91" s="207" t="s">
        <v>2501</v>
      </c>
      <c r="B91" s="207" t="s">
        <v>2492</v>
      </c>
    </row>
    <row r="92" spans="1:2" ht="15" customHeight="1" x14ac:dyDescent="0.25">
      <c r="A92" s="207" t="s">
        <v>2502</v>
      </c>
      <c r="B92" s="207" t="s">
        <v>2364</v>
      </c>
    </row>
    <row r="93" spans="1:2" ht="15" customHeight="1" x14ac:dyDescent="0.25">
      <c r="A93" s="207" t="s">
        <v>2503</v>
      </c>
      <c r="B93" s="207" t="s">
        <v>2405</v>
      </c>
    </row>
    <row r="94" spans="1:2" ht="15" customHeight="1" x14ac:dyDescent="0.25">
      <c r="A94" s="207" t="s">
        <v>2504</v>
      </c>
      <c r="B94" s="207" t="s">
        <v>2505</v>
      </c>
    </row>
    <row r="95" spans="1:2" ht="15" customHeight="1" x14ac:dyDescent="0.25">
      <c r="A95" s="207" t="s">
        <v>2506</v>
      </c>
      <c r="B95" s="207" t="s">
        <v>2422</v>
      </c>
    </row>
    <row r="96" spans="1:2" ht="15" customHeight="1" x14ac:dyDescent="0.25">
      <c r="A96" s="207" t="s">
        <v>2507</v>
      </c>
      <c r="B96" s="207" t="s">
        <v>2508</v>
      </c>
    </row>
    <row r="97" spans="1:2" ht="15" customHeight="1" x14ac:dyDescent="0.25">
      <c r="A97" s="207" t="s">
        <v>2509</v>
      </c>
      <c r="B97" s="207" t="s">
        <v>2387</v>
      </c>
    </row>
    <row r="98" spans="1:2" ht="15" customHeight="1" x14ac:dyDescent="0.25">
      <c r="A98" s="207" t="s">
        <v>2510</v>
      </c>
      <c r="B98" s="207" t="s">
        <v>2511</v>
      </c>
    </row>
    <row r="99" spans="1:2" ht="15" customHeight="1" x14ac:dyDescent="0.25">
      <c r="A99" s="207" t="s">
        <v>2512</v>
      </c>
      <c r="B99" s="207" t="s">
        <v>2513</v>
      </c>
    </row>
    <row r="100" spans="1:2" ht="15" customHeight="1" x14ac:dyDescent="0.25">
      <c r="A100" s="207" t="s">
        <v>2514</v>
      </c>
      <c r="B100" s="207" t="s">
        <v>2387</v>
      </c>
    </row>
    <row r="101" spans="1:2" ht="15" customHeight="1" x14ac:dyDescent="0.25">
      <c r="A101" s="207" t="s">
        <v>2515</v>
      </c>
      <c r="B101" s="207" t="s">
        <v>2516</v>
      </c>
    </row>
    <row r="102" spans="1:2" ht="15" customHeight="1" x14ac:dyDescent="0.25">
      <c r="A102" s="207" t="s">
        <v>2517</v>
      </c>
      <c r="B102" s="207" t="s">
        <v>2379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52F6F-BB0D-470C-9B70-13B220CFF6D6}">
  <dimension ref="A1:B57"/>
  <sheetViews>
    <sheetView topLeftCell="A37" workbookViewId="0">
      <selection activeCell="A11" sqref="A11"/>
    </sheetView>
  </sheetViews>
  <sheetFormatPr defaultRowHeight="15" customHeight="1" x14ac:dyDescent="0.25"/>
  <cols>
    <col min="1" max="1" width="43.7109375" bestFit="1" customWidth="1"/>
    <col min="2" max="2" width="45.5703125" bestFit="1" customWidth="1"/>
  </cols>
  <sheetData>
    <row r="1" spans="1:2" ht="15" customHeight="1" x14ac:dyDescent="0.25">
      <c r="A1" s="184" t="s">
        <v>2268</v>
      </c>
      <c r="B1" s="184" t="s">
        <v>2269</v>
      </c>
    </row>
    <row r="2" spans="1:2" ht="15" customHeight="1" x14ac:dyDescent="0.25">
      <c r="A2" s="185" t="s">
        <v>737</v>
      </c>
      <c r="B2" s="185" t="s">
        <v>2270</v>
      </c>
    </row>
    <row r="3" spans="1:2" ht="15" customHeight="1" x14ac:dyDescent="0.25">
      <c r="A3" s="185" t="s">
        <v>720</v>
      </c>
      <c r="B3" s="185" t="s">
        <v>2270</v>
      </c>
    </row>
    <row r="4" spans="1:2" ht="15" customHeight="1" x14ac:dyDescent="0.25">
      <c r="A4" s="185" t="s">
        <v>1270</v>
      </c>
      <c r="B4" s="185" t="s">
        <v>2270</v>
      </c>
    </row>
    <row r="5" spans="1:2" ht="15" customHeight="1" x14ac:dyDescent="0.25">
      <c r="A5" s="185" t="s">
        <v>2271</v>
      </c>
      <c r="B5" s="185" t="s">
        <v>2270</v>
      </c>
    </row>
    <row r="6" spans="1:2" ht="15" customHeight="1" x14ac:dyDescent="0.25">
      <c r="A6" s="185" t="s">
        <v>1588</v>
      </c>
      <c r="B6" s="185" t="s">
        <v>2270</v>
      </c>
    </row>
    <row r="7" spans="1:2" ht="15" customHeight="1" x14ac:dyDescent="0.25">
      <c r="A7" s="185" t="s">
        <v>2272</v>
      </c>
      <c r="B7" s="185" t="s">
        <v>2270</v>
      </c>
    </row>
    <row r="8" spans="1:2" ht="15" customHeight="1" x14ac:dyDescent="0.25">
      <c r="A8" s="185" t="s">
        <v>2273</v>
      </c>
      <c r="B8" s="185" t="s">
        <v>2270</v>
      </c>
    </row>
    <row r="9" spans="1:2" ht="15" customHeight="1" x14ac:dyDescent="0.25">
      <c r="A9" s="185" t="s">
        <v>2274</v>
      </c>
      <c r="B9" s="185" t="s">
        <v>2275</v>
      </c>
    </row>
    <row r="10" spans="1:2" ht="15" customHeight="1" x14ac:dyDescent="0.25">
      <c r="A10" s="185" t="s">
        <v>2276</v>
      </c>
      <c r="B10" s="185" t="s">
        <v>2275</v>
      </c>
    </row>
    <row r="11" spans="1:2" ht="15" customHeight="1" x14ac:dyDescent="0.25">
      <c r="A11" s="185" t="s">
        <v>2277</v>
      </c>
      <c r="B11" s="185" t="s">
        <v>2275</v>
      </c>
    </row>
    <row r="12" spans="1:2" ht="15" customHeight="1" x14ac:dyDescent="0.25">
      <c r="A12" s="185" t="s">
        <v>2278</v>
      </c>
      <c r="B12" s="185" t="s">
        <v>2275</v>
      </c>
    </row>
    <row r="13" spans="1:2" ht="15" customHeight="1" x14ac:dyDescent="0.25">
      <c r="A13" s="185" t="s">
        <v>2279</v>
      </c>
      <c r="B13" s="185" t="s">
        <v>2275</v>
      </c>
    </row>
    <row r="14" spans="1:2" ht="15" customHeight="1" x14ac:dyDescent="0.25">
      <c r="A14" s="185" t="s">
        <v>2280</v>
      </c>
      <c r="B14" s="185" t="s">
        <v>2275</v>
      </c>
    </row>
    <row r="15" spans="1:2" ht="15" customHeight="1" x14ac:dyDescent="0.25">
      <c r="A15" s="185" t="s">
        <v>2281</v>
      </c>
      <c r="B15" s="185" t="s">
        <v>2275</v>
      </c>
    </row>
    <row r="16" spans="1:2" ht="15" customHeight="1" x14ac:dyDescent="0.25">
      <c r="A16" s="185" t="s">
        <v>2282</v>
      </c>
      <c r="B16" s="185" t="s">
        <v>2283</v>
      </c>
    </row>
    <row r="17" spans="1:2" ht="15" customHeight="1" x14ac:dyDescent="0.25">
      <c r="A17" s="185" t="s">
        <v>2284</v>
      </c>
      <c r="B17" s="185" t="s">
        <v>2283</v>
      </c>
    </row>
    <row r="18" spans="1:2" ht="15" customHeight="1" x14ac:dyDescent="0.25">
      <c r="A18" s="185" t="s">
        <v>2285</v>
      </c>
      <c r="B18" s="185" t="s">
        <v>2283</v>
      </c>
    </row>
    <row r="19" spans="1:2" ht="15" customHeight="1" x14ac:dyDescent="0.25">
      <c r="A19" s="185" t="s">
        <v>2286</v>
      </c>
      <c r="B19" s="185" t="s">
        <v>2283</v>
      </c>
    </row>
    <row r="20" spans="1:2" ht="15" customHeight="1" x14ac:dyDescent="0.25">
      <c r="A20" s="185" t="s">
        <v>2287</v>
      </c>
      <c r="B20" s="185" t="s">
        <v>2283</v>
      </c>
    </row>
    <row r="21" spans="1:2" ht="15" customHeight="1" x14ac:dyDescent="0.25">
      <c r="A21" s="185" t="s">
        <v>567</v>
      </c>
      <c r="B21" s="185" t="s">
        <v>2288</v>
      </c>
    </row>
    <row r="22" spans="1:2" ht="15" customHeight="1" x14ac:dyDescent="0.25">
      <c r="A22" s="185" t="s">
        <v>2289</v>
      </c>
      <c r="B22" s="185" t="s">
        <v>2288</v>
      </c>
    </row>
    <row r="23" spans="1:2" ht="15" customHeight="1" x14ac:dyDescent="0.25">
      <c r="A23" s="185" t="s">
        <v>2290</v>
      </c>
      <c r="B23" s="185" t="s">
        <v>2288</v>
      </c>
    </row>
    <row r="24" spans="1:2" ht="15" customHeight="1" x14ac:dyDescent="0.25">
      <c r="A24" s="185" t="s">
        <v>2291</v>
      </c>
      <c r="B24" s="185" t="s">
        <v>2288</v>
      </c>
    </row>
    <row r="25" spans="1:2" ht="15" customHeight="1" x14ac:dyDescent="0.25">
      <c r="A25" s="185" t="s">
        <v>2292</v>
      </c>
      <c r="B25" s="185" t="s">
        <v>2288</v>
      </c>
    </row>
    <row r="26" spans="1:2" ht="15" customHeight="1" x14ac:dyDescent="0.25">
      <c r="A26" s="185" t="s">
        <v>2293</v>
      </c>
      <c r="B26" s="185" t="s">
        <v>2288</v>
      </c>
    </row>
    <row r="27" spans="1:2" ht="15" customHeight="1" x14ac:dyDescent="0.25">
      <c r="A27" s="185" t="s">
        <v>2294</v>
      </c>
      <c r="B27" s="185" t="s">
        <v>2295</v>
      </c>
    </row>
    <row r="28" spans="1:2" ht="15" customHeight="1" x14ac:dyDescent="0.25">
      <c r="A28" s="185" t="s">
        <v>2296</v>
      </c>
      <c r="B28" s="185" t="s">
        <v>2295</v>
      </c>
    </row>
    <row r="29" spans="1:2" ht="15" customHeight="1" x14ac:dyDescent="0.25">
      <c r="A29" s="185" t="s">
        <v>2297</v>
      </c>
      <c r="B29" s="185" t="s">
        <v>2295</v>
      </c>
    </row>
    <row r="30" spans="1:2" ht="15" customHeight="1" x14ac:dyDescent="0.25">
      <c r="A30" s="185" t="s">
        <v>2298</v>
      </c>
      <c r="B30" s="185" t="s">
        <v>2295</v>
      </c>
    </row>
    <row r="31" spans="1:2" ht="15" customHeight="1" x14ac:dyDescent="0.25">
      <c r="A31" s="185" t="s">
        <v>2299</v>
      </c>
      <c r="B31" s="185" t="s">
        <v>2300</v>
      </c>
    </row>
    <row r="32" spans="1:2" ht="15" customHeight="1" x14ac:dyDescent="0.25">
      <c r="A32" s="185" t="s">
        <v>2301</v>
      </c>
      <c r="B32" s="185" t="s">
        <v>2302</v>
      </c>
    </row>
    <row r="33" spans="1:2" ht="15" customHeight="1" x14ac:dyDescent="0.25">
      <c r="A33" s="185" t="s">
        <v>2303</v>
      </c>
      <c r="B33" s="185" t="s">
        <v>2304</v>
      </c>
    </row>
    <row r="34" spans="1:2" ht="15" customHeight="1" x14ac:dyDescent="0.25">
      <c r="A34" s="185" t="s">
        <v>2305</v>
      </c>
      <c r="B34" s="185" t="s">
        <v>2304</v>
      </c>
    </row>
    <row r="35" spans="1:2" ht="15" customHeight="1" x14ac:dyDescent="0.25">
      <c r="A35" s="185" t="s">
        <v>2306</v>
      </c>
      <c r="B35" s="185" t="s">
        <v>2304</v>
      </c>
    </row>
    <row r="36" spans="1:2" ht="15" customHeight="1" x14ac:dyDescent="0.25">
      <c r="A36" s="185" t="s">
        <v>2307</v>
      </c>
      <c r="B36" s="185" t="s">
        <v>2308</v>
      </c>
    </row>
    <row r="37" spans="1:2" ht="15" customHeight="1" x14ac:dyDescent="0.25">
      <c r="A37" s="185" t="s">
        <v>2309</v>
      </c>
      <c r="B37" s="185" t="s">
        <v>2310</v>
      </c>
    </row>
    <row r="38" spans="1:2" ht="15" customHeight="1" x14ac:dyDescent="0.25">
      <c r="A38" s="185" t="s">
        <v>791</v>
      </c>
      <c r="B38" s="185" t="s">
        <v>2311</v>
      </c>
    </row>
    <row r="39" spans="1:2" ht="15" customHeight="1" x14ac:dyDescent="0.25">
      <c r="A39" s="185" t="s">
        <v>2312</v>
      </c>
      <c r="B39" s="185" t="s">
        <v>2311</v>
      </c>
    </row>
    <row r="40" spans="1:2" ht="15" customHeight="1" x14ac:dyDescent="0.25">
      <c r="A40" s="185" t="s">
        <v>2313</v>
      </c>
      <c r="B40" s="185" t="s">
        <v>2314</v>
      </c>
    </row>
    <row r="41" spans="1:2" ht="15" customHeight="1" x14ac:dyDescent="0.25">
      <c r="A41" s="185" t="s">
        <v>2315</v>
      </c>
      <c r="B41" s="185" t="s">
        <v>2314</v>
      </c>
    </row>
    <row r="42" spans="1:2" ht="15" customHeight="1" x14ac:dyDescent="0.25">
      <c r="A42" s="185" t="s">
        <v>2316</v>
      </c>
      <c r="B42" s="185" t="s">
        <v>2314</v>
      </c>
    </row>
    <row r="43" spans="1:2" ht="15" customHeight="1" x14ac:dyDescent="0.25">
      <c r="A43" s="185" t="s">
        <v>1689</v>
      </c>
      <c r="B43" s="185" t="s">
        <v>2317</v>
      </c>
    </row>
    <row r="44" spans="1:2" ht="15" customHeight="1" x14ac:dyDescent="0.25">
      <c r="A44" s="185" t="s">
        <v>2318</v>
      </c>
      <c r="B44" s="185" t="s">
        <v>2319</v>
      </c>
    </row>
    <row r="45" spans="1:2" ht="15" customHeight="1" x14ac:dyDescent="0.25">
      <c r="A45" s="185" t="s">
        <v>2320</v>
      </c>
      <c r="B45" s="185" t="s">
        <v>2304</v>
      </c>
    </row>
    <row r="46" spans="1:2" ht="15" customHeight="1" x14ac:dyDescent="0.25">
      <c r="A46" s="185" t="s">
        <v>2321</v>
      </c>
      <c r="B46" s="185" t="s">
        <v>2322</v>
      </c>
    </row>
    <row r="47" spans="1:2" ht="15" customHeight="1" x14ac:dyDescent="0.25">
      <c r="A47" s="185" t="s">
        <v>2323</v>
      </c>
      <c r="B47" s="185" t="s">
        <v>2314</v>
      </c>
    </row>
    <row r="48" spans="1:2" ht="15" customHeight="1" x14ac:dyDescent="0.25">
      <c r="A48" s="185" t="s">
        <v>2324</v>
      </c>
      <c r="B48" s="185" t="s">
        <v>2310</v>
      </c>
    </row>
    <row r="49" spans="1:2" ht="15" customHeight="1" x14ac:dyDescent="0.25">
      <c r="A49" s="185" t="s">
        <v>2325</v>
      </c>
      <c r="B49" s="185" t="s">
        <v>2326</v>
      </c>
    </row>
    <row r="50" spans="1:2" ht="15" customHeight="1" x14ac:dyDescent="0.25">
      <c r="A50" s="185" t="s">
        <v>2327</v>
      </c>
      <c r="B50" s="185" t="s">
        <v>2328</v>
      </c>
    </row>
    <row r="51" spans="1:2" ht="15" customHeight="1" x14ac:dyDescent="0.25">
      <c r="A51" s="185" t="s">
        <v>2329</v>
      </c>
      <c r="B51" s="185" t="s">
        <v>2283</v>
      </c>
    </row>
    <row r="52" spans="1:2" ht="15" customHeight="1" x14ac:dyDescent="0.25">
      <c r="A52" s="185" t="s">
        <v>2330</v>
      </c>
      <c r="B52" s="185" t="s">
        <v>2288</v>
      </c>
    </row>
    <row r="53" spans="1:2" ht="15" customHeight="1" x14ac:dyDescent="0.25">
      <c r="A53" s="185" t="s">
        <v>2331</v>
      </c>
      <c r="B53" s="185" t="s">
        <v>2295</v>
      </c>
    </row>
    <row r="54" spans="1:2" ht="15" customHeight="1" x14ac:dyDescent="0.25">
      <c r="A54" s="185" t="s">
        <v>2332</v>
      </c>
      <c r="B54" s="185" t="s">
        <v>2314</v>
      </c>
    </row>
    <row r="55" spans="1:2" ht="15" customHeight="1" x14ac:dyDescent="0.25">
      <c r="A55" s="185" t="s">
        <v>2333</v>
      </c>
      <c r="B55" s="185" t="s">
        <v>2311</v>
      </c>
    </row>
    <row r="56" spans="1:2" ht="15" customHeight="1" x14ac:dyDescent="0.25">
      <c r="A56" s="185" t="s">
        <v>1182</v>
      </c>
      <c r="B56" s="185" t="s">
        <v>2311</v>
      </c>
    </row>
    <row r="57" spans="1:2" ht="15" customHeight="1" x14ac:dyDescent="0.25">
      <c r="A57" s="185" t="s">
        <v>2334</v>
      </c>
      <c r="B57" s="185" t="s">
        <v>2304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32E4A-B1A6-4550-8D98-3C9A9758C882}">
  <dimension ref="A1:B50"/>
  <sheetViews>
    <sheetView workbookViewId="0">
      <selection sqref="A1:XFD1048576"/>
    </sheetView>
  </sheetViews>
  <sheetFormatPr defaultRowHeight="15" customHeight="1" x14ac:dyDescent="0.25"/>
  <sheetData>
    <row r="1" spans="1:2" ht="15" customHeight="1" x14ac:dyDescent="0.25">
      <c r="A1" s="184" t="s">
        <v>2357</v>
      </c>
      <c r="B1" s="184" t="s">
        <v>2335</v>
      </c>
    </row>
    <row r="2" spans="1:2" ht="15" customHeight="1" x14ac:dyDescent="0.25">
      <c r="A2" s="185" t="s">
        <v>737</v>
      </c>
      <c r="B2" s="185" t="s">
        <v>2270</v>
      </c>
    </row>
    <row r="3" spans="1:2" ht="15" customHeight="1" x14ac:dyDescent="0.25">
      <c r="A3" s="185" t="s">
        <v>720</v>
      </c>
      <c r="B3" s="185" t="s">
        <v>2270</v>
      </c>
    </row>
    <row r="4" spans="1:2" ht="15" customHeight="1" x14ac:dyDescent="0.25">
      <c r="A4" s="185" t="s">
        <v>1270</v>
      </c>
      <c r="B4" s="185" t="s">
        <v>2270</v>
      </c>
    </row>
    <row r="5" spans="1:2" ht="15" customHeight="1" x14ac:dyDescent="0.25">
      <c r="A5" s="185" t="s">
        <v>2336</v>
      </c>
      <c r="B5" s="185" t="s">
        <v>2270</v>
      </c>
    </row>
    <row r="6" spans="1:2" ht="15" customHeight="1" x14ac:dyDescent="0.25">
      <c r="A6" s="185" t="s">
        <v>1588</v>
      </c>
      <c r="B6" s="185" t="s">
        <v>2270</v>
      </c>
    </row>
    <row r="7" spans="1:2" ht="15" customHeight="1" x14ac:dyDescent="0.25">
      <c r="A7" s="185" t="s">
        <v>2337</v>
      </c>
      <c r="B7" s="185" t="s">
        <v>2275</v>
      </c>
    </row>
    <row r="8" spans="1:2" ht="15" customHeight="1" x14ac:dyDescent="0.25">
      <c r="A8" s="185" t="s">
        <v>1936</v>
      </c>
      <c r="B8" s="185" t="s">
        <v>2275</v>
      </c>
    </row>
    <row r="9" spans="1:2" ht="15" customHeight="1" x14ac:dyDescent="0.25">
      <c r="A9" s="185" t="s">
        <v>2276</v>
      </c>
      <c r="B9" s="185" t="s">
        <v>2275</v>
      </c>
    </row>
    <row r="10" spans="1:2" ht="15" customHeight="1" x14ac:dyDescent="0.25">
      <c r="A10" s="185" t="s">
        <v>2277</v>
      </c>
      <c r="B10" s="185" t="s">
        <v>2275</v>
      </c>
    </row>
    <row r="11" spans="1:2" ht="15" customHeight="1" x14ac:dyDescent="0.25">
      <c r="A11" s="185" t="s">
        <v>2278</v>
      </c>
      <c r="B11" s="185" t="s">
        <v>2275</v>
      </c>
    </row>
    <row r="12" spans="1:2" ht="15" customHeight="1" x14ac:dyDescent="0.25">
      <c r="A12" s="185" t="s">
        <v>2296</v>
      </c>
      <c r="B12" s="185" t="s">
        <v>2295</v>
      </c>
    </row>
    <row r="13" spans="1:2" ht="15" customHeight="1" x14ac:dyDescent="0.25">
      <c r="A13" s="185" t="s">
        <v>2338</v>
      </c>
      <c r="B13" s="185" t="s">
        <v>2295</v>
      </c>
    </row>
    <row r="14" spans="1:2" ht="15" customHeight="1" x14ac:dyDescent="0.25">
      <c r="A14" s="185" t="s">
        <v>2282</v>
      </c>
      <c r="B14" s="185" t="s">
        <v>2283</v>
      </c>
    </row>
    <row r="15" spans="1:2" ht="15" customHeight="1" x14ac:dyDescent="0.25">
      <c r="A15" s="185" t="s">
        <v>2284</v>
      </c>
      <c r="B15" s="185" t="s">
        <v>2283</v>
      </c>
    </row>
    <row r="16" spans="1:2" ht="15" customHeight="1" x14ac:dyDescent="0.25">
      <c r="A16" s="185" t="s">
        <v>567</v>
      </c>
      <c r="B16" s="185" t="s">
        <v>2288</v>
      </c>
    </row>
    <row r="17" spans="1:2" ht="15" customHeight="1" x14ac:dyDescent="0.25">
      <c r="A17" s="185" t="s">
        <v>2289</v>
      </c>
      <c r="B17" s="185" t="s">
        <v>2288</v>
      </c>
    </row>
    <row r="18" spans="1:2" ht="15" customHeight="1" x14ac:dyDescent="0.25">
      <c r="A18" s="185" t="s">
        <v>2339</v>
      </c>
      <c r="B18" s="185" t="s">
        <v>2300</v>
      </c>
    </row>
    <row r="19" spans="1:2" ht="15" customHeight="1" x14ac:dyDescent="0.25">
      <c r="A19" s="185" t="s">
        <v>2301</v>
      </c>
      <c r="B19" s="185" t="s">
        <v>2302</v>
      </c>
    </row>
    <row r="20" spans="1:2" ht="15" customHeight="1" x14ac:dyDescent="0.25">
      <c r="A20" s="185" t="s">
        <v>2340</v>
      </c>
      <c r="B20" s="185" t="s">
        <v>2304</v>
      </c>
    </row>
    <row r="21" spans="1:2" ht="15" customHeight="1" x14ac:dyDescent="0.25">
      <c r="A21" s="185" t="s">
        <v>2341</v>
      </c>
      <c r="B21" s="185" t="s">
        <v>2308</v>
      </c>
    </row>
    <row r="22" spans="1:2" ht="15" customHeight="1" x14ac:dyDescent="0.25">
      <c r="A22" s="185" t="s">
        <v>791</v>
      </c>
      <c r="B22" s="185" t="s">
        <v>2311</v>
      </c>
    </row>
    <row r="23" spans="1:2" ht="15" customHeight="1" x14ac:dyDescent="0.25">
      <c r="A23" s="185" t="s">
        <v>2342</v>
      </c>
      <c r="B23" s="185" t="s">
        <v>2314</v>
      </c>
    </row>
    <row r="24" spans="1:2" ht="15" customHeight="1" x14ac:dyDescent="0.25">
      <c r="A24" s="185" t="s">
        <v>2318</v>
      </c>
      <c r="B24" s="185" t="s">
        <v>2319</v>
      </c>
    </row>
    <row r="25" spans="1:2" ht="15" customHeight="1" x14ac:dyDescent="0.25">
      <c r="A25" s="185" t="s">
        <v>2323</v>
      </c>
      <c r="B25" s="185" t="s">
        <v>2314</v>
      </c>
    </row>
    <row r="26" spans="1:2" ht="15" customHeight="1" x14ac:dyDescent="0.25">
      <c r="A26" s="185" t="s">
        <v>2343</v>
      </c>
      <c r="B26" s="185" t="s">
        <v>2295</v>
      </c>
    </row>
    <row r="27" spans="1:2" ht="15" customHeight="1" x14ac:dyDescent="0.25">
      <c r="A27" s="185" t="s">
        <v>2344</v>
      </c>
      <c r="B27" s="185" t="s">
        <v>2288</v>
      </c>
    </row>
    <row r="28" spans="1:2" ht="15" customHeight="1" x14ac:dyDescent="0.25">
      <c r="A28" s="185" t="s">
        <v>2297</v>
      </c>
      <c r="B28" s="185" t="s">
        <v>2295</v>
      </c>
    </row>
    <row r="29" spans="1:2" ht="15" customHeight="1" x14ac:dyDescent="0.25">
      <c r="A29" s="185" t="s">
        <v>2345</v>
      </c>
      <c r="B29" s="185" t="s">
        <v>2283</v>
      </c>
    </row>
    <row r="30" spans="1:2" ht="15" customHeight="1" x14ac:dyDescent="0.25">
      <c r="A30" s="185" t="s">
        <v>1446</v>
      </c>
      <c r="B30" s="185" t="s">
        <v>2326</v>
      </c>
    </row>
    <row r="31" spans="1:2" ht="15" customHeight="1" x14ac:dyDescent="0.25">
      <c r="A31" s="185" t="s">
        <v>1689</v>
      </c>
      <c r="B31" s="185" t="s">
        <v>2317</v>
      </c>
    </row>
    <row r="32" spans="1:2" ht="15" customHeight="1" x14ac:dyDescent="0.25">
      <c r="A32" s="185" t="s">
        <v>2346</v>
      </c>
      <c r="B32" s="185" t="s">
        <v>2304</v>
      </c>
    </row>
    <row r="33" spans="1:2" ht="15" customHeight="1" x14ac:dyDescent="0.25">
      <c r="A33" s="185" t="s">
        <v>2321</v>
      </c>
      <c r="B33" s="185" t="s">
        <v>2322</v>
      </c>
    </row>
    <row r="34" spans="1:2" ht="15" customHeight="1" x14ac:dyDescent="0.25">
      <c r="A34" s="185" t="s">
        <v>1772</v>
      </c>
      <c r="B34" s="185" t="s">
        <v>2310</v>
      </c>
    </row>
    <row r="35" spans="1:2" ht="15" customHeight="1" x14ac:dyDescent="0.25">
      <c r="A35" s="185" t="s">
        <v>2329</v>
      </c>
      <c r="B35" s="185" t="s">
        <v>2283</v>
      </c>
    </row>
    <row r="36" spans="1:2" ht="15" customHeight="1" x14ac:dyDescent="0.25">
      <c r="A36" s="185" t="s">
        <v>2331</v>
      </c>
      <c r="B36" s="185" t="s">
        <v>2295</v>
      </c>
    </row>
    <row r="37" spans="1:2" ht="15" customHeight="1" x14ac:dyDescent="0.25">
      <c r="A37" s="185" t="s">
        <v>2347</v>
      </c>
      <c r="B37" s="185" t="s">
        <v>2314</v>
      </c>
    </row>
    <row r="38" spans="1:2" ht="15" customHeight="1" x14ac:dyDescent="0.25">
      <c r="A38" s="185" t="s">
        <v>2333</v>
      </c>
      <c r="B38" s="185" t="s">
        <v>2311</v>
      </c>
    </row>
    <row r="39" spans="1:2" ht="15" customHeight="1" x14ac:dyDescent="0.25">
      <c r="A39" s="185" t="s">
        <v>1182</v>
      </c>
      <c r="B39" s="185" t="s">
        <v>2311</v>
      </c>
    </row>
    <row r="40" spans="1:2" ht="15" customHeight="1" x14ac:dyDescent="0.25">
      <c r="A40" s="185" t="s">
        <v>2348</v>
      </c>
      <c r="B40" s="185" t="s">
        <v>2349</v>
      </c>
    </row>
    <row r="41" spans="1:2" ht="15" customHeight="1" x14ac:dyDescent="0.25">
      <c r="A41" s="185" t="s">
        <v>2350</v>
      </c>
      <c r="B41" s="185" t="s">
        <v>2314</v>
      </c>
    </row>
    <row r="42" spans="1:2" ht="15" customHeight="1" x14ac:dyDescent="0.25">
      <c r="A42" s="185" t="s">
        <v>2351</v>
      </c>
      <c r="B42" s="185" t="s">
        <v>2270</v>
      </c>
    </row>
    <row r="43" spans="1:2" ht="15" customHeight="1" x14ac:dyDescent="0.25">
      <c r="A43" s="185" t="s">
        <v>2352</v>
      </c>
      <c r="B43" s="185" t="s">
        <v>2314</v>
      </c>
    </row>
    <row r="44" spans="1:2" ht="15" customHeight="1" x14ac:dyDescent="0.25">
      <c r="A44" s="185" t="s">
        <v>2327</v>
      </c>
      <c r="B44" s="185" t="s">
        <v>2328</v>
      </c>
    </row>
    <row r="45" spans="1:2" ht="15" customHeight="1" x14ac:dyDescent="0.25">
      <c r="A45" s="185" t="s">
        <v>2293</v>
      </c>
      <c r="B45" s="185" t="s">
        <v>2288</v>
      </c>
    </row>
    <row r="46" spans="1:2" ht="15" customHeight="1" x14ac:dyDescent="0.25">
      <c r="A46" s="185" t="s">
        <v>2353</v>
      </c>
      <c r="B46" s="185" t="s">
        <v>2304</v>
      </c>
    </row>
    <row r="47" spans="1:2" ht="15" customHeight="1" x14ac:dyDescent="0.25">
      <c r="A47" s="185" t="s">
        <v>2354</v>
      </c>
      <c r="B47" s="185" t="s">
        <v>2275</v>
      </c>
    </row>
    <row r="48" spans="1:2" ht="15" customHeight="1" x14ac:dyDescent="0.25">
      <c r="A48" s="185" t="s">
        <v>2355</v>
      </c>
      <c r="B48" s="185" t="s">
        <v>2283</v>
      </c>
    </row>
    <row r="49" spans="1:2" ht="15" customHeight="1" x14ac:dyDescent="0.25">
      <c r="A49" s="185" t="s">
        <v>2356</v>
      </c>
      <c r="B49" s="185" t="s">
        <v>2295</v>
      </c>
    </row>
    <row r="50" spans="1:2" ht="15" customHeight="1" x14ac:dyDescent="0.25">
      <c r="A50" s="185" t="s">
        <v>2330</v>
      </c>
      <c r="B50" s="185" t="s">
        <v>2288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January</vt:lpstr>
      <vt:lpstr>February</vt:lpstr>
      <vt:lpstr>March</vt:lpstr>
      <vt:lpstr>Sheet5</vt:lpstr>
      <vt:lpstr>Sheet6</vt:lpstr>
      <vt:lpstr>Sheet9</vt:lpstr>
      <vt:lpstr>Comprehensive</vt:lpstr>
      <vt:lpstr>Comprehensive (2)</vt:lpstr>
      <vt:lpstr>Sheet8</vt:lpstr>
      <vt:lpstr>Sheet7</vt:lpstr>
      <vt:lpstr>Sheet4</vt:lpstr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S.</dc:creator>
  <cp:lastModifiedBy>AHMED D. MOHAMED</cp:lastModifiedBy>
  <dcterms:created xsi:type="dcterms:W3CDTF">2026-04-14T06:06:10Z</dcterms:created>
  <dcterms:modified xsi:type="dcterms:W3CDTF">2026-05-11T13:50:33Z</dcterms:modified>
</cp:coreProperties>
</file>